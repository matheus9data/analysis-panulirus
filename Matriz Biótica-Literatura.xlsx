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zus Vivobook\Documents\Matheus\Faculdade\lagostas_carapaca\"/>
    </mc:Choice>
  </mc:AlternateContent>
  <bookViews>
    <workbookView xWindow="0" yWindow="0" windowWidth="23040" windowHeight="9072"/>
  </bookViews>
  <sheets>
    <sheet name="Planilha1" sheetId="1" r:id="rId1"/>
  </sheets>
  <definedNames>
    <definedName name="_xlnm._FilterDatabase" localSheetId="0" hidden="1">Planilha1!$B$1:$I$482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" l="1"/>
  <c r="K6" i="1"/>
  <c r="O6" i="1" l="1"/>
  <c r="N6" i="1"/>
  <c r="M6" i="1"/>
  <c r="J6" i="1"/>
  <c r="O5" i="1"/>
  <c r="N5" i="1"/>
  <c r="M5" i="1"/>
  <c r="L5" i="1"/>
  <c r="K5" i="1"/>
  <c r="J5" i="1"/>
  <c r="O4" i="1"/>
  <c r="N4" i="1"/>
  <c r="M4" i="1"/>
  <c r="L4" i="1"/>
  <c r="K4" i="1"/>
  <c r="J4" i="1"/>
  <c r="K2" i="1"/>
  <c r="L2" i="1"/>
  <c r="P4" i="1" l="1"/>
  <c r="Q4" i="1"/>
  <c r="P5" i="1"/>
  <c r="Q5" i="1"/>
  <c r="Q6" i="1"/>
  <c r="P6" i="1"/>
  <c r="J3" i="1"/>
  <c r="K3" i="1"/>
  <c r="L3" i="1"/>
  <c r="M3" i="1"/>
  <c r="N3" i="1"/>
  <c r="O3" i="1"/>
  <c r="J7" i="1"/>
  <c r="K7" i="1"/>
  <c r="L7" i="1"/>
  <c r="M7" i="1"/>
  <c r="N7" i="1"/>
  <c r="O7" i="1"/>
  <c r="P7" i="1" l="1"/>
  <c r="P3" i="1"/>
  <c r="Q7" i="1"/>
  <c r="Q3" i="1"/>
  <c r="O2" i="1"/>
  <c r="N2" i="1"/>
  <c r="M2" i="1"/>
  <c r="J2" i="1"/>
  <c r="P2" i="1" l="1"/>
  <c r="Q2" i="1"/>
</calcChain>
</file>

<file path=xl/sharedStrings.xml><?xml version="1.0" encoding="utf-8"?>
<sst xmlns="http://schemas.openxmlformats.org/spreadsheetml/2006/main" count="193" uniqueCount="57">
  <si>
    <t>origem</t>
  </si>
  <si>
    <t>obs</t>
  </si>
  <si>
    <t>long(w)</t>
  </si>
  <si>
    <t>lat(s)</t>
  </si>
  <si>
    <t>latg</t>
  </si>
  <si>
    <t>latm</t>
  </si>
  <si>
    <t>lats</t>
  </si>
  <si>
    <t>longg</t>
  </si>
  <si>
    <t>longm</t>
  </si>
  <si>
    <t>longs</t>
  </si>
  <si>
    <t>lat</t>
  </si>
  <si>
    <t>estimado</t>
  </si>
  <si>
    <t>não</t>
  </si>
  <si>
    <t>N/S</t>
  </si>
  <si>
    <t>E/W</t>
  </si>
  <si>
    <t>S</t>
  </si>
  <si>
    <t>W</t>
  </si>
  <si>
    <t>species</t>
  </si>
  <si>
    <t>lon</t>
  </si>
  <si>
    <t>ID</t>
  </si>
  <si>
    <t>Panulirus argus</t>
  </si>
  <si>
    <t>NEVES, S. S. (2014)</t>
  </si>
  <si>
    <t> Plataforma Continental do Ceará(Barroquinha)</t>
  </si>
  <si>
    <t> Plataforma Continental do Ceará (Icapui) Tal extensão equivale a 578 km de costa, o que 
corresponde a uma área de 42.205 km2</t>
  </si>
  <si>
    <t>Panulirus laevicauda</t>
  </si>
  <si>
    <t>NomeDoc</t>
  </si>
  <si>
    <t>03°01′08″</t>
  </si>
  <si>
    <t xml:space="preserve">41°08′10″ </t>
  </si>
  <si>
    <t>04°42′47″</t>
  </si>
  <si>
    <t>37°21′19″</t>
  </si>
  <si>
    <t>2°56′59″</t>
  </si>
  <si>
    <t>39°47′31″</t>
  </si>
  <si>
    <t>2014_dis_ssneves.pdf</t>
  </si>
  <si>
    <t>diversity-17-00572-v4.pdf</t>
  </si>
  <si>
    <t>3°14′30″</t>
  </si>
  <si>
    <t>39°13′30″</t>
  </si>
  <si>
    <t>Flecheiras (Ceará)</t>
  </si>
  <si>
    <t>Lobsters are distributed throughout the Brazilian continental shelf (CSB) from Amapá (04◦26N 51◦32W)toRio Grande doSul (29◦46 S 53◦10W). Lobster stocks are concen trated in four regions along the Brazilian coast: the North (Great Amazon Reef System), the Northeast (NE), the Southeast (SE), and the South (S).</t>
  </si>
  <si>
    <t>04°26′</t>
  </si>
  <si>
    <t>N</t>
  </si>
  <si>
    <t>51°32′</t>
  </si>
  <si>
    <t>29°46′</t>
  </si>
  <si>
    <t>53°10′</t>
  </si>
  <si>
    <t>Lobsters are distributed throughout the Brazilian continental shelf (CSB) from Amapá (04◦26N 51◦32W)to Rio Grande do Sul (29◦46 S 53◦10W). Lobster stocks are concen trated in four regions along the Brazilian coast: the North (Great Amazon Reef System), the Northeast (NE), the Southeast (SE), and the South (S).</t>
  </si>
  <si>
    <t>9°</t>
  </si>
  <si>
    <t>35°</t>
  </si>
  <si>
    <t>21°</t>
  </si>
  <si>
    <t>40°</t>
  </si>
  <si>
    <t>A plataforma continental ao largo do Nordeste do Brasil (NE) (2° S 4° W a 9° S 35° W, Pernambuco)</t>
  </si>
  <si>
    <t xml:space="preserve">Entre Pernambuco e Espírito Santo (9° S 35° W a 21° S 40° W) no Sudeste do Brasil (SE), a plataforma é estreita e as capturas de lagosta são pequenas. </t>
  </si>
  <si>
    <t>2°</t>
  </si>
  <si>
    <t>4°</t>
  </si>
  <si>
    <t>diversity-13-00507-v2.pdf</t>
  </si>
  <si>
    <t>O clima no Sul do Brasil (S) (34° S a 22° S) varia de subtropical a temperado, com regimes topográficos e hidrodinâmicos complexos.</t>
  </si>
  <si>
    <t>34°</t>
  </si>
  <si>
    <t xml:space="preserve">22° </t>
  </si>
  <si>
    <t>Cruz, R. (2021)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</si>
</sst>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sz val="11"/>
      <color rgb="FF222222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color rgb="FF1A1A1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quotePrefix="1" applyFont="1" applyAlignment="1">
      <alignment horizontal="center" vertical="center" wrapText="1"/>
    </xf>
    <xf numFmtId="0" fontId="1" fillId="0" borderId="0" xfId="0" quotePrefix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3" xfId="0" applyFont="1" applyBorder="1" applyAlignment="1">
      <alignment wrapText="1"/>
    </xf>
    <xf numFmtId="0" fontId="6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8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5"/>
  <sheetViews>
    <sheetView tabSelected="1" zoomScale="85" zoomScaleNormal="85" workbookViewId="0">
      <pane ySplit="1" topLeftCell="A2" activePane="bottomLeft" state="frozen"/>
      <selection pane="bottomLeft" activeCell="C27" sqref="C27"/>
    </sheetView>
  </sheetViews>
  <sheetFormatPr defaultColWidth="9.109375" defaultRowHeight="14.4" x14ac:dyDescent="0.3"/>
  <cols>
    <col min="1" max="1" width="2.77734375" style="3" bestFit="1" customWidth="1"/>
    <col min="2" max="2" width="18.6640625" style="3" bestFit="1" customWidth="1"/>
    <col min="3" max="3" width="9.109375" style="3" bestFit="1" customWidth="1"/>
    <col min="4" max="4" width="9.77734375" style="3" bestFit="1" customWidth="1"/>
    <col min="5" max="5" width="13.44140625" style="1" bestFit="1" customWidth="1"/>
    <col min="6" max="6" width="12.44140625" style="1" bestFit="1" customWidth="1"/>
    <col min="7" max="7" width="23.5546875" style="3" bestFit="1" customWidth="1"/>
    <col min="8" max="8" width="14" style="3" bestFit="1" customWidth="1"/>
    <col min="9" max="9" width="45" style="3" bestFit="1" customWidth="1"/>
    <col min="10" max="17" width="9.109375" style="3"/>
    <col min="18" max="18" width="27.88671875" style="3" bestFit="1" customWidth="1"/>
    <col min="19" max="16384" width="9.109375" style="3"/>
  </cols>
  <sheetData>
    <row r="1" spans="1:18" x14ac:dyDescent="0.3">
      <c r="A1" s="3" t="s">
        <v>19</v>
      </c>
      <c r="B1" s="3" t="s">
        <v>17</v>
      </c>
      <c r="C1" s="3" t="s">
        <v>13</v>
      </c>
      <c r="D1" s="3" t="s">
        <v>14</v>
      </c>
      <c r="E1" s="1" t="s">
        <v>3</v>
      </c>
      <c r="F1" s="1" t="s">
        <v>2</v>
      </c>
      <c r="G1" s="3" t="s">
        <v>0</v>
      </c>
      <c r="H1" s="3" t="s">
        <v>11</v>
      </c>
      <c r="I1" s="3" t="s">
        <v>1</v>
      </c>
      <c r="J1" s="8" t="s">
        <v>4</v>
      </c>
      <c r="K1" s="8" t="s">
        <v>5</v>
      </c>
      <c r="L1" s="8" t="s">
        <v>6</v>
      </c>
      <c r="M1" s="8" t="s">
        <v>7</v>
      </c>
      <c r="N1" s="8" t="s">
        <v>8</v>
      </c>
      <c r="O1" s="9" t="s">
        <v>9</v>
      </c>
      <c r="P1" s="1" t="s">
        <v>10</v>
      </c>
      <c r="Q1" s="1" t="s">
        <v>18</v>
      </c>
      <c r="R1" s="3" t="s">
        <v>25</v>
      </c>
    </row>
    <row r="2" spans="1:18" ht="15.6" customHeight="1" x14ac:dyDescent="0.3">
      <c r="A2" s="3">
        <v>1</v>
      </c>
      <c r="B2" s="3" t="s">
        <v>20</v>
      </c>
      <c r="C2" s="3" t="s">
        <v>15</v>
      </c>
      <c r="D2" s="3" t="s">
        <v>16</v>
      </c>
      <c r="E2" s="1" t="s">
        <v>26</v>
      </c>
      <c r="F2" s="1" t="s">
        <v>27</v>
      </c>
      <c r="G2" s="13" t="s">
        <v>21</v>
      </c>
      <c r="H2" s="3" t="s">
        <v>12</v>
      </c>
      <c r="I2" s="13" t="s">
        <v>22</v>
      </c>
      <c r="J2" s="3" t="str">
        <f t="shared" ref="J2:J7" si="0">MID(E2,1,FIND("°",E2,1)-1)</f>
        <v>03</v>
      </c>
      <c r="K2" s="3" t="str">
        <f t="shared" ref="K2:K7" si="1">MID(E2,FIND("°",E2,1)+1,(FIND("′",E2,1)-FIND("°",E2,1))-1)</f>
        <v>01</v>
      </c>
      <c r="L2" s="3" t="str">
        <f t="shared" ref="L2:L7" si="2">MID(E2,FIND("′",E2,1)+1,(FIND("″",E2,1)-FIND("′",E2,1))-1)</f>
        <v>08</v>
      </c>
      <c r="M2" s="3" t="str">
        <f t="shared" ref="M2:M7" si="3">MID(F2,1,FIND("°",F2,1)-1)</f>
        <v>41</v>
      </c>
      <c r="N2" s="3" t="str">
        <f t="shared" ref="N2:N7" si="4">MID(F2,FIND("°",F2,1)+1,(FIND("′",F2,1)-FIND("°",F2,1))-1)</f>
        <v>08</v>
      </c>
      <c r="O2" s="3" t="str">
        <f t="shared" ref="O2:O7" si="5">MID(F2,FIND("′",F2,1)+1,(FIND("″",F2,1)-FIND("′",F2,1))-1)</f>
        <v>10</v>
      </c>
      <c r="P2" s="1">
        <f t="shared" ref="P2:P7" si="6">((((L2/60)+K2)/60)+J2)*IF(C2="S",-1, 1)</f>
        <v>-3.0188888888888887</v>
      </c>
      <c r="Q2" s="1">
        <f t="shared" ref="Q2:Q7" si="7">((((O2/60)+N2)/60)+M2)*IF(D2="W",-1, 1)</f>
        <v>-41.136111111111113</v>
      </c>
      <c r="R2" s="16" t="s">
        <v>32</v>
      </c>
    </row>
    <row r="3" spans="1:18" ht="42" x14ac:dyDescent="0.3">
      <c r="A3" s="3">
        <v>2</v>
      </c>
      <c r="B3" s="3" t="s">
        <v>20</v>
      </c>
      <c r="C3" s="3" t="s">
        <v>15</v>
      </c>
      <c r="D3" s="3" t="s">
        <v>16</v>
      </c>
      <c r="E3" s="10" t="s">
        <v>28</v>
      </c>
      <c r="F3" s="10" t="s">
        <v>29</v>
      </c>
      <c r="G3" s="13" t="s">
        <v>21</v>
      </c>
      <c r="H3" s="3" t="s">
        <v>12</v>
      </c>
      <c r="I3" s="14" t="s">
        <v>23</v>
      </c>
      <c r="J3" s="3" t="str">
        <f t="shared" si="0"/>
        <v>04</v>
      </c>
      <c r="K3" s="3" t="str">
        <f t="shared" si="1"/>
        <v>42</v>
      </c>
      <c r="L3" s="3" t="str">
        <f t="shared" si="2"/>
        <v>47</v>
      </c>
      <c r="M3" s="3" t="str">
        <f t="shared" si="3"/>
        <v>37</v>
      </c>
      <c r="N3" s="3" t="str">
        <f t="shared" si="4"/>
        <v>21</v>
      </c>
      <c r="O3" s="3" t="str">
        <f t="shared" si="5"/>
        <v>19</v>
      </c>
      <c r="P3" s="1">
        <f t="shared" si="6"/>
        <v>-4.713055555555556</v>
      </c>
      <c r="Q3" s="1">
        <f t="shared" si="7"/>
        <v>-37.355277777777779</v>
      </c>
      <c r="R3" s="16" t="s">
        <v>32</v>
      </c>
    </row>
    <row r="4" spans="1:18" ht="15.6" customHeight="1" x14ac:dyDescent="0.3">
      <c r="A4" s="3">
        <v>3</v>
      </c>
      <c r="B4" s="3" t="s">
        <v>24</v>
      </c>
      <c r="C4" s="3" t="s">
        <v>15</v>
      </c>
      <c r="D4" s="3" t="s">
        <v>16</v>
      </c>
      <c r="E4" s="1" t="s">
        <v>26</v>
      </c>
      <c r="F4" s="1" t="s">
        <v>27</v>
      </c>
      <c r="G4" s="13" t="s">
        <v>21</v>
      </c>
      <c r="H4" s="3" t="s">
        <v>12</v>
      </c>
      <c r="I4" s="13" t="s">
        <v>22</v>
      </c>
      <c r="J4" s="3" t="str">
        <f t="shared" si="0"/>
        <v>03</v>
      </c>
      <c r="K4" s="3" t="str">
        <f t="shared" si="1"/>
        <v>01</v>
      </c>
      <c r="L4" s="3" t="str">
        <f t="shared" si="2"/>
        <v>08</v>
      </c>
      <c r="M4" s="3" t="str">
        <f t="shared" si="3"/>
        <v>41</v>
      </c>
      <c r="N4" s="3" t="str">
        <f t="shared" si="4"/>
        <v>08</v>
      </c>
      <c r="O4" s="3" t="str">
        <f t="shared" si="5"/>
        <v>10</v>
      </c>
      <c r="P4" s="1">
        <f t="shared" si="6"/>
        <v>-3.0188888888888887</v>
      </c>
      <c r="Q4" s="1">
        <f t="shared" si="7"/>
        <v>-41.136111111111113</v>
      </c>
      <c r="R4" s="16" t="s">
        <v>32</v>
      </c>
    </row>
    <row r="5" spans="1:18" ht="42" x14ac:dyDescent="0.3">
      <c r="A5" s="3">
        <v>4</v>
      </c>
      <c r="B5" s="3" t="s">
        <v>24</v>
      </c>
      <c r="C5" s="3" t="s">
        <v>15</v>
      </c>
      <c r="D5" s="3" t="s">
        <v>16</v>
      </c>
      <c r="E5" s="10" t="s">
        <v>28</v>
      </c>
      <c r="F5" s="10" t="s">
        <v>29</v>
      </c>
      <c r="G5" s="13" t="s">
        <v>21</v>
      </c>
      <c r="H5" s="3" t="s">
        <v>12</v>
      </c>
      <c r="I5" s="14" t="s">
        <v>23</v>
      </c>
      <c r="J5" s="3" t="str">
        <f t="shared" si="0"/>
        <v>04</v>
      </c>
      <c r="K5" s="3" t="str">
        <f t="shared" si="1"/>
        <v>42</v>
      </c>
      <c r="L5" s="3" t="str">
        <f t="shared" si="2"/>
        <v>47</v>
      </c>
      <c r="M5" s="3" t="str">
        <f t="shared" si="3"/>
        <v>37</v>
      </c>
      <c r="N5" s="3" t="str">
        <f t="shared" si="4"/>
        <v>21</v>
      </c>
      <c r="O5" s="3" t="str">
        <f t="shared" si="5"/>
        <v>19</v>
      </c>
      <c r="P5" s="1">
        <f t="shared" si="6"/>
        <v>-4.713055555555556</v>
      </c>
      <c r="Q5" s="1">
        <f t="shared" si="7"/>
        <v>-37.355277777777779</v>
      </c>
      <c r="R5" s="16" t="s">
        <v>32</v>
      </c>
    </row>
    <row r="6" spans="1:18" ht="15.6" customHeight="1" thickBot="1" x14ac:dyDescent="0.35">
      <c r="A6" s="3">
        <v>5</v>
      </c>
      <c r="B6" s="3" t="s">
        <v>20</v>
      </c>
      <c r="C6" s="3" t="s">
        <v>15</v>
      </c>
      <c r="D6" s="3" t="s">
        <v>16</v>
      </c>
      <c r="E6" s="1" t="s">
        <v>30</v>
      </c>
      <c r="F6" s="1" t="s">
        <v>31</v>
      </c>
      <c r="G6" s="13" t="s">
        <v>21</v>
      </c>
      <c r="H6" s="3" t="s">
        <v>12</v>
      </c>
      <c r="I6" s="13" t="s">
        <v>22</v>
      </c>
      <c r="J6" s="3" t="str">
        <f t="shared" si="0"/>
        <v>2</v>
      </c>
      <c r="K6" s="3" t="str">
        <f t="shared" si="1"/>
        <v>56</v>
      </c>
      <c r="L6" s="3" t="str">
        <f t="shared" si="2"/>
        <v>59</v>
      </c>
      <c r="M6" s="3" t="str">
        <f t="shared" si="3"/>
        <v>39</v>
      </c>
      <c r="N6" s="3" t="str">
        <f t="shared" si="4"/>
        <v>47</v>
      </c>
      <c r="O6" s="3" t="str">
        <f t="shared" si="5"/>
        <v>31</v>
      </c>
      <c r="P6" s="1">
        <f t="shared" si="6"/>
        <v>-2.9497222222222224</v>
      </c>
      <c r="Q6" s="1">
        <f t="shared" si="7"/>
        <v>-39.791944444444447</v>
      </c>
      <c r="R6" s="16" t="s">
        <v>32</v>
      </c>
    </row>
    <row r="7" spans="1:18" ht="16.2" thickBot="1" x14ac:dyDescent="0.35">
      <c r="A7" s="3">
        <v>6</v>
      </c>
      <c r="B7" s="3" t="s">
        <v>20</v>
      </c>
      <c r="C7" s="3" t="s">
        <v>15</v>
      </c>
      <c r="D7" s="3" t="s">
        <v>16</v>
      </c>
      <c r="E7" s="17" t="s">
        <v>34</v>
      </c>
      <c r="F7" s="1" t="s">
        <v>35</v>
      </c>
      <c r="H7" s="3" t="s">
        <v>12</v>
      </c>
      <c r="I7" s="15" t="s">
        <v>36</v>
      </c>
      <c r="J7" s="3" t="str">
        <f t="shared" si="0"/>
        <v>3</v>
      </c>
      <c r="K7" s="3" t="str">
        <f t="shared" si="1"/>
        <v>14</v>
      </c>
      <c r="L7" s="3" t="str">
        <f t="shared" si="2"/>
        <v>30</v>
      </c>
      <c r="M7" s="3" t="str">
        <f t="shared" si="3"/>
        <v>39</v>
      </c>
      <c r="N7" s="3" t="str">
        <f t="shared" si="4"/>
        <v>13</v>
      </c>
      <c r="O7" s="3" t="str">
        <f t="shared" si="5"/>
        <v>30</v>
      </c>
      <c r="P7" s="1">
        <f t="shared" si="6"/>
        <v>-3.2416666666666667</v>
      </c>
      <c r="Q7" s="1">
        <f t="shared" si="7"/>
        <v>-39.225000000000001</v>
      </c>
      <c r="R7" s="16" t="s">
        <v>33</v>
      </c>
    </row>
    <row r="8" spans="1:18" ht="15.6" x14ac:dyDescent="0.3">
      <c r="A8" s="3">
        <v>7</v>
      </c>
      <c r="B8" s="3" t="s">
        <v>20</v>
      </c>
      <c r="C8" s="3" t="s">
        <v>39</v>
      </c>
      <c r="D8" s="3" t="s">
        <v>16</v>
      </c>
      <c r="E8" s="10" t="s">
        <v>38</v>
      </c>
      <c r="F8" s="10" t="s">
        <v>40</v>
      </c>
      <c r="G8" t="s">
        <v>56</v>
      </c>
      <c r="H8" s="3" t="s">
        <v>12</v>
      </c>
      <c r="I8" s="18" t="s">
        <v>43</v>
      </c>
      <c r="P8" s="1"/>
      <c r="Q8" s="1"/>
      <c r="R8" s="20" t="s">
        <v>52</v>
      </c>
    </row>
    <row r="9" spans="1:18" ht="15.6" x14ac:dyDescent="0.3">
      <c r="A9" s="3">
        <v>8</v>
      </c>
      <c r="B9" s="3" t="s">
        <v>20</v>
      </c>
      <c r="C9" s="3" t="s">
        <v>15</v>
      </c>
      <c r="D9" s="3" t="s">
        <v>16</v>
      </c>
      <c r="E9" s="12" t="s">
        <v>41</v>
      </c>
      <c r="F9" s="12" t="s">
        <v>42</v>
      </c>
      <c r="G9" t="s">
        <v>56</v>
      </c>
      <c r="H9" s="3" t="s">
        <v>12</v>
      </c>
      <c r="I9" s="18" t="s">
        <v>37</v>
      </c>
      <c r="P9" s="1"/>
      <c r="Q9" s="1"/>
      <c r="R9" s="20" t="s">
        <v>52</v>
      </c>
    </row>
    <row r="10" spans="1:18" ht="16.8" x14ac:dyDescent="0.4">
      <c r="A10" s="3">
        <v>9</v>
      </c>
      <c r="B10" s="3" t="s">
        <v>20</v>
      </c>
      <c r="C10" s="3" t="s">
        <v>15</v>
      </c>
      <c r="D10" s="3" t="s">
        <v>16</v>
      </c>
      <c r="E10" s="12" t="s">
        <v>46</v>
      </c>
      <c r="F10" s="12" t="s">
        <v>47</v>
      </c>
      <c r="G10" t="s">
        <v>56</v>
      </c>
      <c r="H10" s="3" t="s">
        <v>12</v>
      </c>
      <c r="I10" s="19" t="s">
        <v>49</v>
      </c>
      <c r="P10" s="1"/>
      <c r="Q10" s="1"/>
      <c r="R10" s="20" t="s">
        <v>52</v>
      </c>
    </row>
    <row r="11" spans="1:18" ht="16.8" x14ac:dyDescent="0.4">
      <c r="A11" s="3">
        <v>10</v>
      </c>
      <c r="B11" s="3" t="s">
        <v>20</v>
      </c>
      <c r="C11" s="3" t="s">
        <v>15</v>
      </c>
      <c r="D11" s="3" t="s">
        <v>16</v>
      </c>
      <c r="E11" s="21" t="s">
        <v>50</v>
      </c>
      <c r="F11" s="21" t="s">
        <v>51</v>
      </c>
      <c r="G11" t="s">
        <v>56</v>
      </c>
      <c r="H11" s="3" t="s">
        <v>12</v>
      </c>
      <c r="I11" s="19" t="s">
        <v>48</v>
      </c>
      <c r="P11" s="1"/>
      <c r="Q11" s="1"/>
      <c r="R11" s="20" t="s">
        <v>52</v>
      </c>
    </row>
    <row r="12" spans="1:18" ht="16.8" x14ac:dyDescent="0.4">
      <c r="A12" s="3">
        <v>11</v>
      </c>
      <c r="B12" s="3" t="s">
        <v>20</v>
      </c>
      <c r="C12" s="3" t="s">
        <v>15</v>
      </c>
      <c r="D12" s="3" t="s">
        <v>16</v>
      </c>
      <c r="E12" s="12" t="s">
        <v>44</v>
      </c>
      <c r="F12" s="12" t="s">
        <v>45</v>
      </c>
      <c r="G12" t="s">
        <v>56</v>
      </c>
      <c r="H12" s="3" t="s">
        <v>12</v>
      </c>
      <c r="I12" s="19" t="s">
        <v>49</v>
      </c>
      <c r="P12" s="1"/>
      <c r="Q12" s="1"/>
      <c r="R12" s="20" t="s">
        <v>52</v>
      </c>
    </row>
    <row r="13" spans="1:18" ht="16.8" x14ac:dyDescent="0.4">
      <c r="A13" s="3">
        <v>12</v>
      </c>
      <c r="B13" s="3" t="s">
        <v>20</v>
      </c>
      <c r="C13" s="3" t="s">
        <v>15</v>
      </c>
      <c r="D13" s="3" t="s">
        <v>16</v>
      </c>
      <c r="E13" s="21" t="s">
        <v>54</v>
      </c>
      <c r="G13" t="s">
        <v>56</v>
      </c>
      <c r="H13" s="3" t="s">
        <v>12</v>
      </c>
      <c r="I13" s="19" t="s">
        <v>53</v>
      </c>
      <c r="R13" s="20" t="s">
        <v>52</v>
      </c>
    </row>
    <row r="14" spans="1:18" ht="16.8" x14ac:dyDescent="0.4">
      <c r="A14" s="3">
        <v>13</v>
      </c>
      <c r="B14" s="3" t="s">
        <v>20</v>
      </c>
      <c r="C14" s="3" t="s">
        <v>15</v>
      </c>
      <c r="D14" s="3" t="s">
        <v>16</v>
      </c>
      <c r="E14" s="21" t="s">
        <v>55</v>
      </c>
      <c r="G14" t="s">
        <v>56</v>
      </c>
      <c r="H14" s="3" t="s">
        <v>12</v>
      </c>
      <c r="I14" s="19" t="s">
        <v>53</v>
      </c>
      <c r="R14" s="20" t="s">
        <v>52</v>
      </c>
    </row>
    <row r="15" spans="1:18" ht="15.6" x14ac:dyDescent="0.3">
      <c r="A15" s="3">
        <v>14</v>
      </c>
      <c r="B15" s="3" t="s">
        <v>24</v>
      </c>
      <c r="C15" s="3" t="s">
        <v>39</v>
      </c>
      <c r="D15" s="3" t="s">
        <v>16</v>
      </c>
      <c r="E15" s="10" t="s">
        <v>38</v>
      </c>
      <c r="F15" s="10" t="s">
        <v>40</v>
      </c>
      <c r="G15" t="s">
        <v>56</v>
      </c>
      <c r="H15" s="3" t="s">
        <v>12</v>
      </c>
      <c r="I15" s="18" t="s">
        <v>43</v>
      </c>
      <c r="P15" s="1"/>
      <c r="Q15" s="1"/>
      <c r="R15" s="20" t="s">
        <v>52</v>
      </c>
    </row>
    <row r="16" spans="1:18" ht="15.6" x14ac:dyDescent="0.3">
      <c r="A16" s="3">
        <v>15</v>
      </c>
      <c r="B16" s="3" t="s">
        <v>24</v>
      </c>
      <c r="C16" s="3" t="s">
        <v>15</v>
      </c>
      <c r="D16" s="3" t="s">
        <v>16</v>
      </c>
      <c r="E16" s="12" t="s">
        <v>41</v>
      </c>
      <c r="F16" s="12" t="s">
        <v>42</v>
      </c>
      <c r="G16" t="s">
        <v>56</v>
      </c>
      <c r="H16" s="3" t="s">
        <v>12</v>
      </c>
      <c r="I16" s="18" t="s">
        <v>37</v>
      </c>
      <c r="P16" s="1"/>
      <c r="Q16" s="1"/>
      <c r="R16" s="20" t="s">
        <v>52</v>
      </c>
    </row>
    <row r="17" spans="1:18" ht="16.8" x14ac:dyDescent="0.4">
      <c r="A17" s="3">
        <v>16</v>
      </c>
      <c r="B17" s="3" t="s">
        <v>24</v>
      </c>
      <c r="C17" s="3" t="s">
        <v>15</v>
      </c>
      <c r="D17" s="3" t="s">
        <v>16</v>
      </c>
      <c r="E17" s="12" t="s">
        <v>46</v>
      </c>
      <c r="F17" s="12" t="s">
        <v>47</v>
      </c>
      <c r="G17" t="s">
        <v>56</v>
      </c>
      <c r="H17" s="3" t="s">
        <v>12</v>
      </c>
      <c r="I17" s="19" t="s">
        <v>49</v>
      </c>
      <c r="P17" s="1"/>
      <c r="Q17" s="1"/>
      <c r="R17" s="20" t="s">
        <v>52</v>
      </c>
    </row>
    <row r="18" spans="1:18" ht="16.8" x14ac:dyDescent="0.4">
      <c r="A18" s="3">
        <v>17</v>
      </c>
      <c r="B18" s="3" t="s">
        <v>24</v>
      </c>
      <c r="C18" s="3" t="s">
        <v>15</v>
      </c>
      <c r="D18" s="3" t="s">
        <v>16</v>
      </c>
      <c r="E18" s="21" t="s">
        <v>50</v>
      </c>
      <c r="F18" s="21" t="s">
        <v>51</v>
      </c>
      <c r="G18" t="s">
        <v>56</v>
      </c>
      <c r="H18" s="3" t="s">
        <v>12</v>
      </c>
      <c r="I18" s="19" t="s">
        <v>48</v>
      </c>
      <c r="P18" s="1"/>
      <c r="Q18" s="1"/>
      <c r="R18" s="20" t="s">
        <v>52</v>
      </c>
    </row>
    <row r="19" spans="1:18" ht="16.8" x14ac:dyDescent="0.4">
      <c r="A19" s="3">
        <v>18</v>
      </c>
      <c r="B19" s="3" t="s">
        <v>24</v>
      </c>
      <c r="C19" s="3" t="s">
        <v>15</v>
      </c>
      <c r="D19" s="3" t="s">
        <v>16</v>
      </c>
      <c r="E19" s="12" t="s">
        <v>44</v>
      </c>
      <c r="F19" s="12" t="s">
        <v>45</v>
      </c>
      <c r="G19" t="s">
        <v>56</v>
      </c>
      <c r="H19" s="3" t="s">
        <v>12</v>
      </c>
      <c r="I19" s="19" t="s">
        <v>49</v>
      </c>
      <c r="P19" s="1"/>
      <c r="Q19" s="1"/>
      <c r="R19" s="20" t="s">
        <v>52</v>
      </c>
    </row>
    <row r="20" spans="1:18" ht="16.8" x14ac:dyDescent="0.4">
      <c r="A20" s="3">
        <v>19</v>
      </c>
      <c r="B20" s="3" t="s">
        <v>24</v>
      </c>
      <c r="C20" s="3" t="s">
        <v>15</v>
      </c>
      <c r="D20" s="3" t="s">
        <v>16</v>
      </c>
      <c r="E20" s="21" t="s">
        <v>54</v>
      </c>
      <c r="G20" t="s">
        <v>56</v>
      </c>
      <c r="H20" s="3" t="s">
        <v>12</v>
      </c>
      <c r="I20" s="19" t="s">
        <v>53</v>
      </c>
      <c r="R20" s="20" t="s">
        <v>52</v>
      </c>
    </row>
    <row r="21" spans="1:18" ht="16.8" x14ac:dyDescent="0.4">
      <c r="A21" s="3">
        <v>20</v>
      </c>
      <c r="B21" s="3" t="s">
        <v>24</v>
      </c>
      <c r="C21" s="3" t="s">
        <v>15</v>
      </c>
      <c r="D21" s="3" t="s">
        <v>16</v>
      </c>
      <c r="E21" s="21" t="s">
        <v>55</v>
      </c>
      <c r="G21" t="s">
        <v>56</v>
      </c>
      <c r="H21" s="3" t="s">
        <v>12</v>
      </c>
      <c r="I21" s="19" t="s">
        <v>53</v>
      </c>
      <c r="R21" s="20" t="s">
        <v>52</v>
      </c>
    </row>
    <row r="22" spans="1:18" x14ac:dyDescent="0.3">
      <c r="A22" s="3">
        <v>21</v>
      </c>
      <c r="P22" s="1"/>
      <c r="Q22" s="1"/>
    </row>
    <row r="23" spans="1:18" x14ac:dyDescent="0.3">
      <c r="A23" s="3">
        <v>22</v>
      </c>
      <c r="P23" s="1"/>
      <c r="Q23" s="1"/>
    </row>
    <row r="24" spans="1:18" x14ac:dyDescent="0.3">
      <c r="A24" s="3">
        <v>23</v>
      </c>
      <c r="P24" s="1"/>
      <c r="Q24" s="1"/>
    </row>
    <row r="25" spans="1:18" x14ac:dyDescent="0.3">
      <c r="A25" s="3">
        <v>24</v>
      </c>
      <c r="P25" s="1"/>
      <c r="Q25" s="1"/>
    </row>
    <row r="26" spans="1:18" x14ac:dyDescent="0.3">
      <c r="A26" s="3">
        <v>25</v>
      </c>
      <c r="P26" s="1"/>
      <c r="Q26" s="1"/>
    </row>
    <row r="27" spans="1:18" x14ac:dyDescent="0.3">
      <c r="A27" s="3">
        <v>26</v>
      </c>
      <c r="P27" s="1"/>
      <c r="Q27" s="1"/>
    </row>
    <row r="28" spans="1:18" x14ac:dyDescent="0.3">
      <c r="A28" s="3">
        <v>27</v>
      </c>
      <c r="P28" s="1"/>
      <c r="Q28" s="1"/>
    </row>
    <row r="29" spans="1:18" x14ac:dyDescent="0.3">
      <c r="A29" s="3">
        <v>28</v>
      </c>
      <c r="P29" s="1"/>
      <c r="Q29" s="1"/>
    </row>
    <row r="30" spans="1:18" x14ac:dyDescent="0.3">
      <c r="A30" s="3">
        <v>29</v>
      </c>
      <c r="P30" s="1"/>
      <c r="Q30" s="1"/>
    </row>
    <row r="31" spans="1:18" x14ac:dyDescent="0.3">
      <c r="A31" s="3">
        <v>30</v>
      </c>
      <c r="P31" s="1"/>
      <c r="Q31" s="1"/>
    </row>
    <row r="32" spans="1:18" x14ac:dyDescent="0.3">
      <c r="P32" s="1"/>
      <c r="Q32" s="1"/>
    </row>
    <row r="33" spans="9:17" x14ac:dyDescent="0.3">
      <c r="I33" s="5"/>
      <c r="P33" s="1"/>
      <c r="Q33" s="1"/>
    </row>
    <row r="34" spans="9:17" x14ac:dyDescent="0.3">
      <c r="I34" s="5"/>
      <c r="P34" s="1"/>
      <c r="Q34" s="1"/>
    </row>
    <row r="35" spans="9:17" x14ac:dyDescent="0.3">
      <c r="I35" s="5"/>
      <c r="P35" s="1"/>
      <c r="Q35" s="1"/>
    </row>
    <row r="36" spans="9:17" x14ac:dyDescent="0.3">
      <c r="I36" s="5"/>
      <c r="P36" s="1"/>
      <c r="Q36" s="1"/>
    </row>
    <row r="37" spans="9:17" x14ac:dyDescent="0.3">
      <c r="P37" s="1"/>
      <c r="Q37" s="1"/>
    </row>
    <row r="38" spans="9:17" x14ac:dyDescent="0.3">
      <c r="P38" s="1"/>
      <c r="Q38" s="1"/>
    </row>
    <row r="39" spans="9:17" x14ac:dyDescent="0.3">
      <c r="P39" s="1"/>
      <c r="Q39" s="1"/>
    </row>
    <row r="40" spans="9:17" x14ac:dyDescent="0.3">
      <c r="P40" s="1"/>
      <c r="Q40" s="1"/>
    </row>
    <row r="41" spans="9:17" x14ac:dyDescent="0.3">
      <c r="I41" s="5"/>
      <c r="P41" s="1"/>
      <c r="Q41" s="1"/>
    </row>
    <row r="42" spans="9:17" x14ac:dyDescent="0.3">
      <c r="I42" s="5"/>
      <c r="P42" s="1"/>
      <c r="Q42" s="1"/>
    </row>
    <row r="43" spans="9:17" x14ac:dyDescent="0.3">
      <c r="I43" s="5"/>
      <c r="P43" s="1"/>
      <c r="Q43" s="1"/>
    </row>
    <row r="44" spans="9:17" x14ac:dyDescent="0.3">
      <c r="I44" s="5"/>
      <c r="P44" s="1"/>
      <c r="Q44" s="1"/>
    </row>
    <row r="45" spans="9:17" x14ac:dyDescent="0.3">
      <c r="P45" s="1"/>
      <c r="Q45" s="1"/>
    </row>
    <row r="46" spans="9:17" x14ac:dyDescent="0.3">
      <c r="P46" s="1"/>
      <c r="Q46" s="1"/>
    </row>
    <row r="47" spans="9:17" x14ac:dyDescent="0.3">
      <c r="P47" s="1"/>
      <c r="Q47" s="1"/>
    </row>
    <row r="48" spans="9:17" x14ac:dyDescent="0.3">
      <c r="P48" s="1"/>
      <c r="Q48" s="1"/>
    </row>
    <row r="49" spans="5:17" x14ac:dyDescent="0.3">
      <c r="I49" s="5"/>
      <c r="P49" s="1"/>
      <c r="Q49" s="1"/>
    </row>
    <row r="50" spans="5:17" x14ac:dyDescent="0.3">
      <c r="I50" s="5"/>
      <c r="P50" s="1"/>
      <c r="Q50" s="1"/>
    </row>
    <row r="51" spans="5:17" x14ac:dyDescent="0.3">
      <c r="I51" s="5"/>
      <c r="P51" s="1"/>
      <c r="Q51" s="1"/>
    </row>
    <row r="52" spans="5:17" x14ac:dyDescent="0.3">
      <c r="I52" s="5"/>
      <c r="P52" s="1"/>
      <c r="Q52" s="1"/>
    </row>
    <row r="53" spans="5:17" x14ac:dyDescent="0.3">
      <c r="E53" s="2"/>
      <c r="F53" s="2"/>
      <c r="P53" s="1"/>
      <c r="Q53" s="1"/>
    </row>
    <row r="54" spans="5:17" x14ac:dyDescent="0.3">
      <c r="E54" s="2"/>
      <c r="P54" s="1"/>
      <c r="Q54" s="1"/>
    </row>
    <row r="55" spans="5:17" x14ac:dyDescent="0.3">
      <c r="E55" s="2"/>
      <c r="F55" s="2"/>
      <c r="P55" s="1"/>
      <c r="Q55" s="1"/>
    </row>
    <row r="56" spans="5:17" x14ac:dyDescent="0.3">
      <c r="E56" s="2"/>
      <c r="F56" s="2"/>
      <c r="P56" s="1"/>
      <c r="Q56" s="1"/>
    </row>
    <row r="57" spans="5:17" x14ac:dyDescent="0.3">
      <c r="E57" s="2"/>
      <c r="F57" s="2"/>
      <c r="P57" s="1"/>
      <c r="Q57" s="1"/>
    </row>
    <row r="58" spans="5:17" x14ac:dyDescent="0.3">
      <c r="E58" s="2"/>
      <c r="F58" s="2"/>
      <c r="P58" s="1"/>
      <c r="Q58" s="1"/>
    </row>
    <row r="59" spans="5:17" x14ac:dyDescent="0.3">
      <c r="E59" s="2"/>
      <c r="F59" s="2"/>
      <c r="P59" s="1"/>
      <c r="Q59" s="1"/>
    </row>
    <row r="60" spans="5:17" x14ac:dyDescent="0.3">
      <c r="E60" s="2"/>
      <c r="F60" s="2"/>
      <c r="P60" s="1"/>
      <c r="Q60" s="1"/>
    </row>
    <row r="61" spans="5:17" x14ac:dyDescent="0.3">
      <c r="E61" s="2"/>
      <c r="F61" s="2"/>
      <c r="P61" s="1"/>
      <c r="Q61" s="1"/>
    </row>
    <row r="62" spans="5:17" x14ac:dyDescent="0.3">
      <c r="E62" s="2"/>
      <c r="F62" s="2"/>
      <c r="P62" s="1"/>
      <c r="Q62" s="1"/>
    </row>
    <row r="63" spans="5:17" x14ac:dyDescent="0.3">
      <c r="E63" s="2"/>
      <c r="F63" s="2"/>
      <c r="P63" s="1"/>
      <c r="Q63" s="1"/>
    </row>
    <row r="64" spans="5:17" x14ac:dyDescent="0.3">
      <c r="E64" s="2"/>
      <c r="F64" s="2"/>
      <c r="P64" s="1"/>
      <c r="Q64" s="1"/>
    </row>
    <row r="65" spans="5:17" x14ac:dyDescent="0.3">
      <c r="E65" s="2"/>
      <c r="F65" s="2"/>
      <c r="P65" s="1"/>
      <c r="Q65" s="1"/>
    </row>
    <row r="66" spans="5:17" x14ac:dyDescent="0.3">
      <c r="E66" s="2"/>
      <c r="F66" s="2"/>
      <c r="P66" s="1"/>
      <c r="Q66" s="1"/>
    </row>
    <row r="67" spans="5:17" x14ac:dyDescent="0.3">
      <c r="E67" s="2"/>
      <c r="F67" s="2"/>
      <c r="P67" s="1"/>
      <c r="Q67" s="1"/>
    </row>
    <row r="68" spans="5:17" x14ac:dyDescent="0.3">
      <c r="E68" s="2"/>
      <c r="P68" s="1"/>
      <c r="Q68" s="1"/>
    </row>
    <row r="69" spans="5:17" x14ac:dyDescent="0.3">
      <c r="E69" s="2"/>
      <c r="F69" s="2"/>
      <c r="P69" s="1"/>
      <c r="Q69" s="1"/>
    </row>
    <row r="70" spans="5:17" x14ac:dyDescent="0.3">
      <c r="E70" s="2"/>
      <c r="F70" s="2"/>
      <c r="P70" s="1"/>
      <c r="Q70" s="1"/>
    </row>
    <row r="71" spans="5:17" x14ac:dyDescent="0.3">
      <c r="E71" s="2"/>
      <c r="F71" s="2"/>
      <c r="P71" s="1"/>
      <c r="Q71" s="1"/>
    </row>
    <row r="72" spans="5:17" x14ac:dyDescent="0.3">
      <c r="E72" s="7"/>
      <c r="F72" s="2"/>
      <c r="P72" s="1"/>
      <c r="Q72" s="1"/>
    </row>
    <row r="73" spans="5:17" x14ac:dyDescent="0.3">
      <c r="E73" s="2"/>
      <c r="P73" s="1"/>
      <c r="Q73" s="1"/>
    </row>
    <row r="74" spans="5:17" x14ac:dyDescent="0.3">
      <c r="P74" s="1"/>
      <c r="Q74" s="1"/>
    </row>
    <row r="75" spans="5:17" x14ac:dyDescent="0.3">
      <c r="P75" s="1"/>
      <c r="Q75" s="1"/>
    </row>
    <row r="76" spans="5:17" x14ac:dyDescent="0.3">
      <c r="P76" s="1"/>
      <c r="Q76" s="1"/>
    </row>
    <row r="77" spans="5:17" x14ac:dyDescent="0.3">
      <c r="P77" s="1"/>
      <c r="Q77" s="1"/>
    </row>
    <row r="78" spans="5:17" x14ac:dyDescent="0.3">
      <c r="P78" s="1"/>
      <c r="Q78" s="1"/>
    </row>
    <row r="79" spans="5:17" x14ac:dyDescent="0.3">
      <c r="P79" s="1"/>
      <c r="Q79" s="1"/>
    </row>
    <row r="80" spans="5:17" x14ac:dyDescent="0.3">
      <c r="P80" s="1"/>
      <c r="Q80" s="1"/>
    </row>
    <row r="81" spans="16:17" x14ac:dyDescent="0.3">
      <c r="P81" s="1"/>
      <c r="Q81" s="1"/>
    </row>
    <row r="82" spans="16:17" x14ac:dyDescent="0.3">
      <c r="P82" s="1"/>
      <c r="Q82" s="1"/>
    </row>
    <row r="83" spans="16:17" x14ac:dyDescent="0.3">
      <c r="P83" s="1"/>
      <c r="Q83" s="1"/>
    </row>
    <row r="84" spans="16:17" x14ac:dyDescent="0.3">
      <c r="P84" s="1"/>
      <c r="Q84" s="1"/>
    </row>
    <row r="85" spans="16:17" x14ac:dyDescent="0.3">
      <c r="P85" s="1"/>
      <c r="Q85" s="1"/>
    </row>
    <row r="86" spans="16:17" x14ac:dyDescent="0.3">
      <c r="P86" s="1"/>
      <c r="Q86" s="1"/>
    </row>
    <row r="87" spans="16:17" x14ac:dyDescent="0.3">
      <c r="P87" s="1"/>
      <c r="Q87" s="1"/>
    </row>
    <row r="88" spans="16:17" x14ac:dyDescent="0.3">
      <c r="P88" s="1"/>
      <c r="Q88" s="1"/>
    </row>
    <row r="89" spans="16:17" x14ac:dyDescent="0.3">
      <c r="P89" s="1"/>
      <c r="Q89" s="1"/>
    </row>
    <row r="90" spans="16:17" x14ac:dyDescent="0.3">
      <c r="P90" s="1"/>
      <c r="Q90" s="1"/>
    </row>
    <row r="91" spans="16:17" x14ac:dyDescent="0.3">
      <c r="P91" s="1"/>
      <c r="Q91" s="1"/>
    </row>
    <row r="92" spans="16:17" x14ac:dyDescent="0.3">
      <c r="P92" s="1"/>
      <c r="Q92" s="1"/>
    </row>
    <row r="93" spans="16:17" x14ac:dyDescent="0.3">
      <c r="P93" s="1"/>
      <c r="Q93" s="1"/>
    </row>
    <row r="94" spans="16:17" x14ac:dyDescent="0.3">
      <c r="P94" s="1"/>
      <c r="Q94" s="1"/>
    </row>
    <row r="95" spans="16:17" x14ac:dyDescent="0.3">
      <c r="P95" s="1"/>
      <c r="Q95" s="1"/>
    </row>
    <row r="96" spans="16:17" x14ac:dyDescent="0.3">
      <c r="P96" s="1"/>
      <c r="Q96" s="1"/>
    </row>
    <row r="97" spans="5:17" x14ac:dyDescent="0.3">
      <c r="P97" s="1"/>
      <c r="Q97" s="1"/>
    </row>
    <row r="98" spans="5:17" x14ac:dyDescent="0.3">
      <c r="P98" s="1"/>
      <c r="Q98" s="1"/>
    </row>
    <row r="99" spans="5:17" x14ac:dyDescent="0.3">
      <c r="P99" s="1"/>
      <c r="Q99" s="1"/>
    </row>
    <row r="100" spans="5:17" x14ac:dyDescent="0.3">
      <c r="P100" s="1"/>
      <c r="Q100" s="1"/>
    </row>
    <row r="101" spans="5:17" x14ac:dyDescent="0.3">
      <c r="P101" s="1"/>
      <c r="Q101" s="1"/>
    </row>
    <row r="102" spans="5:17" x14ac:dyDescent="0.3">
      <c r="P102" s="1"/>
      <c r="Q102" s="1"/>
    </row>
    <row r="103" spans="5:17" x14ac:dyDescent="0.3">
      <c r="P103" s="1"/>
      <c r="Q103" s="1"/>
    </row>
    <row r="104" spans="5:17" x14ac:dyDescent="0.3">
      <c r="P104" s="1"/>
      <c r="Q104" s="1"/>
    </row>
    <row r="105" spans="5:17" x14ac:dyDescent="0.3">
      <c r="E105" s="7"/>
      <c r="P105" s="1"/>
      <c r="Q105" s="1"/>
    </row>
    <row r="106" spans="5:17" x14ac:dyDescent="0.3">
      <c r="E106" s="7"/>
      <c r="P106" s="1"/>
      <c r="Q106" s="1"/>
    </row>
    <row r="107" spans="5:17" x14ac:dyDescent="0.3">
      <c r="E107" s="7"/>
      <c r="P107" s="1"/>
      <c r="Q107" s="1"/>
    </row>
    <row r="108" spans="5:17" x14ac:dyDescent="0.3">
      <c r="P108" s="1"/>
      <c r="Q108" s="1"/>
    </row>
    <row r="109" spans="5:17" x14ac:dyDescent="0.3">
      <c r="P109" s="1"/>
      <c r="Q109" s="1"/>
    </row>
    <row r="110" spans="5:17" x14ac:dyDescent="0.3">
      <c r="P110" s="1"/>
      <c r="Q110" s="1"/>
    </row>
    <row r="111" spans="5:17" x14ac:dyDescent="0.3">
      <c r="P111" s="1"/>
      <c r="Q111" s="1"/>
    </row>
    <row r="112" spans="5:17" x14ac:dyDescent="0.3">
      <c r="P112" s="1"/>
      <c r="Q112" s="1"/>
    </row>
    <row r="113" spans="5:17" x14ac:dyDescent="0.3">
      <c r="P113" s="1"/>
      <c r="Q113" s="1"/>
    </row>
    <row r="114" spans="5:17" x14ac:dyDescent="0.3">
      <c r="E114" s="7"/>
      <c r="P114" s="1"/>
      <c r="Q114" s="1"/>
    </row>
    <row r="115" spans="5:17" x14ac:dyDescent="0.3">
      <c r="E115" s="7"/>
      <c r="P115" s="1"/>
      <c r="Q115" s="1"/>
    </row>
    <row r="116" spans="5:17" x14ac:dyDescent="0.3">
      <c r="E116" s="7"/>
      <c r="P116" s="1"/>
      <c r="Q116" s="1"/>
    </row>
    <row r="117" spans="5:17" x14ac:dyDescent="0.3">
      <c r="E117" s="7"/>
      <c r="P117" s="1"/>
      <c r="Q117" s="1"/>
    </row>
    <row r="118" spans="5:17" x14ac:dyDescent="0.3">
      <c r="P118" s="1"/>
      <c r="Q118" s="1"/>
    </row>
    <row r="119" spans="5:17" x14ac:dyDescent="0.3">
      <c r="P119" s="1"/>
      <c r="Q119" s="1"/>
    </row>
    <row r="120" spans="5:17" x14ac:dyDescent="0.3">
      <c r="P120" s="1"/>
      <c r="Q120" s="1"/>
    </row>
    <row r="121" spans="5:17" x14ac:dyDescent="0.3">
      <c r="P121" s="1"/>
      <c r="Q121" s="1"/>
    </row>
    <row r="122" spans="5:17" x14ac:dyDescent="0.3">
      <c r="P122" s="1"/>
      <c r="Q122" s="1"/>
    </row>
    <row r="123" spans="5:17" x14ac:dyDescent="0.3">
      <c r="P123" s="1"/>
      <c r="Q123" s="1"/>
    </row>
    <row r="124" spans="5:17" x14ac:dyDescent="0.3">
      <c r="P124" s="1"/>
      <c r="Q124" s="1"/>
    </row>
    <row r="125" spans="5:17" x14ac:dyDescent="0.3">
      <c r="P125" s="1"/>
      <c r="Q125" s="1"/>
    </row>
    <row r="126" spans="5:17" x14ac:dyDescent="0.3">
      <c r="P126" s="1"/>
      <c r="Q126" s="1"/>
    </row>
    <row r="127" spans="5:17" x14ac:dyDescent="0.3">
      <c r="P127" s="1"/>
      <c r="Q127" s="1"/>
    </row>
    <row r="128" spans="5:17" x14ac:dyDescent="0.3">
      <c r="P128" s="1"/>
      <c r="Q128" s="1"/>
    </row>
    <row r="129" spans="5:17" x14ac:dyDescent="0.3">
      <c r="E129" s="7"/>
      <c r="P129" s="1"/>
      <c r="Q129" s="1"/>
    </row>
    <row r="130" spans="5:17" x14ac:dyDescent="0.3">
      <c r="E130" s="7"/>
      <c r="P130" s="1"/>
      <c r="Q130" s="1"/>
    </row>
    <row r="131" spans="5:17" x14ac:dyDescent="0.3">
      <c r="P131" s="1"/>
      <c r="Q131" s="1"/>
    </row>
    <row r="132" spans="5:17" x14ac:dyDescent="0.3">
      <c r="P132" s="1"/>
      <c r="Q132" s="1"/>
    </row>
    <row r="133" spans="5:17" x14ac:dyDescent="0.3">
      <c r="P133" s="1"/>
      <c r="Q133" s="1"/>
    </row>
    <row r="134" spans="5:17" x14ac:dyDescent="0.3">
      <c r="P134" s="1"/>
      <c r="Q134" s="1"/>
    </row>
    <row r="135" spans="5:17" x14ac:dyDescent="0.3">
      <c r="P135" s="1"/>
      <c r="Q135" s="1"/>
    </row>
    <row r="136" spans="5:17" x14ac:dyDescent="0.3">
      <c r="P136" s="1"/>
      <c r="Q136" s="1"/>
    </row>
    <row r="137" spans="5:17" x14ac:dyDescent="0.3">
      <c r="P137" s="1"/>
      <c r="Q137" s="1"/>
    </row>
    <row r="138" spans="5:17" x14ac:dyDescent="0.3">
      <c r="E138" s="2"/>
      <c r="F138" s="2"/>
      <c r="P138" s="1"/>
      <c r="Q138" s="1"/>
    </row>
    <row r="139" spans="5:17" x14ac:dyDescent="0.3">
      <c r="E139" s="2"/>
      <c r="F139" s="2"/>
      <c r="P139" s="1"/>
      <c r="Q139" s="1"/>
    </row>
    <row r="140" spans="5:17" x14ac:dyDescent="0.3">
      <c r="E140" s="2"/>
      <c r="F140" s="2"/>
      <c r="P140" s="1"/>
      <c r="Q140" s="1"/>
    </row>
    <row r="141" spans="5:17" x14ac:dyDescent="0.3">
      <c r="E141" s="2"/>
      <c r="F141" s="2"/>
      <c r="P141" s="1"/>
      <c r="Q141" s="1"/>
    </row>
    <row r="142" spans="5:17" x14ac:dyDescent="0.3">
      <c r="P142" s="1"/>
      <c r="Q142" s="1"/>
    </row>
    <row r="143" spans="5:17" x14ac:dyDescent="0.3">
      <c r="P143" s="1"/>
      <c r="Q143" s="1"/>
    </row>
    <row r="144" spans="5:17" x14ac:dyDescent="0.3">
      <c r="P144" s="1"/>
      <c r="Q144" s="1"/>
    </row>
    <row r="145" spans="16:17" x14ac:dyDescent="0.3">
      <c r="P145" s="1"/>
      <c r="Q145" s="1"/>
    </row>
    <row r="146" spans="16:17" x14ac:dyDescent="0.3">
      <c r="P146" s="1"/>
      <c r="Q146" s="1"/>
    </row>
    <row r="147" spans="16:17" x14ac:dyDescent="0.3">
      <c r="P147" s="1"/>
      <c r="Q147" s="1"/>
    </row>
    <row r="148" spans="16:17" x14ac:dyDescent="0.3">
      <c r="P148" s="1"/>
      <c r="Q148" s="1"/>
    </row>
    <row r="149" spans="16:17" x14ac:dyDescent="0.3">
      <c r="P149" s="1"/>
      <c r="Q149" s="1"/>
    </row>
    <row r="150" spans="16:17" x14ac:dyDescent="0.3">
      <c r="P150" s="1"/>
      <c r="Q150" s="1"/>
    </row>
    <row r="151" spans="16:17" x14ac:dyDescent="0.3">
      <c r="P151" s="1"/>
      <c r="Q151" s="1"/>
    </row>
    <row r="152" spans="16:17" x14ac:dyDescent="0.3">
      <c r="P152" s="1"/>
      <c r="Q152" s="1"/>
    </row>
    <row r="153" spans="16:17" x14ac:dyDescent="0.3">
      <c r="P153" s="1"/>
      <c r="Q153" s="1"/>
    </row>
    <row r="154" spans="16:17" x14ac:dyDescent="0.3">
      <c r="P154" s="1"/>
      <c r="Q154" s="1"/>
    </row>
    <row r="155" spans="16:17" x14ac:dyDescent="0.3">
      <c r="P155" s="1"/>
      <c r="Q155" s="1"/>
    </row>
    <row r="156" spans="16:17" x14ac:dyDescent="0.3">
      <c r="P156" s="1"/>
      <c r="Q156" s="1"/>
    </row>
    <row r="157" spans="16:17" x14ac:dyDescent="0.3">
      <c r="P157" s="1"/>
      <c r="Q157" s="1"/>
    </row>
    <row r="158" spans="16:17" x14ac:dyDescent="0.3">
      <c r="P158" s="1"/>
      <c r="Q158" s="1"/>
    </row>
    <row r="159" spans="16:17" x14ac:dyDescent="0.3">
      <c r="P159" s="1"/>
      <c r="Q159" s="1"/>
    </row>
    <row r="160" spans="16:17" x14ac:dyDescent="0.3">
      <c r="P160" s="1"/>
      <c r="Q160" s="1"/>
    </row>
    <row r="161" spans="5:17" x14ac:dyDescent="0.3">
      <c r="P161" s="1"/>
      <c r="Q161" s="1"/>
    </row>
    <row r="162" spans="5:17" x14ac:dyDescent="0.3">
      <c r="P162" s="1"/>
      <c r="Q162" s="1"/>
    </row>
    <row r="163" spans="5:17" x14ac:dyDescent="0.3">
      <c r="P163" s="1"/>
      <c r="Q163" s="1"/>
    </row>
    <row r="164" spans="5:17" x14ac:dyDescent="0.3">
      <c r="E164" s="7"/>
      <c r="P164" s="1"/>
      <c r="Q164" s="1"/>
    </row>
    <row r="165" spans="5:17" x14ac:dyDescent="0.3">
      <c r="E165" s="7"/>
      <c r="P165" s="1"/>
      <c r="Q165" s="1"/>
    </row>
    <row r="166" spans="5:17" x14ac:dyDescent="0.3">
      <c r="E166" s="7"/>
      <c r="P166" s="1"/>
      <c r="Q166" s="1"/>
    </row>
    <row r="167" spans="5:17" x14ac:dyDescent="0.3">
      <c r="E167" s="7"/>
      <c r="P167" s="1"/>
      <c r="Q167" s="1"/>
    </row>
    <row r="168" spans="5:17" x14ac:dyDescent="0.3">
      <c r="E168" s="7"/>
      <c r="P168" s="1"/>
      <c r="Q168" s="1"/>
    </row>
    <row r="169" spans="5:17" x14ac:dyDescent="0.3">
      <c r="E169" s="7"/>
      <c r="P169" s="1"/>
      <c r="Q169" s="1"/>
    </row>
    <row r="170" spans="5:17" x14ac:dyDescent="0.3">
      <c r="E170" s="7"/>
      <c r="P170" s="1"/>
      <c r="Q170" s="1"/>
    </row>
    <row r="171" spans="5:17" x14ac:dyDescent="0.3">
      <c r="E171" s="7"/>
      <c r="P171" s="1"/>
      <c r="Q171" s="1"/>
    </row>
    <row r="172" spans="5:17" x14ac:dyDescent="0.3">
      <c r="P172" s="1"/>
      <c r="Q172" s="1"/>
    </row>
    <row r="173" spans="5:17" x14ac:dyDescent="0.3">
      <c r="P173" s="1"/>
      <c r="Q173" s="1"/>
    </row>
    <row r="174" spans="5:17" x14ac:dyDescent="0.3">
      <c r="P174" s="1"/>
      <c r="Q174" s="1"/>
    </row>
    <row r="175" spans="5:17" x14ac:dyDescent="0.3">
      <c r="P175" s="1"/>
      <c r="Q175" s="1"/>
    </row>
    <row r="176" spans="5:17" x14ac:dyDescent="0.3">
      <c r="P176" s="1"/>
      <c r="Q176" s="1"/>
    </row>
    <row r="177" spans="5:17" x14ac:dyDescent="0.3">
      <c r="P177" s="1"/>
      <c r="Q177" s="1"/>
    </row>
    <row r="178" spans="5:17" x14ac:dyDescent="0.3">
      <c r="P178" s="1"/>
      <c r="Q178" s="1"/>
    </row>
    <row r="179" spans="5:17" x14ac:dyDescent="0.3">
      <c r="E179" s="7"/>
      <c r="P179" s="1"/>
      <c r="Q179" s="1"/>
    </row>
    <row r="180" spans="5:17" x14ac:dyDescent="0.3">
      <c r="E180" s="2"/>
      <c r="F180" s="2"/>
      <c r="P180" s="1"/>
      <c r="Q180" s="1"/>
    </row>
    <row r="181" spans="5:17" x14ac:dyDescent="0.3">
      <c r="E181" s="2"/>
      <c r="P181" s="1"/>
      <c r="Q181" s="1"/>
    </row>
    <row r="182" spans="5:17" x14ac:dyDescent="0.3">
      <c r="E182" s="2"/>
      <c r="F182" s="2"/>
      <c r="P182" s="1"/>
      <c r="Q182" s="1"/>
    </row>
    <row r="183" spans="5:17" x14ac:dyDescent="0.3">
      <c r="E183" s="2"/>
      <c r="F183" s="2"/>
      <c r="P183" s="1"/>
      <c r="Q183" s="1"/>
    </row>
    <row r="184" spans="5:17" x14ac:dyDescent="0.3">
      <c r="E184" s="2"/>
      <c r="F184" s="2"/>
      <c r="P184" s="1"/>
      <c r="Q184" s="1"/>
    </row>
    <row r="185" spans="5:17" x14ac:dyDescent="0.3">
      <c r="E185" s="2"/>
      <c r="F185" s="2"/>
      <c r="P185" s="1"/>
      <c r="Q185" s="1"/>
    </row>
    <row r="186" spans="5:17" x14ac:dyDescent="0.3">
      <c r="E186" s="2"/>
      <c r="F186" s="2"/>
      <c r="P186" s="1"/>
      <c r="Q186" s="1"/>
    </row>
    <row r="187" spans="5:17" x14ac:dyDescent="0.3">
      <c r="E187" s="2"/>
      <c r="F187" s="2"/>
      <c r="P187" s="1"/>
      <c r="Q187" s="1"/>
    </row>
    <row r="188" spans="5:17" x14ac:dyDescent="0.3">
      <c r="E188" s="2"/>
      <c r="F188" s="2"/>
      <c r="P188" s="1"/>
      <c r="Q188" s="1"/>
    </row>
    <row r="189" spans="5:17" x14ac:dyDescent="0.3">
      <c r="E189" s="2"/>
      <c r="F189" s="2"/>
      <c r="P189" s="1"/>
      <c r="Q189" s="1"/>
    </row>
    <row r="190" spans="5:17" x14ac:dyDescent="0.3">
      <c r="E190" s="2"/>
      <c r="F190" s="2"/>
      <c r="P190" s="1"/>
      <c r="Q190" s="1"/>
    </row>
    <row r="191" spans="5:17" x14ac:dyDescent="0.3">
      <c r="E191" s="2"/>
      <c r="F191" s="2"/>
      <c r="P191" s="1"/>
      <c r="Q191" s="1"/>
    </row>
    <row r="192" spans="5:17" x14ac:dyDescent="0.3">
      <c r="E192" s="2"/>
      <c r="F192" s="2"/>
      <c r="P192" s="1"/>
      <c r="Q192" s="1"/>
    </row>
    <row r="193" spans="5:17" x14ac:dyDescent="0.3">
      <c r="E193" s="2"/>
      <c r="P193" s="1"/>
      <c r="Q193" s="1"/>
    </row>
    <row r="194" spans="5:17" x14ac:dyDescent="0.3">
      <c r="E194" s="2"/>
      <c r="F194" s="2"/>
      <c r="P194" s="1"/>
      <c r="Q194" s="1"/>
    </row>
    <row r="195" spans="5:17" x14ac:dyDescent="0.3">
      <c r="E195" s="2"/>
      <c r="F195" s="2"/>
      <c r="P195" s="1"/>
      <c r="Q195" s="1"/>
    </row>
    <row r="196" spans="5:17" x14ac:dyDescent="0.3">
      <c r="E196" s="2"/>
      <c r="F196" s="2"/>
      <c r="P196" s="1"/>
      <c r="Q196" s="1"/>
    </row>
    <row r="197" spans="5:17" x14ac:dyDescent="0.3">
      <c r="E197" s="7"/>
      <c r="P197" s="1"/>
      <c r="Q197" s="1"/>
    </row>
    <row r="198" spans="5:17" x14ac:dyDescent="0.3">
      <c r="E198" s="7"/>
      <c r="P198" s="1"/>
      <c r="Q198" s="1"/>
    </row>
    <row r="199" spans="5:17" x14ac:dyDescent="0.3">
      <c r="P199" s="1"/>
      <c r="Q199" s="1"/>
    </row>
    <row r="200" spans="5:17" x14ac:dyDescent="0.3">
      <c r="P200" s="1"/>
      <c r="Q200" s="1"/>
    </row>
    <row r="201" spans="5:17" x14ac:dyDescent="0.3">
      <c r="P201" s="1"/>
      <c r="Q201" s="1"/>
    </row>
    <row r="202" spans="5:17" x14ac:dyDescent="0.3">
      <c r="P202" s="1"/>
      <c r="Q202" s="1"/>
    </row>
    <row r="203" spans="5:17" x14ac:dyDescent="0.3">
      <c r="P203" s="1"/>
      <c r="Q203" s="1"/>
    </row>
    <row r="204" spans="5:17" x14ac:dyDescent="0.3">
      <c r="P204" s="1"/>
      <c r="Q204" s="1"/>
    </row>
    <row r="205" spans="5:17" x14ac:dyDescent="0.3">
      <c r="E205" s="7"/>
      <c r="P205" s="1"/>
      <c r="Q205" s="1"/>
    </row>
    <row r="206" spans="5:17" x14ac:dyDescent="0.3">
      <c r="E206" s="7"/>
      <c r="P206" s="1"/>
      <c r="Q206" s="1"/>
    </row>
    <row r="207" spans="5:17" x14ac:dyDescent="0.3">
      <c r="E207" s="7"/>
      <c r="P207" s="1"/>
      <c r="Q207" s="1"/>
    </row>
    <row r="208" spans="5:17" x14ac:dyDescent="0.3">
      <c r="P208" s="1"/>
      <c r="Q208" s="1"/>
    </row>
    <row r="209" spans="5:17" x14ac:dyDescent="0.3">
      <c r="P209" s="1"/>
      <c r="Q209" s="1"/>
    </row>
    <row r="210" spans="5:17" x14ac:dyDescent="0.3">
      <c r="P210" s="1"/>
      <c r="Q210" s="1"/>
    </row>
    <row r="211" spans="5:17" x14ac:dyDescent="0.3">
      <c r="P211" s="1"/>
      <c r="Q211" s="1"/>
    </row>
    <row r="212" spans="5:17" x14ac:dyDescent="0.3">
      <c r="P212" s="1"/>
      <c r="Q212" s="1"/>
    </row>
    <row r="213" spans="5:17" x14ac:dyDescent="0.3">
      <c r="P213" s="1"/>
      <c r="Q213" s="1"/>
    </row>
    <row r="214" spans="5:17" x14ac:dyDescent="0.3">
      <c r="P214" s="1"/>
      <c r="Q214" s="1"/>
    </row>
    <row r="215" spans="5:17" x14ac:dyDescent="0.3">
      <c r="P215" s="1"/>
      <c r="Q215" s="1"/>
    </row>
    <row r="216" spans="5:17" x14ac:dyDescent="0.3">
      <c r="P216" s="1"/>
      <c r="Q216" s="1"/>
    </row>
    <row r="217" spans="5:17" x14ac:dyDescent="0.3">
      <c r="P217" s="1"/>
      <c r="Q217" s="1"/>
    </row>
    <row r="218" spans="5:17" x14ac:dyDescent="0.3">
      <c r="P218" s="1"/>
      <c r="Q218" s="1"/>
    </row>
    <row r="219" spans="5:17" x14ac:dyDescent="0.3">
      <c r="P219" s="1"/>
      <c r="Q219" s="1"/>
    </row>
    <row r="220" spans="5:17" x14ac:dyDescent="0.3">
      <c r="P220" s="1"/>
      <c r="Q220" s="1"/>
    </row>
    <row r="221" spans="5:17" x14ac:dyDescent="0.3">
      <c r="P221" s="1"/>
      <c r="Q221" s="1"/>
    </row>
    <row r="222" spans="5:17" x14ac:dyDescent="0.3">
      <c r="P222" s="1"/>
      <c r="Q222" s="1"/>
    </row>
    <row r="223" spans="5:17" x14ac:dyDescent="0.3">
      <c r="P223" s="1"/>
      <c r="Q223" s="1"/>
    </row>
    <row r="224" spans="5:17" x14ac:dyDescent="0.3">
      <c r="E224" s="7"/>
      <c r="P224" s="1"/>
      <c r="Q224" s="1"/>
    </row>
    <row r="225" spans="5:17" x14ac:dyDescent="0.3">
      <c r="E225" s="7"/>
      <c r="P225" s="1"/>
      <c r="Q225" s="1"/>
    </row>
    <row r="226" spans="5:17" x14ac:dyDescent="0.3">
      <c r="P226" s="1"/>
      <c r="Q226" s="1"/>
    </row>
    <row r="227" spans="5:17" x14ac:dyDescent="0.3">
      <c r="P227" s="1"/>
      <c r="Q227" s="1"/>
    </row>
    <row r="228" spans="5:17" x14ac:dyDescent="0.3">
      <c r="P228" s="1"/>
      <c r="Q228" s="1"/>
    </row>
    <row r="229" spans="5:17" x14ac:dyDescent="0.3">
      <c r="P229" s="1"/>
      <c r="Q229" s="1"/>
    </row>
    <row r="230" spans="5:17" x14ac:dyDescent="0.3">
      <c r="P230" s="1"/>
      <c r="Q230" s="1"/>
    </row>
    <row r="231" spans="5:17" x14ac:dyDescent="0.3">
      <c r="P231" s="1"/>
      <c r="Q231" s="1"/>
    </row>
    <row r="232" spans="5:17" x14ac:dyDescent="0.3">
      <c r="P232" s="1"/>
      <c r="Q232" s="1"/>
    </row>
    <row r="233" spans="5:17" x14ac:dyDescent="0.3">
      <c r="P233" s="1"/>
      <c r="Q233" s="1"/>
    </row>
    <row r="234" spans="5:17" x14ac:dyDescent="0.3">
      <c r="P234" s="1"/>
      <c r="Q234" s="1"/>
    </row>
    <row r="235" spans="5:17" x14ac:dyDescent="0.3">
      <c r="P235" s="1"/>
      <c r="Q235" s="1"/>
    </row>
    <row r="236" spans="5:17" x14ac:dyDescent="0.3">
      <c r="P236" s="1"/>
      <c r="Q236" s="1"/>
    </row>
    <row r="237" spans="5:17" x14ac:dyDescent="0.3">
      <c r="E237" s="7"/>
      <c r="P237" s="1"/>
      <c r="Q237" s="1"/>
    </row>
    <row r="238" spans="5:17" x14ac:dyDescent="0.3">
      <c r="I238" s="5"/>
      <c r="P238" s="1"/>
      <c r="Q238" s="1"/>
    </row>
    <row r="239" spans="5:17" x14ac:dyDescent="0.3">
      <c r="I239" s="5"/>
      <c r="P239" s="1"/>
      <c r="Q239" s="1"/>
    </row>
    <row r="240" spans="5:17" x14ac:dyDescent="0.3">
      <c r="E240" s="7"/>
      <c r="P240" s="1"/>
      <c r="Q240" s="1"/>
    </row>
    <row r="241" spans="5:17" x14ac:dyDescent="0.3">
      <c r="P241" s="1"/>
      <c r="Q241" s="1"/>
    </row>
    <row r="242" spans="5:17" x14ac:dyDescent="0.3">
      <c r="P242" s="1"/>
      <c r="Q242" s="1"/>
    </row>
    <row r="243" spans="5:17" x14ac:dyDescent="0.3">
      <c r="E243" s="7"/>
      <c r="P243" s="1"/>
      <c r="Q243" s="1"/>
    </row>
    <row r="244" spans="5:17" x14ac:dyDescent="0.3">
      <c r="E244" s="7"/>
      <c r="P244" s="1"/>
      <c r="Q244" s="1"/>
    </row>
    <row r="245" spans="5:17" x14ac:dyDescent="0.3">
      <c r="E245" s="7"/>
      <c r="P245" s="1"/>
      <c r="Q245" s="1"/>
    </row>
    <row r="246" spans="5:17" x14ac:dyDescent="0.3">
      <c r="P246" s="1"/>
      <c r="Q246" s="1"/>
    </row>
    <row r="247" spans="5:17" x14ac:dyDescent="0.3">
      <c r="P247" s="1"/>
      <c r="Q247" s="1"/>
    </row>
    <row r="248" spans="5:17" x14ac:dyDescent="0.3">
      <c r="P248" s="1"/>
      <c r="Q248" s="1"/>
    </row>
    <row r="249" spans="5:17" x14ac:dyDescent="0.3">
      <c r="P249" s="1"/>
      <c r="Q249" s="1"/>
    </row>
    <row r="250" spans="5:17" x14ac:dyDescent="0.3">
      <c r="P250" s="1"/>
      <c r="Q250" s="1"/>
    </row>
    <row r="251" spans="5:17" x14ac:dyDescent="0.3">
      <c r="P251" s="1"/>
      <c r="Q251" s="1"/>
    </row>
    <row r="252" spans="5:17" x14ac:dyDescent="0.3">
      <c r="P252" s="1"/>
      <c r="Q252" s="1"/>
    </row>
    <row r="253" spans="5:17" x14ac:dyDescent="0.3">
      <c r="P253" s="1"/>
      <c r="Q253" s="1"/>
    </row>
    <row r="254" spans="5:17" x14ac:dyDescent="0.3">
      <c r="P254" s="1"/>
      <c r="Q254" s="1"/>
    </row>
    <row r="255" spans="5:17" x14ac:dyDescent="0.3">
      <c r="P255" s="1"/>
      <c r="Q255" s="1"/>
    </row>
    <row r="256" spans="5:17" x14ac:dyDescent="0.3">
      <c r="P256" s="1"/>
      <c r="Q256" s="1"/>
    </row>
    <row r="257" spans="5:17" x14ac:dyDescent="0.3">
      <c r="P257" s="1"/>
      <c r="Q257" s="1"/>
    </row>
    <row r="258" spans="5:17" x14ac:dyDescent="0.3">
      <c r="P258" s="1"/>
      <c r="Q258" s="1"/>
    </row>
    <row r="259" spans="5:17" x14ac:dyDescent="0.3">
      <c r="P259" s="1"/>
      <c r="Q259" s="1"/>
    </row>
    <row r="260" spans="5:17" x14ac:dyDescent="0.3">
      <c r="P260" s="1"/>
      <c r="Q260" s="1"/>
    </row>
    <row r="261" spans="5:17" x14ac:dyDescent="0.3">
      <c r="P261" s="1"/>
      <c r="Q261" s="1"/>
    </row>
    <row r="262" spans="5:17" x14ac:dyDescent="0.3">
      <c r="P262" s="1"/>
      <c r="Q262" s="1"/>
    </row>
    <row r="263" spans="5:17" x14ac:dyDescent="0.3">
      <c r="P263" s="1"/>
      <c r="Q263" s="1"/>
    </row>
    <row r="264" spans="5:17" x14ac:dyDescent="0.3">
      <c r="P264" s="1"/>
      <c r="Q264" s="1"/>
    </row>
    <row r="265" spans="5:17" x14ac:dyDescent="0.3">
      <c r="P265" s="1"/>
      <c r="Q265" s="1"/>
    </row>
    <row r="266" spans="5:17" x14ac:dyDescent="0.3">
      <c r="P266" s="1"/>
      <c r="Q266" s="1"/>
    </row>
    <row r="267" spans="5:17" x14ac:dyDescent="0.3">
      <c r="P267" s="1"/>
      <c r="Q267" s="1"/>
    </row>
    <row r="268" spans="5:17" x14ac:dyDescent="0.3">
      <c r="E268" s="7"/>
      <c r="P268" s="1"/>
      <c r="Q268" s="1"/>
    </row>
    <row r="269" spans="5:17" x14ac:dyDescent="0.3">
      <c r="P269" s="1"/>
      <c r="Q269" s="1"/>
    </row>
    <row r="270" spans="5:17" x14ac:dyDescent="0.3">
      <c r="E270" s="7"/>
      <c r="P270" s="1"/>
      <c r="Q270" s="1"/>
    </row>
    <row r="271" spans="5:17" x14ac:dyDescent="0.3">
      <c r="E271" s="7"/>
      <c r="I271" s="5"/>
      <c r="P271" s="1"/>
      <c r="Q271" s="1"/>
    </row>
    <row r="272" spans="5:17" x14ac:dyDescent="0.3">
      <c r="E272" s="7"/>
      <c r="P272" s="1"/>
      <c r="Q272" s="1"/>
    </row>
    <row r="273" spans="5:17" x14ac:dyDescent="0.3">
      <c r="E273" s="7"/>
      <c r="P273" s="1"/>
      <c r="Q273" s="1"/>
    </row>
    <row r="274" spans="5:17" x14ac:dyDescent="0.3">
      <c r="E274" s="7"/>
      <c r="P274" s="1"/>
      <c r="Q274" s="1"/>
    </row>
    <row r="275" spans="5:17" x14ac:dyDescent="0.3">
      <c r="E275" s="7"/>
      <c r="P275" s="1"/>
      <c r="Q275" s="1"/>
    </row>
    <row r="276" spans="5:17" x14ac:dyDescent="0.3">
      <c r="E276" s="7"/>
      <c r="P276" s="1"/>
      <c r="Q276" s="1"/>
    </row>
    <row r="277" spans="5:17" x14ac:dyDescent="0.3">
      <c r="E277" s="7"/>
      <c r="P277" s="1"/>
      <c r="Q277" s="1"/>
    </row>
    <row r="278" spans="5:17" x14ac:dyDescent="0.3">
      <c r="E278" s="7"/>
      <c r="P278" s="1"/>
      <c r="Q278" s="1"/>
    </row>
    <row r="279" spans="5:17" x14ac:dyDescent="0.3">
      <c r="P279" s="4"/>
      <c r="Q279" s="4"/>
    </row>
    <row r="280" spans="5:17" x14ac:dyDescent="0.3">
      <c r="P280" s="4"/>
      <c r="Q280" s="4"/>
    </row>
    <row r="281" spans="5:17" x14ac:dyDescent="0.3">
      <c r="P281" s="4"/>
      <c r="Q281" s="4"/>
    </row>
    <row r="282" spans="5:17" x14ac:dyDescent="0.3">
      <c r="E282" s="2"/>
      <c r="F282" s="2"/>
      <c r="P282" s="1"/>
      <c r="Q282" s="1"/>
    </row>
    <row r="283" spans="5:17" x14ac:dyDescent="0.3">
      <c r="E283" s="2"/>
      <c r="P283" s="1"/>
      <c r="Q283" s="1"/>
    </row>
    <row r="284" spans="5:17" x14ac:dyDescent="0.3">
      <c r="E284" s="2"/>
      <c r="F284" s="2"/>
      <c r="P284" s="1"/>
      <c r="Q284" s="1"/>
    </row>
    <row r="285" spans="5:17" x14ac:dyDescent="0.3">
      <c r="E285" s="2"/>
      <c r="F285" s="2"/>
      <c r="P285" s="1"/>
      <c r="Q285" s="1"/>
    </row>
    <row r="286" spans="5:17" x14ac:dyDescent="0.3">
      <c r="E286" s="2"/>
      <c r="F286" s="2"/>
      <c r="P286" s="1"/>
      <c r="Q286" s="1"/>
    </row>
    <row r="287" spans="5:17" x14ac:dyDescent="0.3">
      <c r="E287" s="2"/>
      <c r="F287" s="2"/>
      <c r="P287" s="1"/>
      <c r="Q287" s="1"/>
    </row>
    <row r="288" spans="5:17" x14ac:dyDescent="0.3">
      <c r="E288" s="2"/>
      <c r="F288" s="2"/>
      <c r="P288" s="1"/>
      <c r="Q288" s="1"/>
    </row>
    <row r="289" spans="5:17" x14ac:dyDescent="0.3">
      <c r="E289" s="2"/>
      <c r="F289" s="2"/>
      <c r="P289" s="1"/>
      <c r="Q289" s="1"/>
    </row>
    <row r="290" spans="5:17" x14ac:dyDescent="0.3">
      <c r="E290" s="2"/>
      <c r="F290" s="2"/>
      <c r="P290" s="1"/>
      <c r="Q290" s="1"/>
    </row>
    <row r="291" spans="5:17" x14ac:dyDescent="0.3">
      <c r="E291" s="2"/>
      <c r="F291" s="2"/>
      <c r="P291" s="1"/>
      <c r="Q291" s="1"/>
    </row>
    <row r="292" spans="5:17" x14ac:dyDescent="0.3">
      <c r="E292" s="2"/>
      <c r="F292" s="2"/>
      <c r="P292" s="1"/>
      <c r="Q292" s="1"/>
    </row>
    <row r="293" spans="5:17" x14ac:dyDescent="0.3">
      <c r="E293" s="2"/>
      <c r="F293" s="2"/>
      <c r="P293" s="1"/>
      <c r="Q293" s="1"/>
    </row>
    <row r="294" spans="5:17" x14ac:dyDescent="0.3">
      <c r="E294" s="2"/>
      <c r="F294" s="2"/>
      <c r="P294" s="1"/>
      <c r="Q294" s="1"/>
    </row>
    <row r="295" spans="5:17" x14ac:dyDescent="0.3">
      <c r="E295" s="2"/>
      <c r="F295" s="2"/>
      <c r="P295" s="1"/>
      <c r="Q295" s="1"/>
    </row>
    <row r="296" spans="5:17" x14ac:dyDescent="0.3">
      <c r="E296" s="2"/>
      <c r="F296" s="2"/>
      <c r="P296" s="1"/>
      <c r="Q296" s="1"/>
    </row>
    <row r="297" spans="5:17" x14ac:dyDescent="0.3">
      <c r="E297" s="2"/>
      <c r="P297" s="1"/>
      <c r="Q297" s="1"/>
    </row>
    <row r="298" spans="5:17" x14ac:dyDescent="0.3">
      <c r="E298" s="2"/>
      <c r="F298" s="2"/>
      <c r="P298" s="1"/>
      <c r="Q298" s="1"/>
    </row>
    <row r="299" spans="5:17" x14ac:dyDescent="0.3">
      <c r="E299" s="2"/>
      <c r="F299" s="2"/>
      <c r="P299" s="1"/>
      <c r="Q299" s="1"/>
    </row>
    <row r="300" spans="5:17" x14ac:dyDescent="0.3">
      <c r="E300" s="2"/>
      <c r="F300" s="2"/>
      <c r="P300" s="1"/>
      <c r="Q300" s="1"/>
    </row>
    <row r="301" spans="5:17" x14ac:dyDescent="0.3">
      <c r="E301" s="2"/>
      <c r="F301" s="2"/>
      <c r="P301" s="1"/>
      <c r="Q301" s="1"/>
    </row>
    <row r="302" spans="5:17" x14ac:dyDescent="0.3">
      <c r="E302" s="2"/>
      <c r="F302" s="2"/>
      <c r="P302" s="1"/>
      <c r="Q302" s="1"/>
    </row>
    <row r="303" spans="5:17" x14ac:dyDescent="0.3">
      <c r="E303" s="2"/>
      <c r="F303" s="2"/>
      <c r="P303" s="1"/>
      <c r="Q303" s="1"/>
    </row>
    <row r="304" spans="5:17" x14ac:dyDescent="0.3">
      <c r="E304" s="2"/>
      <c r="P304" s="1"/>
      <c r="Q304" s="1"/>
    </row>
    <row r="305" spans="5:17" x14ac:dyDescent="0.3">
      <c r="E305" s="2"/>
      <c r="F305" s="2"/>
      <c r="P305" s="1"/>
      <c r="Q305" s="1"/>
    </row>
    <row r="306" spans="5:17" x14ac:dyDescent="0.3">
      <c r="E306" s="2"/>
      <c r="F306" s="2"/>
      <c r="P306" s="1"/>
      <c r="Q306" s="1"/>
    </row>
    <row r="307" spans="5:17" x14ac:dyDescent="0.3">
      <c r="E307" s="2"/>
      <c r="F307" s="2"/>
      <c r="P307" s="1"/>
      <c r="Q307" s="1"/>
    </row>
    <row r="308" spans="5:17" x14ac:dyDescent="0.3">
      <c r="E308" s="2"/>
      <c r="F308" s="2"/>
      <c r="P308" s="1"/>
      <c r="Q308" s="1"/>
    </row>
    <row r="309" spans="5:17" x14ac:dyDescent="0.3">
      <c r="E309" s="2"/>
      <c r="F309" s="2"/>
      <c r="P309" s="1"/>
      <c r="Q309" s="1"/>
    </row>
    <row r="310" spans="5:17" x14ac:dyDescent="0.3">
      <c r="E310" s="2"/>
      <c r="F310" s="2"/>
      <c r="P310" s="1"/>
      <c r="Q310" s="1"/>
    </row>
    <row r="311" spans="5:17" x14ac:dyDescent="0.3">
      <c r="E311" s="2"/>
      <c r="F311" s="2"/>
      <c r="P311" s="1"/>
      <c r="Q311" s="1"/>
    </row>
    <row r="312" spans="5:17" x14ac:dyDescent="0.3">
      <c r="E312" s="2"/>
      <c r="F312" s="2"/>
      <c r="P312" s="1"/>
      <c r="Q312" s="1"/>
    </row>
    <row r="313" spans="5:17" x14ac:dyDescent="0.3">
      <c r="E313" s="2"/>
      <c r="F313" s="2"/>
      <c r="P313" s="1"/>
      <c r="Q313" s="1"/>
    </row>
    <row r="314" spans="5:17" x14ac:dyDescent="0.3">
      <c r="E314" s="2"/>
      <c r="F314" s="2"/>
      <c r="P314" s="1"/>
      <c r="Q314" s="1"/>
    </row>
    <row r="315" spans="5:17" x14ac:dyDescent="0.3">
      <c r="E315" s="2"/>
      <c r="F315" s="2"/>
      <c r="P315" s="1"/>
      <c r="Q315" s="1"/>
    </row>
    <row r="316" spans="5:17" x14ac:dyDescent="0.3">
      <c r="E316" s="2"/>
      <c r="F316" s="2"/>
      <c r="P316" s="1"/>
      <c r="Q316" s="1"/>
    </row>
    <row r="317" spans="5:17" x14ac:dyDescent="0.3">
      <c r="E317" s="2"/>
      <c r="F317" s="2"/>
      <c r="P317" s="1"/>
      <c r="Q317" s="1"/>
    </row>
    <row r="318" spans="5:17" x14ac:dyDescent="0.3">
      <c r="E318" s="2"/>
      <c r="P318" s="1"/>
      <c r="Q318" s="1"/>
    </row>
    <row r="319" spans="5:17" x14ac:dyDescent="0.3">
      <c r="E319" s="2"/>
      <c r="F319" s="2"/>
      <c r="P319" s="1"/>
      <c r="Q319" s="1"/>
    </row>
    <row r="320" spans="5:17" x14ac:dyDescent="0.3">
      <c r="E320" s="2"/>
      <c r="F320" s="2"/>
      <c r="P320" s="1"/>
      <c r="Q320" s="1"/>
    </row>
    <row r="321" spans="5:17" x14ac:dyDescent="0.3">
      <c r="E321" s="2"/>
      <c r="F321" s="2"/>
      <c r="P321" s="1"/>
      <c r="Q321" s="1"/>
    </row>
    <row r="322" spans="5:17" x14ac:dyDescent="0.3">
      <c r="E322" s="2"/>
      <c r="F322" s="2"/>
      <c r="P322" s="1"/>
      <c r="Q322" s="1"/>
    </row>
    <row r="323" spans="5:17" x14ac:dyDescent="0.3">
      <c r="E323" s="2"/>
      <c r="P323" s="1"/>
      <c r="Q323" s="1"/>
    </row>
    <row r="324" spans="5:17" x14ac:dyDescent="0.3">
      <c r="E324" s="2"/>
      <c r="F324" s="2"/>
      <c r="P324" s="1"/>
      <c r="Q324" s="1"/>
    </row>
    <row r="325" spans="5:17" x14ac:dyDescent="0.3">
      <c r="E325" s="2"/>
      <c r="F325" s="2"/>
      <c r="P325" s="1"/>
      <c r="Q325" s="1"/>
    </row>
    <row r="326" spans="5:17" x14ac:dyDescent="0.3">
      <c r="E326" s="2"/>
      <c r="F326" s="2"/>
      <c r="P326" s="1"/>
      <c r="Q326" s="1"/>
    </row>
    <row r="327" spans="5:17" x14ac:dyDescent="0.3">
      <c r="E327" s="2"/>
      <c r="F327" s="2"/>
      <c r="P327" s="1"/>
      <c r="Q327" s="1"/>
    </row>
    <row r="328" spans="5:17" x14ac:dyDescent="0.3">
      <c r="E328" s="2"/>
      <c r="F328" s="2"/>
      <c r="P328" s="1"/>
      <c r="Q328" s="1"/>
    </row>
    <row r="329" spans="5:17" x14ac:dyDescent="0.3">
      <c r="E329" s="2"/>
      <c r="F329" s="2"/>
      <c r="P329" s="1"/>
      <c r="Q329" s="1"/>
    </row>
    <row r="330" spans="5:17" x14ac:dyDescent="0.3">
      <c r="E330" s="2"/>
      <c r="F330" s="2"/>
      <c r="P330" s="1"/>
      <c r="Q330" s="1"/>
    </row>
    <row r="331" spans="5:17" x14ac:dyDescent="0.3">
      <c r="E331" s="2"/>
      <c r="F331" s="2"/>
      <c r="P331" s="1"/>
      <c r="Q331" s="1"/>
    </row>
    <row r="332" spans="5:17" x14ac:dyDescent="0.3">
      <c r="E332" s="2"/>
      <c r="F332" s="2"/>
      <c r="P332" s="1"/>
      <c r="Q332" s="1"/>
    </row>
    <row r="333" spans="5:17" x14ac:dyDescent="0.3">
      <c r="E333" s="2"/>
      <c r="F333" s="2"/>
      <c r="P333" s="1"/>
      <c r="Q333" s="1"/>
    </row>
    <row r="334" spans="5:17" x14ac:dyDescent="0.3">
      <c r="E334" s="2"/>
      <c r="F334" s="2"/>
      <c r="P334" s="1"/>
      <c r="Q334" s="1"/>
    </row>
    <row r="335" spans="5:17" x14ac:dyDescent="0.3">
      <c r="E335" s="2"/>
      <c r="F335" s="2"/>
      <c r="P335" s="1"/>
      <c r="Q335" s="1"/>
    </row>
    <row r="336" spans="5:17" x14ac:dyDescent="0.3">
      <c r="E336" s="2"/>
      <c r="F336" s="2"/>
      <c r="P336" s="1"/>
      <c r="Q336" s="1"/>
    </row>
    <row r="337" spans="5:17" x14ac:dyDescent="0.3">
      <c r="E337" s="2"/>
      <c r="P337" s="1"/>
      <c r="Q337" s="1"/>
    </row>
    <row r="338" spans="5:17" x14ac:dyDescent="0.3">
      <c r="E338" s="2"/>
      <c r="F338" s="2"/>
      <c r="P338" s="1"/>
      <c r="Q338" s="1"/>
    </row>
    <row r="339" spans="5:17" x14ac:dyDescent="0.3">
      <c r="E339" s="2"/>
      <c r="F339" s="2"/>
      <c r="P339" s="1"/>
      <c r="Q339" s="1"/>
    </row>
    <row r="340" spans="5:17" x14ac:dyDescent="0.3">
      <c r="E340" s="2"/>
      <c r="F340" s="2"/>
      <c r="P340" s="1"/>
      <c r="Q340" s="1"/>
    </row>
    <row r="341" spans="5:17" x14ac:dyDescent="0.3">
      <c r="E341" s="2"/>
      <c r="F341" s="2"/>
      <c r="P341" s="1"/>
      <c r="Q341" s="1"/>
    </row>
    <row r="342" spans="5:17" x14ac:dyDescent="0.3">
      <c r="E342" s="2"/>
      <c r="F342" s="2"/>
      <c r="P342" s="1"/>
      <c r="Q342" s="1"/>
    </row>
    <row r="343" spans="5:17" x14ac:dyDescent="0.3">
      <c r="E343" s="2"/>
      <c r="F343" s="2"/>
      <c r="P343" s="1"/>
      <c r="Q343" s="1"/>
    </row>
    <row r="344" spans="5:17" x14ac:dyDescent="0.3">
      <c r="E344" s="2"/>
      <c r="F344" s="2"/>
      <c r="P344" s="1"/>
      <c r="Q344" s="1"/>
    </row>
    <row r="345" spans="5:17" x14ac:dyDescent="0.3">
      <c r="E345" s="2"/>
      <c r="F345" s="2"/>
      <c r="P345" s="1"/>
      <c r="Q345" s="1"/>
    </row>
    <row r="346" spans="5:17" x14ac:dyDescent="0.3">
      <c r="E346" s="2"/>
      <c r="F346" s="2"/>
      <c r="P346" s="1"/>
      <c r="Q346" s="1"/>
    </row>
    <row r="347" spans="5:17" x14ac:dyDescent="0.3">
      <c r="E347" s="2"/>
      <c r="F347" s="2"/>
      <c r="P347" s="1"/>
      <c r="Q347" s="1"/>
    </row>
    <row r="348" spans="5:17" x14ac:dyDescent="0.3">
      <c r="E348" s="2"/>
      <c r="F348" s="2"/>
      <c r="P348" s="1"/>
      <c r="Q348" s="1"/>
    </row>
    <row r="349" spans="5:17" x14ac:dyDescent="0.3">
      <c r="E349" s="2"/>
      <c r="F349" s="2"/>
      <c r="P349" s="1"/>
      <c r="Q349" s="1"/>
    </row>
    <row r="350" spans="5:17" x14ac:dyDescent="0.3">
      <c r="E350" s="2"/>
      <c r="F350" s="2"/>
      <c r="P350" s="1"/>
      <c r="Q350" s="1"/>
    </row>
    <row r="351" spans="5:17" x14ac:dyDescent="0.3">
      <c r="E351" s="2"/>
      <c r="F351" s="2"/>
      <c r="P351" s="1"/>
      <c r="Q351" s="1"/>
    </row>
    <row r="352" spans="5:17" x14ac:dyDescent="0.3">
      <c r="E352" s="2"/>
      <c r="F352" s="2"/>
      <c r="P352" s="1"/>
      <c r="Q352" s="1"/>
    </row>
    <row r="353" spans="5:17" x14ac:dyDescent="0.3">
      <c r="E353" s="2"/>
      <c r="F353" s="2"/>
      <c r="P353" s="1"/>
      <c r="Q353" s="1"/>
    </row>
    <row r="354" spans="5:17" x14ac:dyDescent="0.3">
      <c r="E354" s="2"/>
      <c r="F354" s="2"/>
      <c r="P354" s="1"/>
      <c r="Q354" s="1"/>
    </row>
    <row r="355" spans="5:17" x14ac:dyDescent="0.3">
      <c r="E355" s="2"/>
      <c r="F355" s="2"/>
      <c r="P355" s="1"/>
      <c r="Q355" s="1"/>
    </row>
    <row r="356" spans="5:17" x14ac:dyDescent="0.3">
      <c r="E356" s="2"/>
      <c r="F356" s="2"/>
      <c r="P356" s="1"/>
      <c r="Q356" s="1"/>
    </row>
    <row r="357" spans="5:17" x14ac:dyDescent="0.3">
      <c r="E357" s="2"/>
      <c r="F357" s="2"/>
      <c r="P357" s="1"/>
      <c r="Q357" s="1"/>
    </row>
    <row r="358" spans="5:17" x14ac:dyDescent="0.3">
      <c r="E358" s="2"/>
      <c r="F358" s="2"/>
      <c r="P358" s="1"/>
      <c r="Q358" s="1"/>
    </row>
    <row r="359" spans="5:17" x14ac:dyDescent="0.3">
      <c r="E359" s="2"/>
      <c r="F359" s="2"/>
      <c r="P359" s="1"/>
      <c r="Q359" s="1"/>
    </row>
    <row r="360" spans="5:17" x14ac:dyDescent="0.3">
      <c r="E360" s="2"/>
      <c r="F360" s="2"/>
      <c r="P360" s="1"/>
      <c r="Q360" s="1"/>
    </row>
    <row r="361" spans="5:17" x14ac:dyDescent="0.3">
      <c r="E361" s="2"/>
      <c r="F361" s="2"/>
      <c r="P361" s="1"/>
      <c r="Q361" s="1"/>
    </row>
    <row r="362" spans="5:17" x14ac:dyDescent="0.3">
      <c r="E362" s="2"/>
      <c r="F362" s="2"/>
      <c r="P362" s="1"/>
      <c r="Q362" s="1"/>
    </row>
    <row r="363" spans="5:17" x14ac:dyDescent="0.3">
      <c r="E363" s="2"/>
      <c r="F363" s="2"/>
      <c r="P363" s="1"/>
      <c r="Q363" s="1"/>
    </row>
    <row r="364" spans="5:17" x14ac:dyDescent="0.3">
      <c r="E364" s="2"/>
      <c r="F364" s="2"/>
      <c r="P364" s="1"/>
      <c r="Q364" s="1"/>
    </row>
    <row r="365" spans="5:17" x14ac:dyDescent="0.3">
      <c r="E365" s="2"/>
      <c r="F365" s="2"/>
      <c r="P365" s="1"/>
      <c r="Q365" s="1"/>
    </row>
    <row r="366" spans="5:17" x14ac:dyDescent="0.3">
      <c r="E366" s="6"/>
      <c r="F366" s="2"/>
      <c r="P366" s="1"/>
      <c r="Q366" s="1"/>
    </row>
    <row r="367" spans="5:17" x14ac:dyDescent="0.3">
      <c r="E367" s="6"/>
      <c r="F367" s="2"/>
      <c r="P367" s="1"/>
      <c r="Q367" s="1"/>
    </row>
    <row r="368" spans="5:17" x14ac:dyDescent="0.3">
      <c r="E368" s="6"/>
      <c r="F368" s="2"/>
      <c r="P368" s="1"/>
      <c r="Q368" s="1"/>
    </row>
    <row r="369" spans="5:17" x14ac:dyDescent="0.3">
      <c r="E369" s="6"/>
      <c r="F369" s="2"/>
      <c r="P369" s="1"/>
      <c r="Q369" s="1"/>
    </row>
    <row r="370" spans="5:17" x14ac:dyDescent="0.3">
      <c r="E370" s="6"/>
      <c r="F370" s="2"/>
      <c r="P370" s="1"/>
      <c r="Q370" s="1"/>
    </row>
    <row r="371" spans="5:17" x14ac:dyDescent="0.3">
      <c r="E371" s="6"/>
      <c r="F371" s="2"/>
      <c r="P371" s="1"/>
      <c r="Q371" s="1"/>
    </row>
    <row r="372" spans="5:17" x14ac:dyDescent="0.3">
      <c r="E372" s="6"/>
      <c r="F372" s="2"/>
      <c r="P372" s="1"/>
      <c r="Q372" s="1"/>
    </row>
    <row r="373" spans="5:17" x14ac:dyDescent="0.3">
      <c r="E373" s="6"/>
      <c r="F373" s="2"/>
      <c r="P373" s="1"/>
      <c r="Q373" s="1"/>
    </row>
    <row r="374" spans="5:17" x14ac:dyDescent="0.3">
      <c r="E374" s="6"/>
      <c r="F374" s="2"/>
      <c r="P374" s="1"/>
      <c r="Q374" s="1"/>
    </row>
    <row r="375" spans="5:17" x14ac:dyDescent="0.3">
      <c r="E375" s="6"/>
      <c r="F375" s="2"/>
      <c r="P375" s="1"/>
      <c r="Q375" s="1"/>
    </row>
    <row r="376" spans="5:17" x14ac:dyDescent="0.3">
      <c r="E376" s="6"/>
      <c r="F376" s="2"/>
      <c r="P376" s="1"/>
      <c r="Q376" s="1"/>
    </row>
    <row r="377" spans="5:17" x14ac:dyDescent="0.3">
      <c r="E377" s="2"/>
      <c r="F377" s="2"/>
      <c r="P377" s="1"/>
      <c r="Q377" s="1"/>
    </row>
    <row r="378" spans="5:17" x14ac:dyDescent="0.3">
      <c r="P378" s="1"/>
      <c r="Q378" s="1"/>
    </row>
    <row r="379" spans="5:17" x14ac:dyDescent="0.3">
      <c r="P379" s="1"/>
      <c r="Q379" s="1"/>
    </row>
    <row r="380" spans="5:17" x14ac:dyDescent="0.3">
      <c r="P380" s="1"/>
      <c r="Q380" s="1"/>
    </row>
    <row r="381" spans="5:17" x14ac:dyDescent="0.3">
      <c r="P381" s="1"/>
      <c r="Q381" s="1"/>
    </row>
    <row r="382" spans="5:17" x14ac:dyDescent="0.3">
      <c r="P382" s="1"/>
      <c r="Q382" s="1"/>
    </row>
    <row r="383" spans="5:17" x14ac:dyDescent="0.3">
      <c r="P383" s="1"/>
      <c r="Q383" s="1"/>
    </row>
    <row r="384" spans="5:17" x14ac:dyDescent="0.3">
      <c r="P384" s="1"/>
      <c r="Q384" s="1"/>
    </row>
    <row r="385" spans="5:17" x14ac:dyDescent="0.3">
      <c r="P385" s="1"/>
      <c r="Q385" s="1"/>
    </row>
    <row r="386" spans="5:17" x14ac:dyDescent="0.3">
      <c r="P386" s="1"/>
      <c r="Q386" s="1"/>
    </row>
    <row r="387" spans="5:17" x14ac:dyDescent="0.3">
      <c r="P387" s="1"/>
      <c r="Q387" s="1"/>
    </row>
    <row r="388" spans="5:17" x14ac:dyDescent="0.3">
      <c r="P388" s="1"/>
      <c r="Q388" s="1"/>
    </row>
    <row r="389" spans="5:17" x14ac:dyDescent="0.3">
      <c r="P389" s="1"/>
      <c r="Q389" s="1"/>
    </row>
    <row r="390" spans="5:17" x14ac:dyDescent="0.3">
      <c r="P390" s="1"/>
      <c r="Q390" s="1"/>
    </row>
    <row r="391" spans="5:17" x14ac:dyDescent="0.3">
      <c r="P391" s="1"/>
      <c r="Q391" s="1"/>
    </row>
    <row r="392" spans="5:17" x14ac:dyDescent="0.3">
      <c r="P392" s="1"/>
      <c r="Q392" s="1"/>
    </row>
    <row r="393" spans="5:17" x14ac:dyDescent="0.3">
      <c r="P393" s="1"/>
      <c r="Q393" s="1"/>
    </row>
    <row r="394" spans="5:17" x14ac:dyDescent="0.3">
      <c r="P394" s="1"/>
      <c r="Q394" s="1"/>
    </row>
    <row r="395" spans="5:17" x14ac:dyDescent="0.3">
      <c r="P395" s="1"/>
      <c r="Q395" s="1"/>
    </row>
    <row r="396" spans="5:17" x14ac:dyDescent="0.3">
      <c r="E396" s="7"/>
      <c r="F396" s="7"/>
      <c r="P396" s="1"/>
      <c r="Q396" s="1"/>
    </row>
    <row r="397" spans="5:17" x14ac:dyDescent="0.3">
      <c r="E397" s="7"/>
      <c r="P397" s="1"/>
      <c r="Q397" s="1"/>
    </row>
    <row r="398" spans="5:17" x14ac:dyDescent="0.3">
      <c r="E398" s="7"/>
      <c r="P398" s="1"/>
      <c r="Q398" s="1"/>
    </row>
    <row r="399" spans="5:17" x14ac:dyDescent="0.3">
      <c r="E399" s="7"/>
      <c r="P399" s="1"/>
      <c r="Q399" s="1"/>
    </row>
    <row r="400" spans="5:17" x14ac:dyDescent="0.3">
      <c r="E400" s="7"/>
      <c r="P400" s="1"/>
      <c r="Q400" s="1"/>
    </row>
    <row r="401" spans="5:17" x14ac:dyDescent="0.3">
      <c r="E401" s="7"/>
      <c r="P401" s="1"/>
      <c r="Q401" s="1"/>
    </row>
    <row r="402" spans="5:17" x14ac:dyDescent="0.3">
      <c r="E402" s="7"/>
      <c r="P402" s="1"/>
      <c r="Q402" s="1"/>
    </row>
    <row r="403" spans="5:17" x14ac:dyDescent="0.3">
      <c r="E403" s="7"/>
      <c r="P403" s="1"/>
      <c r="Q403" s="1"/>
    </row>
    <row r="404" spans="5:17" x14ac:dyDescent="0.3">
      <c r="E404" s="7"/>
      <c r="P404" s="1"/>
      <c r="Q404" s="1"/>
    </row>
    <row r="405" spans="5:17" x14ac:dyDescent="0.3">
      <c r="E405" s="7"/>
      <c r="P405" s="1"/>
      <c r="Q405" s="1"/>
    </row>
    <row r="406" spans="5:17" x14ac:dyDescent="0.3">
      <c r="E406" s="7"/>
      <c r="P406" s="1"/>
      <c r="Q406" s="1"/>
    </row>
    <row r="407" spans="5:17" x14ac:dyDescent="0.3">
      <c r="E407" s="7"/>
      <c r="P407" s="1"/>
      <c r="Q407" s="1"/>
    </row>
    <row r="408" spans="5:17" x14ac:dyDescent="0.3">
      <c r="E408" s="7"/>
      <c r="P408" s="1"/>
      <c r="Q408" s="1"/>
    </row>
    <row r="409" spans="5:17" x14ac:dyDescent="0.3">
      <c r="E409" s="7"/>
      <c r="P409" s="1"/>
      <c r="Q409" s="1"/>
    </row>
    <row r="410" spans="5:17" x14ac:dyDescent="0.3">
      <c r="E410" s="7"/>
      <c r="P410" s="1"/>
      <c r="Q410" s="1"/>
    </row>
    <row r="411" spans="5:17" x14ac:dyDescent="0.3">
      <c r="E411" s="7"/>
      <c r="P411" s="1"/>
      <c r="Q411" s="1"/>
    </row>
    <row r="412" spans="5:17" x14ac:dyDescent="0.3">
      <c r="P412" s="1"/>
      <c r="Q412" s="1"/>
    </row>
    <row r="413" spans="5:17" x14ac:dyDescent="0.3">
      <c r="E413" s="7"/>
      <c r="P413" s="1"/>
      <c r="Q413" s="1"/>
    </row>
    <row r="414" spans="5:17" x14ac:dyDescent="0.3">
      <c r="E414" s="7"/>
      <c r="P414" s="1"/>
      <c r="Q414" s="1"/>
    </row>
    <row r="415" spans="5:17" x14ac:dyDescent="0.3">
      <c r="E415" s="7"/>
      <c r="F415" s="7"/>
      <c r="P415" s="1"/>
      <c r="Q415" s="1"/>
    </row>
    <row r="416" spans="5:17" x14ac:dyDescent="0.3">
      <c r="E416" s="7"/>
      <c r="F416" s="7"/>
      <c r="P416" s="1"/>
      <c r="Q416" s="1"/>
    </row>
    <row r="417" spans="5:17" x14ac:dyDescent="0.3">
      <c r="E417" s="7"/>
      <c r="P417" s="1"/>
      <c r="Q417" s="1"/>
    </row>
    <row r="418" spans="5:17" x14ac:dyDescent="0.3">
      <c r="E418" s="7"/>
      <c r="P418" s="1"/>
      <c r="Q418" s="1"/>
    </row>
    <row r="419" spans="5:17" x14ac:dyDescent="0.3">
      <c r="E419" s="7"/>
      <c r="P419" s="1"/>
      <c r="Q419" s="1"/>
    </row>
    <row r="420" spans="5:17" x14ac:dyDescent="0.3">
      <c r="E420" s="7"/>
      <c r="P420" s="1"/>
      <c r="Q420" s="1"/>
    </row>
    <row r="421" spans="5:17" x14ac:dyDescent="0.3">
      <c r="E421" s="7"/>
      <c r="P421" s="1"/>
      <c r="Q421" s="1"/>
    </row>
    <row r="422" spans="5:17" x14ac:dyDescent="0.3">
      <c r="E422" s="7"/>
      <c r="P422" s="1"/>
      <c r="Q422" s="1"/>
    </row>
    <row r="423" spans="5:17" x14ac:dyDescent="0.3">
      <c r="E423" s="7"/>
      <c r="P423" s="1"/>
      <c r="Q423" s="1"/>
    </row>
    <row r="424" spans="5:17" x14ac:dyDescent="0.3">
      <c r="P424" s="1"/>
      <c r="Q424" s="1"/>
    </row>
    <row r="425" spans="5:17" x14ac:dyDescent="0.3">
      <c r="P425" s="1"/>
      <c r="Q425" s="1"/>
    </row>
    <row r="426" spans="5:17" x14ac:dyDescent="0.3">
      <c r="E426" s="7"/>
      <c r="P426" s="1"/>
      <c r="Q426" s="1"/>
    </row>
    <row r="427" spans="5:17" x14ac:dyDescent="0.3">
      <c r="E427" s="7"/>
      <c r="P427" s="1"/>
      <c r="Q427" s="1"/>
    </row>
    <row r="428" spans="5:17" x14ac:dyDescent="0.3">
      <c r="E428" s="7"/>
      <c r="P428" s="1"/>
      <c r="Q428" s="1"/>
    </row>
    <row r="429" spans="5:17" x14ac:dyDescent="0.3">
      <c r="E429" s="7"/>
      <c r="P429" s="1"/>
      <c r="Q429" s="1"/>
    </row>
    <row r="430" spans="5:17" x14ac:dyDescent="0.3">
      <c r="P430" s="1"/>
      <c r="Q430" s="1"/>
    </row>
    <row r="431" spans="5:17" x14ac:dyDescent="0.3">
      <c r="P431" s="1"/>
      <c r="Q431" s="1"/>
    </row>
    <row r="432" spans="5:17" x14ac:dyDescent="0.3">
      <c r="P432" s="1"/>
      <c r="Q432" s="1"/>
    </row>
    <row r="433" spans="2:17" x14ac:dyDescent="0.3">
      <c r="P433" s="1"/>
      <c r="Q433" s="1"/>
    </row>
    <row r="434" spans="2:17" x14ac:dyDescent="0.3">
      <c r="P434" s="1"/>
      <c r="Q434" s="1"/>
    </row>
    <row r="435" spans="2:17" x14ac:dyDescent="0.3">
      <c r="B435" s="10"/>
      <c r="E435" s="7"/>
      <c r="G435" s="10"/>
      <c r="H435" s="10"/>
      <c r="P435" s="1"/>
      <c r="Q435" s="1"/>
    </row>
    <row r="436" spans="2:17" x14ac:dyDescent="0.3">
      <c r="B436" s="11"/>
      <c r="E436" s="11"/>
      <c r="F436" s="11"/>
      <c r="G436" s="10"/>
      <c r="H436" s="10"/>
      <c r="I436" s="12"/>
      <c r="P436" s="1"/>
      <c r="Q436" s="1"/>
    </row>
    <row r="437" spans="2:17" x14ac:dyDescent="0.3">
      <c r="B437" s="11"/>
      <c r="E437" s="11"/>
      <c r="F437" s="11"/>
      <c r="G437" s="10"/>
      <c r="H437" s="10"/>
      <c r="I437" s="12"/>
      <c r="P437" s="1"/>
      <c r="Q437" s="1"/>
    </row>
    <row r="438" spans="2:17" x14ac:dyDescent="0.3">
      <c r="B438" s="11"/>
      <c r="E438" s="11"/>
      <c r="F438" s="11"/>
      <c r="G438" s="10"/>
      <c r="H438" s="10"/>
      <c r="I438" s="12"/>
      <c r="P438" s="1"/>
      <c r="Q438" s="1"/>
    </row>
    <row r="439" spans="2:17" x14ac:dyDescent="0.3">
      <c r="B439" s="11"/>
      <c r="E439" s="11"/>
      <c r="F439" s="11"/>
      <c r="G439" s="10"/>
      <c r="H439" s="10"/>
      <c r="I439" s="12"/>
      <c r="P439" s="1"/>
      <c r="Q439" s="1"/>
    </row>
    <row r="440" spans="2:17" x14ac:dyDescent="0.3">
      <c r="B440" s="11"/>
      <c r="E440" s="11"/>
      <c r="F440" s="11"/>
      <c r="G440" s="10"/>
      <c r="H440" s="10"/>
      <c r="I440" s="12"/>
      <c r="P440" s="1"/>
      <c r="Q440" s="1"/>
    </row>
    <row r="441" spans="2:17" x14ac:dyDescent="0.3">
      <c r="B441" s="11"/>
      <c r="E441" s="11"/>
      <c r="F441" s="11"/>
      <c r="G441" s="10"/>
      <c r="H441" s="10"/>
      <c r="I441" s="12"/>
      <c r="P441" s="1"/>
      <c r="Q441" s="1"/>
    </row>
    <row r="442" spans="2:17" x14ac:dyDescent="0.3">
      <c r="B442" s="11"/>
      <c r="E442" s="12"/>
      <c r="F442" s="12"/>
      <c r="G442" s="10"/>
      <c r="H442" s="10"/>
      <c r="I442" s="12"/>
      <c r="P442" s="1"/>
      <c r="Q442" s="1"/>
    </row>
    <row r="443" spans="2:17" x14ac:dyDescent="0.3">
      <c r="B443" s="11"/>
      <c r="E443" s="12"/>
      <c r="F443" s="12"/>
      <c r="G443" s="10"/>
      <c r="H443" s="10"/>
      <c r="I443" s="12"/>
      <c r="P443" s="1"/>
      <c r="Q443" s="1"/>
    </row>
    <row r="444" spans="2:17" x14ac:dyDescent="0.3">
      <c r="B444" s="11"/>
      <c r="E444" s="12"/>
      <c r="F444" s="12"/>
      <c r="G444" s="10"/>
      <c r="H444" s="10"/>
      <c r="I444" s="12"/>
      <c r="P444" s="1"/>
      <c r="Q444" s="1"/>
    </row>
    <row r="445" spans="2:17" x14ac:dyDescent="0.3">
      <c r="B445" s="11"/>
      <c r="E445" s="12"/>
      <c r="F445" s="12"/>
      <c r="G445" s="10"/>
      <c r="H445" s="10"/>
      <c r="I445" s="12"/>
      <c r="P445" s="1"/>
      <c r="Q445" s="1"/>
    </row>
    <row r="446" spans="2:17" x14ac:dyDescent="0.3">
      <c r="B446" s="11"/>
      <c r="E446" s="12"/>
      <c r="F446" s="12"/>
      <c r="G446" s="10"/>
      <c r="H446" s="10"/>
      <c r="I446" s="12"/>
      <c r="P446" s="1"/>
      <c r="Q446" s="1"/>
    </row>
    <row r="447" spans="2:17" x14ac:dyDescent="0.3">
      <c r="B447" s="11"/>
      <c r="E447" s="12"/>
      <c r="F447" s="12"/>
      <c r="G447" s="10"/>
      <c r="H447" s="10"/>
      <c r="I447" s="12"/>
      <c r="P447" s="1"/>
      <c r="Q447" s="1"/>
    </row>
    <row r="448" spans="2:17" x14ac:dyDescent="0.3">
      <c r="B448" s="11"/>
      <c r="E448" s="12"/>
      <c r="F448" s="12"/>
      <c r="G448" s="10"/>
      <c r="H448" s="10"/>
      <c r="I448" s="12"/>
      <c r="P448" s="1"/>
      <c r="Q448" s="1"/>
    </row>
    <row r="449" spans="2:17" x14ac:dyDescent="0.3">
      <c r="B449" s="11"/>
      <c r="E449" s="12"/>
      <c r="F449" s="12"/>
      <c r="G449" s="10"/>
      <c r="H449" s="10"/>
      <c r="I449" s="12"/>
      <c r="P449" s="1"/>
      <c r="Q449" s="1"/>
    </row>
    <row r="450" spans="2:17" x14ac:dyDescent="0.3">
      <c r="B450" s="11"/>
      <c r="E450" s="12"/>
      <c r="F450" s="12"/>
      <c r="G450" s="10"/>
      <c r="H450" s="10"/>
      <c r="I450" s="12"/>
      <c r="P450" s="1"/>
      <c r="Q450" s="1"/>
    </row>
    <row r="451" spans="2:17" x14ac:dyDescent="0.3">
      <c r="B451" s="11"/>
      <c r="E451" s="12"/>
      <c r="F451" s="12"/>
      <c r="G451" s="10"/>
      <c r="H451" s="10"/>
      <c r="I451" s="12"/>
      <c r="P451" s="1"/>
      <c r="Q451" s="1"/>
    </row>
    <row r="452" spans="2:17" x14ac:dyDescent="0.3">
      <c r="B452" s="11"/>
      <c r="E452" s="12"/>
      <c r="F452" s="12"/>
      <c r="G452" s="10"/>
      <c r="H452" s="10"/>
      <c r="I452" s="12"/>
      <c r="P452" s="1"/>
      <c r="Q452" s="1"/>
    </row>
    <row r="453" spans="2:17" x14ac:dyDescent="0.3">
      <c r="B453" s="11"/>
      <c r="E453" s="12"/>
      <c r="F453" s="12"/>
      <c r="G453" s="10"/>
      <c r="H453" s="10"/>
      <c r="I453" s="12"/>
      <c r="P453" s="1"/>
      <c r="Q453" s="1"/>
    </row>
    <row r="454" spans="2:17" x14ac:dyDescent="0.3">
      <c r="B454" s="11"/>
      <c r="E454" s="12"/>
      <c r="F454" s="12"/>
      <c r="G454" s="10"/>
      <c r="H454" s="10"/>
      <c r="I454" s="12"/>
      <c r="P454" s="1"/>
      <c r="Q454" s="1"/>
    </row>
    <row r="455" spans="2:17" x14ac:dyDescent="0.3">
      <c r="B455" s="11"/>
      <c r="E455" s="12"/>
      <c r="F455" s="12"/>
      <c r="G455" s="10"/>
      <c r="H455" s="10"/>
      <c r="I455" s="12"/>
      <c r="P455" s="1"/>
      <c r="Q455" s="1"/>
    </row>
    <row r="456" spans="2:17" x14ac:dyDescent="0.3">
      <c r="B456" s="11"/>
      <c r="E456" s="12"/>
      <c r="F456" s="12"/>
      <c r="G456" s="10"/>
      <c r="H456" s="10"/>
      <c r="I456" s="12"/>
      <c r="P456" s="1"/>
      <c r="Q456" s="1"/>
    </row>
    <row r="457" spans="2:17" x14ac:dyDescent="0.3">
      <c r="B457" s="11"/>
      <c r="E457" s="12"/>
      <c r="F457" s="12"/>
      <c r="G457" s="10"/>
      <c r="H457" s="10"/>
      <c r="I457" s="12"/>
      <c r="P457" s="1"/>
      <c r="Q457" s="1"/>
    </row>
    <row r="458" spans="2:17" x14ac:dyDescent="0.3">
      <c r="B458" s="11"/>
      <c r="E458" s="12"/>
      <c r="F458" s="12"/>
      <c r="G458" s="10"/>
      <c r="H458" s="10"/>
      <c r="I458" s="12"/>
      <c r="P458" s="1"/>
      <c r="Q458" s="1"/>
    </row>
    <row r="459" spans="2:17" x14ac:dyDescent="0.3">
      <c r="B459" s="11"/>
      <c r="E459" s="12"/>
      <c r="F459" s="12"/>
      <c r="G459" s="10"/>
      <c r="H459" s="10"/>
      <c r="I459" s="12"/>
      <c r="P459" s="1"/>
      <c r="Q459" s="1"/>
    </row>
    <row r="460" spans="2:17" x14ac:dyDescent="0.3">
      <c r="B460" s="11"/>
      <c r="E460" s="12"/>
      <c r="F460" s="12"/>
      <c r="G460" s="10"/>
      <c r="H460" s="10"/>
      <c r="I460" s="12"/>
      <c r="P460" s="1"/>
      <c r="Q460" s="1"/>
    </row>
    <row r="461" spans="2:17" x14ac:dyDescent="0.3">
      <c r="B461" s="12"/>
      <c r="E461" s="11"/>
      <c r="F461" s="11"/>
      <c r="G461" s="10"/>
      <c r="H461" s="10"/>
      <c r="I461" s="12"/>
      <c r="P461" s="1"/>
      <c r="Q461" s="1"/>
    </row>
    <row r="462" spans="2:17" x14ac:dyDescent="0.3">
      <c r="B462" s="12"/>
      <c r="E462" s="11"/>
      <c r="F462" s="11"/>
      <c r="G462" s="10"/>
      <c r="H462" s="10"/>
      <c r="I462" s="12"/>
      <c r="P462" s="1"/>
      <c r="Q462" s="1"/>
    </row>
    <row r="463" spans="2:17" x14ac:dyDescent="0.3">
      <c r="B463" s="12"/>
      <c r="E463" s="11"/>
      <c r="F463" s="11"/>
      <c r="G463" s="10"/>
      <c r="H463" s="10"/>
      <c r="I463" s="12"/>
      <c r="P463" s="1"/>
      <c r="Q463" s="1"/>
    </row>
    <row r="464" spans="2:17" x14ac:dyDescent="0.3">
      <c r="B464" s="12"/>
      <c r="E464" s="12"/>
      <c r="F464" s="12"/>
      <c r="G464" s="10"/>
      <c r="H464" s="10"/>
      <c r="I464" s="12"/>
      <c r="P464" s="1"/>
      <c r="Q464" s="1"/>
    </row>
    <row r="465" spans="2:17" x14ac:dyDescent="0.3">
      <c r="B465" s="12"/>
      <c r="E465" s="12"/>
      <c r="F465" s="12"/>
      <c r="G465" s="10"/>
      <c r="H465" s="10"/>
      <c r="I465" s="12"/>
      <c r="P465" s="1"/>
      <c r="Q465" s="1"/>
    </row>
    <row r="466" spans="2:17" x14ac:dyDescent="0.3">
      <c r="B466" s="12"/>
      <c r="E466" s="12"/>
      <c r="F466" s="12"/>
      <c r="G466" s="10"/>
      <c r="H466" s="10"/>
      <c r="I466" s="12"/>
      <c r="P466" s="1"/>
      <c r="Q466" s="1"/>
    </row>
    <row r="467" spans="2:17" x14ac:dyDescent="0.3">
      <c r="B467" s="12"/>
      <c r="E467" s="11"/>
      <c r="F467" s="11"/>
      <c r="G467" s="10"/>
      <c r="H467" s="10"/>
      <c r="I467" s="12"/>
      <c r="P467" s="1"/>
      <c r="Q467" s="1"/>
    </row>
    <row r="468" spans="2:17" x14ac:dyDescent="0.3">
      <c r="B468" s="12"/>
      <c r="E468" s="11"/>
      <c r="F468" s="11"/>
      <c r="G468" s="10"/>
      <c r="H468" s="10"/>
      <c r="I468" s="12"/>
      <c r="P468" s="1"/>
      <c r="Q468" s="1"/>
    </row>
    <row r="469" spans="2:17" x14ac:dyDescent="0.3">
      <c r="B469" s="12"/>
      <c r="E469" s="12"/>
      <c r="F469" s="12"/>
      <c r="G469" s="10"/>
      <c r="H469" s="10"/>
      <c r="I469" s="12"/>
      <c r="P469" s="1"/>
      <c r="Q469" s="1"/>
    </row>
    <row r="470" spans="2:17" x14ac:dyDescent="0.3">
      <c r="B470" s="12"/>
      <c r="E470" s="12"/>
      <c r="F470" s="12"/>
      <c r="G470" s="10"/>
      <c r="H470" s="10"/>
      <c r="I470" s="12"/>
      <c r="P470" s="1"/>
      <c r="Q470" s="1"/>
    </row>
    <row r="471" spans="2:17" x14ac:dyDescent="0.3">
      <c r="B471" s="11"/>
      <c r="E471" s="11"/>
      <c r="F471" s="11"/>
      <c r="G471" s="10"/>
      <c r="H471" s="10"/>
      <c r="I471" s="12"/>
      <c r="P471" s="1"/>
      <c r="Q471" s="1"/>
    </row>
    <row r="472" spans="2:17" x14ac:dyDescent="0.3">
      <c r="B472" s="11"/>
      <c r="E472" s="11"/>
      <c r="F472" s="11"/>
      <c r="G472" s="10"/>
      <c r="H472" s="10"/>
      <c r="I472" s="12"/>
      <c r="P472" s="1"/>
      <c r="Q472" s="1"/>
    </row>
    <row r="473" spans="2:17" x14ac:dyDescent="0.3">
      <c r="B473" s="11"/>
      <c r="E473" s="11"/>
      <c r="F473" s="11"/>
      <c r="G473" s="10"/>
      <c r="H473" s="10"/>
      <c r="I473" s="12"/>
      <c r="P473" s="1"/>
      <c r="Q473" s="1"/>
    </row>
    <row r="474" spans="2:17" x14ac:dyDescent="0.3">
      <c r="B474" s="11"/>
      <c r="E474" s="11"/>
      <c r="F474" s="11"/>
      <c r="G474" s="10"/>
      <c r="H474" s="10"/>
      <c r="I474" s="12"/>
      <c r="P474" s="1"/>
      <c r="Q474" s="1"/>
    </row>
    <row r="475" spans="2:17" x14ac:dyDescent="0.3">
      <c r="B475" s="11"/>
      <c r="E475" s="12"/>
      <c r="F475" s="12"/>
      <c r="G475" s="10"/>
      <c r="H475" s="10"/>
      <c r="I475" s="12"/>
      <c r="P475" s="1"/>
      <c r="Q475" s="1"/>
    </row>
    <row r="476" spans="2:17" x14ac:dyDescent="0.3">
      <c r="B476" s="11"/>
      <c r="E476" s="12"/>
      <c r="F476" s="12"/>
      <c r="G476" s="10"/>
      <c r="H476" s="10"/>
      <c r="I476" s="12"/>
      <c r="P476" s="1"/>
      <c r="Q476" s="1"/>
    </row>
    <row r="477" spans="2:17" x14ac:dyDescent="0.3">
      <c r="B477" s="11"/>
      <c r="E477" s="12"/>
      <c r="F477" s="12"/>
      <c r="G477" s="10"/>
      <c r="H477" s="10"/>
      <c r="I477" s="12"/>
      <c r="P477" s="1"/>
      <c r="Q477" s="1"/>
    </row>
    <row r="478" spans="2:17" x14ac:dyDescent="0.3">
      <c r="B478" s="11"/>
      <c r="E478" s="11"/>
      <c r="F478" s="11"/>
      <c r="G478" s="10"/>
      <c r="H478" s="10"/>
      <c r="I478" s="12"/>
      <c r="P478" s="1"/>
      <c r="Q478" s="1"/>
    </row>
    <row r="479" spans="2:17" x14ac:dyDescent="0.3">
      <c r="B479" s="11"/>
      <c r="E479" s="11"/>
      <c r="F479" s="11"/>
      <c r="G479" s="10"/>
      <c r="H479" s="10"/>
      <c r="I479" s="12"/>
      <c r="P479" s="1"/>
      <c r="Q479" s="1"/>
    </row>
    <row r="480" spans="2:17" x14ac:dyDescent="0.3">
      <c r="B480" s="11"/>
      <c r="E480" s="12"/>
      <c r="F480" s="12"/>
      <c r="G480" s="10"/>
      <c r="H480" s="10"/>
      <c r="I480" s="12"/>
      <c r="P480" s="1"/>
      <c r="Q480" s="1"/>
    </row>
    <row r="481" spans="2:17" x14ac:dyDescent="0.3">
      <c r="B481" s="11"/>
      <c r="E481" s="12"/>
      <c r="F481" s="12"/>
      <c r="G481" s="10"/>
      <c r="H481" s="10"/>
      <c r="I481" s="12"/>
      <c r="P481" s="1"/>
      <c r="Q481" s="1"/>
    </row>
    <row r="482" spans="2:17" x14ac:dyDescent="0.3">
      <c r="B482" s="11"/>
      <c r="E482" s="12"/>
      <c r="F482" s="12"/>
      <c r="G482" s="10"/>
      <c r="H482" s="10"/>
      <c r="I482" s="12"/>
      <c r="P482" s="1"/>
      <c r="Q482" s="1"/>
    </row>
    <row r="483" spans="2:17" x14ac:dyDescent="0.3">
      <c r="P483" s="1"/>
      <c r="Q483" s="1"/>
    </row>
    <row r="484" spans="2:17" x14ac:dyDescent="0.3">
      <c r="P484" s="1"/>
      <c r="Q484" s="1"/>
    </row>
    <row r="485" spans="2:17" x14ac:dyDescent="0.3">
      <c r="P485" s="1"/>
      <c r="Q485" s="1"/>
    </row>
    <row r="486" spans="2:17" x14ac:dyDescent="0.3">
      <c r="P486" s="1"/>
      <c r="Q486" s="1"/>
    </row>
    <row r="487" spans="2:17" x14ac:dyDescent="0.3">
      <c r="P487" s="1"/>
      <c r="Q487" s="1"/>
    </row>
    <row r="488" spans="2:17" x14ac:dyDescent="0.3">
      <c r="P488" s="1"/>
      <c r="Q488" s="1"/>
    </row>
    <row r="489" spans="2:17" x14ac:dyDescent="0.3">
      <c r="P489" s="1"/>
      <c r="Q489" s="1"/>
    </row>
    <row r="490" spans="2:17" x14ac:dyDescent="0.3">
      <c r="P490" s="1"/>
      <c r="Q490" s="1"/>
    </row>
    <row r="491" spans="2:17" x14ac:dyDescent="0.3">
      <c r="P491" s="1"/>
      <c r="Q491" s="1"/>
    </row>
    <row r="492" spans="2:17" x14ac:dyDescent="0.3">
      <c r="P492" s="1"/>
      <c r="Q492" s="1"/>
    </row>
    <row r="493" spans="2:17" x14ac:dyDescent="0.3">
      <c r="P493" s="1"/>
      <c r="Q493" s="1"/>
    </row>
    <row r="494" spans="2:17" x14ac:dyDescent="0.3">
      <c r="P494" s="1"/>
      <c r="Q494" s="1"/>
    </row>
    <row r="495" spans="2:17" x14ac:dyDescent="0.3">
      <c r="P495" s="1"/>
      <c r="Q495" s="1"/>
    </row>
  </sheetData>
  <autoFilter ref="B1:I482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Barbosa</dc:creator>
  <cp:lastModifiedBy>Azus Vivobook</cp:lastModifiedBy>
  <dcterms:created xsi:type="dcterms:W3CDTF">2019-12-13T15:58:37Z</dcterms:created>
  <dcterms:modified xsi:type="dcterms:W3CDTF">2026-02-17T22:32:10Z</dcterms:modified>
</cp:coreProperties>
</file>