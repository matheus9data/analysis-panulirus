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Cofres Obsidian\Mar Aberto\Laboratório\lagostas_carapaca\Modelagem\Dados produzidos\"/>
    </mc:Choice>
  </mc:AlternateContent>
  <xr:revisionPtr revIDLastSave="0" documentId="13_ncr:1_{252403E3-8A1B-4779-9C8E-8421F69929CA}" xr6:coauthVersionLast="47" xr6:coauthVersionMax="47" xr10:uidLastSave="{00000000-0000-0000-0000-000000000000}"/>
  <bookViews>
    <workbookView xWindow="5205" yWindow="4215" windowWidth="16140" windowHeight="7515" tabRatio="500" xr2:uid="{00000000-000D-0000-FFFF-FFFF00000000}"/>
  </bookViews>
  <sheets>
    <sheet name="Ocorrências Panulirus" sheetId="1" r:id="rId1"/>
  </sheets>
  <definedNames>
    <definedName name="_xlnm._FilterDatabase" localSheetId="0" hidden="1">'Ocorrências Panulirus'!$A$1:$R$481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63" i="1" l="1"/>
  <c r="K463" i="1"/>
  <c r="L463" i="1"/>
  <c r="M463" i="1"/>
  <c r="N463" i="1"/>
  <c r="O463" i="1"/>
  <c r="Q463" i="1" s="1"/>
  <c r="J464" i="1"/>
  <c r="K464" i="1"/>
  <c r="L464" i="1"/>
  <c r="P464" i="1" s="1"/>
  <c r="M464" i="1"/>
  <c r="N464" i="1"/>
  <c r="O464" i="1"/>
  <c r="J465" i="1"/>
  <c r="K465" i="1"/>
  <c r="L465" i="1"/>
  <c r="P465" i="1" s="1"/>
  <c r="M465" i="1"/>
  <c r="N465" i="1"/>
  <c r="O465" i="1"/>
  <c r="J466" i="1"/>
  <c r="K466" i="1"/>
  <c r="L466" i="1"/>
  <c r="M466" i="1"/>
  <c r="N466" i="1"/>
  <c r="O466" i="1"/>
  <c r="J467" i="1"/>
  <c r="K467" i="1"/>
  <c r="L467" i="1"/>
  <c r="M467" i="1"/>
  <c r="N467" i="1"/>
  <c r="O467" i="1"/>
  <c r="J468" i="1"/>
  <c r="K468" i="1"/>
  <c r="L468" i="1"/>
  <c r="P468" i="1" s="1"/>
  <c r="M468" i="1"/>
  <c r="N468" i="1"/>
  <c r="O468" i="1"/>
  <c r="J469" i="1"/>
  <c r="K469" i="1"/>
  <c r="L469" i="1"/>
  <c r="M469" i="1"/>
  <c r="N469" i="1"/>
  <c r="O469" i="1"/>
  <c r="J470" i="1"/>
  <c r="K470" i="1"/>
  <c r="L470" i="1"/>
  <c r="P470" i="1" s="1"/>
  <c r="M470" i="1"/>
  <c r="N470" i="1"/>
  <c r="O470" i="1"/>
  <c r="J471" i="1"/>
  <c r="K471" i="1"/>
  <c r="L471" i="1"/>
  <c r="P471" i="1" s="1"/>
  <c r="M471" i="1"/>
  <c r="N471" i="1"/>
  <c r="O471" i="1"/>
  <c r="J472" i="1"/>
  <c r="K472" i="1"/>
  <c r="L472" i="1"/>
  <c r="P472" i="1" s="1"/>
  <c r="M472" i="1"/>
  <c r="N472" i="1"/>
  <c r="O472" i="1"/>
  <c r="J473" i="1"/>
  <c r="K473" i="1"/>
  <c r="L473" i="1"/>
  <c r="P473" i="1" s="1"/>
  <c r="M473" i="1"/>
  <c r="N473" i="1"/>
  <c r="O473" i="1"/>
  <c r="J474" i="1"/>
  <c r="K474" i="1"/>
  <c r="L474" i="1"/>
  <c r="M474" i="1"/>
  <c r="N474" i="1"/>
  <c r="O474" i="1"/>
  <c r="J475" i="1"/>
  <c r="K475" i="1"/>
  <c r="L475" i="1"/>
  <c r="M475" i="1"/>
  <c r="N475" i="1"/>
  <c r="O475" i="1"/>
  <c r="J476" i="1"/>
  <c r="K476" i="1"/>
  <c r="L476" i="1"/>
  <c r="P476" i="1" s="1"/>
  <c r="M476" i="1"/>
  <c r="N476" i="1"/>
  <c r="O476" i="1"/>
  <c r="J477" i="1"/>
  <c r="K477" i="1"/>
  <c r="L477" i="1"/>
  <c r="P477" i="1" s="1"/>
  <c r="M477" i="1"/>
  <c r="N477" i="1"/>
  <c r="O477" i="1"/>
  <c r="J478" i="1"/>
  <c r="K478" i="1"/>
  <c r="L478" i="1"/>
  <c r="M478" i="1"/>
  <c r="N478" i="1"/>
  <c r="O478" i="1"/>
  <c r="J479" i="1"/>
  <c r="K479" i="1"/>
  <c r="L479" i="1"/>
  <c r="M479" i="1"/>
  <c r="N479" i="1"/>
  <c r="O479" i="1"/>
  <c r="J480" i="1"/>
  <c r="K480" i="1"/>
  <c r="L480" i="1"/>
  <c r="M480" i="1"/>
  <c r="N480" i="1"/>
  <c r="O480" i="1"/>
  <c r="J481" i="1"/>
  <c r="K481" i="1"/>
  <c r="L481" i="1"/>
  <c r="M481" i="1"/>
  <c r="N481" i="1"/>
  <c r="O481" i="1"/>
  <c r="Q479" i="1" l="1"/>
  <c r="P478" i="1"/>
  <c r="Q475" i="1"/>
  <c r="Q473" i="1"/>
  <c r="Q467" i="1"/>
  <c r="Q480" i="1"/>
  <c r="Q476" i="1"/>
  <c r="Q474" i="1"/>
  <c r="Q472" i="1"/>
  <c r="Q466" i="1"/>
  <c r="Q464" i="1"/>
  <c r="P466" i="1"/>
  <c r="P474" i="1"/>
  <c r="Q481" i="1"/>
  <c r="Q469" i="1"/>
  <c r="P475" i="1"/>
  <c r="P469" i="1"/>
  <c r="Q478" i="1"/>
  <c r="P480" i="1"/>
  <c r="Q471" i="1"/>
  <c r="P481" i="1"/>
  <c r="P479" i="1"/>
  <c r="Q477" i="1"/>
  <c r="Q470" i="1"/>
  <c r="P467" i="1"/>
  <c r="P463" i="1"/>
  <c r="Q465" i="1"/>
  <c r="Q468" i="1"/>
  <c r="J455" i="1"/>
  <c r="K455" i="1"/>
  <c r="L455" i="1"/>
  <c r="P455" i="1" s="1"/>
  <c r="M455" i="1"/>
  <c r="N455" i="1"/>
  <c r="O455" i="1"/>
  <c r="J456" i="1"/>
  <c r="K456" i="1"/>
  <c r="L456" i="1"/>
  <c r="M456" i="1"/>
  <c r="N456" i="1"/>
  <c r="O456" i="1"/>
  <c r="J457" i="1"/>
  <c r="K457" i="1"/>
  <c r="L457" i="1"/>
  <c r="M457" i="1"/>
  <c r="N457" i="1"/>
  <c r="O457" i="1"/>
  <c r="J458" i="1"/>
  <c r="K458" i="1"/>
  <c r="L458" i="1"/>
  <c r="M458" i="1"/>
  <c r="N458" i="1"/>
  <c r="O458" i="1"/>
  <c r="J459" i="1"/>
  <c r="K459" i="1"/>
  <c r="L459" i="1"/>
  <c r="M459" i="1"/>
  <c r="N459" i="1"/>
  <c r="O459" i="1"/>
  <c r="J460" i="1"/>
  <c r="K460" i="1"/>
  <c r="L460" i="1"/>
  <c r="M460" i="1"/>
  <c r="N460" i="1"/>
  <c r="O460" i="1"/>
  <c r="Q460" i="1" s="1"/>
  <c r="J461" i="1"/>
  <c r="K461" i="1"/>
  <c r="L461" i="1"/>
  <c r="M461" i="1"/>
  <c r="N461" i="1"/>
  <c r="O461" i="1"/>
  <c r="J462" i="1"/>
  <c r="K462" i="1"/>
  <c r="L462" i="1"/>
  <c r="M462" i="1"/>
  <c r="N462" i="1"/>
  <c r="O462" i="1"/>
  <c r="Q462" i="1" s="1"/>
  <c r="O74" i="1"/>
  <c r="J415" i="1"/>
  <c r="K415" i="1"/>
  <c r="L415" i="1"/>
  <c r="M415" i="1"/>
  <c r="N415" i="1"/>
  <c r="O415" i="1"/>
  <c r="J416" i="1"/>
  <c r="K416" i="1"/>
  <c r="L416" i="1"/>
  <c r="M416" i="1"/>
  <c r="N416" i="1"/>
  <c r="O416" i="1"/>
  <c r="J417" i="1"/>
  <c r="K417" i="1"/>
  <c r="L417" i="1"/>
  <c r="M417" i="1"/>
  <c r="N417" i="1"/>
  <c r="O417" i="1"/>
  <c r="J418" i="1"/>
  <c r="K418" i="1"/>
  <c r="L418" i="1"/>
  <c r="M418" i="1"/>
  <c r="N418" i="1"/>
  <c r="O418" i="1"/>
  <c r="J419" i="1"/>
  <c r="K419" i="1"/>
  <c r="L419" i="1"/>
  <c r="M419" i="1"/>
  <c r="N419" i="1"/>
  <c r="O419" i="1"/>
  <c r="J420" i="1"/>
  <c r="K420" i="1"/>
  <c r="L420" i="1"/>
  <c r="M420" i="1"/>
  <c r="N420" i="1"/>
  <c r="O420" i="1"/>
  <c r="J421" i="1"/>
  <c r="K421" i="1"/>
  <c r="L421" i="1"/>
  <c r="M421" i="1"/>
  <c r="N421" i="1"/>
  <c r="O421" i="1"/>
  <c r="J422" i="1"/>
  <c r="K422" i="1"/>
  <c r="L422" i="1"/>
  <c r="M422" i="1"/>
  <c r="N422" i="1"/>
  <c r="O422" i="1"/>
  <c r="J423" i="1"/>
  <c r="K423" i="1"/>
  <c r="L423" i="1"/>
  <c r="M423" i="1"/>
  <c r="N423" i="1"/>
  <c r="O423" i="1"/>
  <c r="J424" i="1"/>
  <c r="K424" i="1"/>
  <c r="L424" i="1"/>
  <c r="M424" i="1"/>
  <c r="N424" i="1"/>
  <c r="O424" i="1"/>
  <c r="J425" i="1"/>
  <c r="K425" i="1"/>
  <c r="L425" i="1"/>
  <c r="M425" i="1"/>
  <c r="N425" i="1"/>
  <c r="O425" i="1"/>
  <c r="J426" i="1"/>
  <c r="K426" i="1"/>
  <c r="L426" i="1"/>
  <c r="M426" i="1"/>
  <c r="N426" i="1"/>
  <c r="O426" i="1"/>
  <c r="J427" i="1"/>
  <c r="K427" i="1"/>
  <c r="L427" i="1"/>
  <c r="M427" i="1"/>
  <c r="N427" i="1"/>
  <c r="O427" i="1"/>
  <c r="J428" i="1"/>
  <c r="K428" i="1"/>
  <c r="L428" i="1"/>
  <c r="M428" i="1"/>
  <c r="N428" i="1"/>
  <c r="O428" i="1"/>
  <c r="J429" i="1"/>
  <c r="K429" i="1"/>
  <c r="L429" i="1"/>
  <c r="M429" i="1"/>
  <c r="N429" i="1"/>
  <c r="O429" i="1"/>
  <c r="J430" i="1"/>
  <c r="K430" i="1"/>
  <c r="L430" i="1"/>
  <c r="M430" i="1"/>
  <c r="N430" i="1"/>
  <c r="O430" i="1"/>
  <c r="J431" i="1"/>
  <c r="K431" i="1"/>
  <c r="L431" i="1"/>
  <c r="M431" i="1"/>
  <c r="N431" i="1"/>
  <c r="O431" i="1"/>
  <c r="J432" i="1"/>
  <c r="K432" i="1"/>
  <c r="L432" i="1"/>
  <c r="M432" i="1"/>
  <c r="N432" i="1"/>
  <c r="O432" i="1"/>
  <c r="J433" i="1"/>
  <c r="K433" i="1"/>
  <c r="L433" i="1"/>
  <c r="M433" i="1"/>
  <c r="N433" i="1"/>
  <c r="O433" i="1"/>
  <c r="J434" i="1"/>
  <c r="K434" i="1"/>
  <c r="L434" i="1"/>
  <c r="M434" i="1"/>
  <c r="N434" i="1"/>
  <c r="O434" i="1"/>
  <c r="J435" i="1"/>
  <c r="K435" i="1"/>
  <c r="L435" i="1"/>
  <c r="M435" i="1"/>
  <c r="N435" i="1"/>
  <c r="O435" i="1"/>
  <c r="J436" i="1"/>
  <c r="K436" i="1"/>
  <c r="L436" i="1"/>
  <c r="M436" i="1"/>
  <c r="N436" i="1"/>
  <c r="O436" i="1"/>
  <c r="J437" i="1"/>
  <c r="K437" i="1"/>
  <c r="L437" i="1"/>
  <c r="M437" i="1"/>
  <c r="N437" i="1"/>
  <c r="O437" i="1"/>
  <c r="J438" i="1"/>
  <c r="K438" i="1"/>
  <c r="L438" i="1"/>
  <c r="M438" i="1"/>
  <c r="N438" i="1"/>
  <c r="O438" i="1"/>
  <c r="J439" i="1"/>
  <c r="K439" i="1"/>
  <c r="L439" i="1"/>
  <c r="M439" i="1"/>
  <c r="N439" i="1"/>
  <c r="O439" i="1"/>
  <c r="J440" i="1"/>
  <c r="K440" i="1"/>
  <c r="L440" i="1"/>
  <c r="M440" i="1"/>
  <c r="N440" i="1"/>
  <c r="O440" i="1"/>
  <c r="J441" i="1"/>
  <c r="K441" i="1"/>
  <c r="L441" i="1"/>
  <c r="M441" i="1"/>
  <c r="N441" i="1"/>
  <c r="O441" i="1"/>
  <c r="J442" i="1"/>
  <c r="K442" i="1"/>
  <c r="L442" i="1"/>
  <c r="M442" i="1"/>
  <c r="N442" i="1"/>
  <c r="O442" i="1"/>
  <c r="J443" i="1"/>
  <c r="K443" i="1"/>
  <c r="L443" i="1"/>
  <c r="M443" i="1"/>
  <c r="N443" i="1"/>
  <c r="O443" i="1"/>
  <c r="J444" i="1"/>
  <c r="K444" i="1"/>
  <c r="L444" i="1"/>
  <c r="M444" i="1"/>
  <c r="N444" i="1"/>
  <c r="O444" i="1"/>
  <c r="J445" i="1"/>
  <c r="K445" i="1"/>
  <c r="L445" i="1"/>
  <c r="M445" i="1"/>
  <c r="N445" i="1"/>
  <c r="O445" i="1"/>
  <c r="J446" i="1"/>
  <c r="K446" i="1"/>
  <c r="L446" i="1"/>
  <c r="M446" i="1"/>
  <c r="N446" i="1"/>
  <c r="O446" i="1"/>
  <c r="J447" i="1"/>
  <c r="K447" i="1"/>
  <c r="L447" i="1"/>
  <c r="M447" i="1"/>
  <c r="N447" i="1"/>
  <c r="O447" i="1"/>
  <c r="J448" i="1"/>
  <c r="K448" i="1"/>
  <c r="L448" i="1"/>
  <c r="M448" i="1"/>
  <c r="N448" i="1"/>
  <c r="O448" i="1"/>
  <c r="J449" i="1"/>
  <c r="K449" i="1"/>
  <c r="L449" i="1"/>
  <c r="M449" i="1"/>
  <c r="N449" i="1"/>
  <c r="O449" i="1"/>
  <c r="J450" i="1"/>
  <c r="K450" i="1"/>
  <c r="L450" i="1"/>
  <c r="M450" i="1"/>
  <c r="N450" i="1"/>
  <c r="O450" i="1"/>
  <c r="J451" i="1"/>
  <c r="K451" i="1"/>
  <c r="L451" i="1"/>
  <c r="M451" i="1"/>
  <c r="N451" i="1"/>
  <c r="O451" i="1"/>
  <c r="J452" i="1"/>
  <c r="K452" i="1"/>
  <c r="L452" i="1"/>
  <c r="M452" i="1"/>
  <c r="N452" i="1"/>
  <c r="O452" i="1"/>
  <c r="J453" i="1"/>
  <c r="K453" i="1"/>
  <c r="L453" i="1"/>
  <c r="M453" i="1"/>
  <c r="N453" i="1"/>
  <c r="O453" i="1"/>
  <c r="J454" i="1"/>
  <c r="K454" i="1"/>
  <c r="L454" i="1"/>
  <c r="M454" i="1"/>
  <c r="N454" i="1"/>
  <c r="O454" i="1"/>
  <c r="J413" i="1"/>
  <c r="K413" i="1"/>
  <c r="L413" i="1"/>
  <c r="M413" i="1"/>
  <c r="N413" i="1"/>
  <c r="O413" i="1"/>
  <c r="J414" i="1"/>
  <c r="K414" i="1"/>
  <c r="L414" i="1"/>
  <c r="M414" i="1"/>
  <c r="N414" i="1"/>
  <c r="O414" i="1"/>
  <c r="J408" i="1"/>
  <c r="K408" i="1"/>
  <c r="L408" i="1"/>
  <c r="M408" i="1"/>
  <c r="N408" i="1"/>
  <c r="O408" i="1"/>
  <c r="J388" i="1"/>
  <c r="K388" i="1"/>
  <c r="L388" i="1"/>
  <c r="M388" i="1"/>
  <c r="N388" i="1"/>
  <c r="O388" i="1"/>
  <c r="J389" i="1"/>
  <c r="K389" i="1"/>
  <c r="L389" i="1"/>
  <c r="M389" i="1"/>
  <c r="N389" i="1"/>
  <c r="O389" i="1"/>
  <c r="J390" i="1"/>
  <c r="K390" i="1"/>
  <c r="L390" i="1"/>
  <c r="M390" i="1"/>
  <c r="N390" i="1"/>
  <c r="O390" i="1"/>
  <c r="J391" i="1"/>
  <c r="K391" i="1"/>
  <c r="L391" i="1"/>
  <c r="M391" i="1"/>
  <c r="N391" i="1"/>
  <c r="O391" i="1"/>
  <c r="J392" i="1"/>
  <c r="K392" i="1"/>
  <c r="L392" i="1"/>
  <c r="M392" i="1"/>
  <c r="N392" i="1"/>
  <c r="O392" i="1"/>
  <c r="J393" i="1"/>
  <c r="K393" i="1"/>
  <c r="L393" i="1"/>
  <c r="M393" i="1"/>
  <c r="N393" i="1"/>
  <c r="O393" i="1"/>
  <c r="J394" i="1"/>
  <c r="K394" i="1"/>
  <c r="L394" i="1"/>
  <c r="M394" i="1"/>
  <c r="N394" i="1"/>
  <c r="O394" i="1"/>
  <c r="J395" i="1"/>
  <c r="K395" i="1"/>
  <c r="L395" i="1"/>
  <c r="M395" i="1"/>
  <c r="N395" i="1"/>
  <c r="O395" i="1"/>
  <c r="J396" i="1"/>
  <c r="K396" i="1"/>
  <c r="L396" i="1"/>
  <c r="M396" i="1"/>
  <c r="N396" i="1"/>
  <c r="O396" i="1"/>
  <c r="J397" i="1"/>
  <c r="K397" i="1"/>
  <c r="L397" i="1"/>
  <c r="M397" i="1"/>
  <c r="N397" i="1"/>
  <c r="O397" i="1"/>
  <c r="J398" i="1"/>
  <c r="K398" i="1"/>
  <c r="L398" i="1"/>
  <c r="M398" i="1"/>
  <c r="N398" i="1"/>
  <c r="O398" i="1"/>
  <c r="J399" i="1"/>
  <c r="K399" i="1"/>
  <c r="L399" i="1"/>
  <c r="M399" i="1"/>
  <c r="N399" i="1"/>
  <c r="O399" i="1"/>
  <c r="J400" i="1"/>
  <c r="K400" i="1"/>
  <c r="L400" i="1"/>
  <c r="M400" i="1"/>
  <c r="N400" i="1"/>
  <c r="O400" i="1"/>
  <c r="J401" i="1"/>
  <c r="K401" i="1"/>
  <c r="L401" i="1"/>
  <c r="M401" i="1"/>
  <c r="N401" i="1"/>
  <c r="O401" i="1"/>
  <c r="J402" i="1"/>
  <c r="K402" i="1"/>
  <c r="L402" i="1"/>
  <c r="M402" i="1"/>
  <c r="N402" i="1"/>
  <c r="O402" i="1"/>
  <c r="J403" i="1"/>
  <c r="K403" i="1"/>
  <c r="L403" i="1"/>
  <c r="M403" i="1"/>
  <c r="N403" i="1"/>
  <c r="O403" i="1"/>
  <c r="J404" i="1"/>
  <c r="K404" i="1"/>
  <c r="L404" i="1"/>
  <c r="M404" i="1"/>
  <c r="N404" i="1"/>
  <c r="O404" i="1"/>
  <c r="J405" i="1"/>
  <c r="K405" i="1"/>
  <c r="L405" i="1"/>
  <c r="M405" i="1"/>
  <c r="N405" i="1"/>
  <c r="O405" i="1"/>
  <c r="J406" i="1"/>
  <c r="K406" i="1"/>
  <c r="L406" i="1"/>
  <c r="M406" i="1"/>
  <c r="N406" i="1"/>
  <c r="O406" i="1"/>
  <c r="J407" i="1"/>
  <c r="K407" i="1"/>
  <c r="L407" i="1"/>
  <c r="M407" i="1"/>
  <c r="N407" i="1"/>
  <c r="O407" i="1"/>
  <c r="J409" i="1"/>
  <c r="K409" i="1"/>
  <c r="L409" i="1"/>
  <c r="M409" i="1"/>
  <c r="N409" i="1"/>
  <c r="O409" i="1"/>
  <c r="J410" i="1"/>
  <c r="K410" i="1"/>
  <c r="L410" i="1"/>
  <c r="M410" i="1"/>
  <c r="N410" i="1"/>
  <c r="O410" i="1"/>
  <c r="J411" i="1"/>
  <c r="K411" i="1"/>
  <c r="L411" i="1"/>
  <c r="M411" i="1"/>
  <c r="N411" i="1"/>
  <c r="O411" i="1"/>
  <c r="J412" i="1"/>
  <c r="K412" i="1"/>
  <c r="L412" i="1"/>
  <c r="M412" i="1"/>
  <c r="N412" i="1"/>
  <c r="O412" i="1"/>
  <c r="O387" i="1"/>
  <c r="N387" i="1"/>
  <c r="M387" i="1"/>
  <c r="L387" i="1"/>
  <c r="K387" i="1"/>
  <c r="J387" i="1"/>
  <c r="O386" i="1"/>
  <c r="N386" i="1"/>
  <c r="M386" i="1"/>
  <c r="L386" i="1"/>
  <c r="K386" i="1"/>
  <c r="J386" i="1"/>
  <c r="O385" i="1"/>
  <c r="N385" i="1"/>
  <c r="M385" i="1"/>
  <c r="L385" i="1"/>
  <c r="K385" i="1"/>
  <c r="J385" i="1"/>
  <c r="O384" i="1"/>
  <c r="N384" i="1"/>
  <c r="M384" i="1"/>
  <c r="L384" i="1"/>
  <c r="K384" i="1"/>
  <c r="J384" i="1"/>
  <c r="O383" i="1"/>
  <c r="N383" i="1"/>
  <c r="M383" i="1"/>
  <c r="L383" i="1"/>
  <c r="K383" i="1"/>
  <c r="J383" i="1"/>
  <c r="O382" i="1"/>
  <c r="N382" i="1"/>
  <c r="M382" i="1"/>
  <c r="L382" i="1"/>
  <c r="K382" i="1"/>
  <c r="J382" i="1"/>
  <c r="O381" i="1"/>
  <c r="N381" i="1"/>
  <c r="M381" i="1"/>
  <c r="L381" i="1"/>
  <c r="K381" i="1"/>
  <c r="J381" i="1"/>
  <c r="O380" i="1"/>
  <c r="N380" i="1"/>
  <c r="M380" i="1"/>
  <c r="L380" i="1"/>
  <c r="K380" i="1"/>
  <c r="J380" i="1"/>
  <c r="O379" i="1"/>
  <c r="N379" i="1"/>
  <c r="M379" i="1"/>
  <c r="L379" i="1"/>
  <c r="K379" i="1"/>
  <c r="J379" i="1"/>
  <c r="O378" i="1"/>
  <c r="N378" i="1"/>
  <c r="M378" i="1"/>
  <c r="L378" i="1"/>
  <c r="K378" i="1"/>
  <c r="J378" i="1"/>
  <c r="O377" i="1"/>
  <c r="N377" i="1"/>
  <c r="M377" i="1"/>
  <c r="L377" i="1"/>
  <c r="K377" i="1"/>
  <c r="J377" i="1"/>
  <c r="O376" i="1"/>
  <c r="N376" i="1"/>
  <c r="M376" i="1"/>
  <c r="L376" i="1"/>
  <c r="K376" i="1"/>
  <c r="J376" i="1"/>
  <c r="O375" i="1"/>
  <c r="N375" i="1"/>
  <c r="M375" i="1"/>
  <c r="L375" i="1"/>
  <c r="K375" i="1"/>
  <c r="J375" i="1"/>
  <c r="O374" i="1"/>
  <c r="N374" i="1"/>
  <c r="M374" i="1"/>
  <c r="L374" i="1"/>
  <c r="K374" i="1"/>
  <c r="J374" i="1"/>
  <c r="O373" i="1"/>
  <c r="N373" i="1"/>
  <c r="M373" i="1"/>
  <c r="L373" i="1"/>
  <c r="K373" i="1"/>
  <c r="J373" i="1"/>
  <c r="O372" i="1"/>
  <c r="N372" i="1"/>
  <c r="M372" i="1"/>
  <c r="L372" i="1"/>
  <c r="K372" i="1"/>
  <c r="J372" i="1"/>
  <c r="O371" i="1"/>
  <c r="N371" i="1"/>
  <c r="M371" i="1"/>
  <c r="L371" i="1"/>
  <c r="K371" i="1"/>
  <c r="J371" i="1"/>
  <c r="O370" i="1"/>
  <c r="N370" i="1"/>
  <c r="M370" i="1"/>
  <c r="L370" i="1"/>
  <c r="K370" i="1"/>
  <c r="J370" i="1"/>
  <c r="O369" i="1"/>
  <c r="N369" i="1"/>
  <c r="M369" i="1"/>
  <c r="L369" i="1"/>
  <c r="K369" i="1"/>
  <c r="J369" i="1"/>
  <c r="O368" i="1"/>
  <c r="N368" i="1"/>
  <c r="M368" i="1"/>
  <c r="L368" i="1"/>
  <c r="K368" i="1"/>
  <c r="J368" i="1"/>
  <c r="O367" i="1"/>
  <c r="N367" i="1"/>
  <c r="M367" i="1"/>
  <c r="L367" i="1"/>
  <c r="K367" i="1"/>
  <c r="J367" i="1"/>
  <c r="O366" i="1"/>
  <c r="N366" i="1"/>
  <c r="M366" i="1"/>
  <c r="L366" i="1"/>
  <c r="K366" i="1"/>
  <c r="J366" i="1"/>
  <c r="O365" i="1"/>
  <c r="N365" i="1"/>
  <c r="M365" i="1"/>
  <c r="L365" i="1"/>
  <c r="K365" i="1"/>
  <c r="J365" i="1"/>
  <c r="O364" i="1"/>
  <c r="N364" i="1"/>
  <c r="M364" i="1"/>
  <c r="L364" i="1"/>
  <c r="K364" i="1"/>
  <c r="J364" i="1"/>
  <c r="O363" i="1"/>
  <c r="N363" i="1"/>
  <c r="M363" i="1"/>
  <c r="L363" i="1"/>
  <c r="K363" i="1"/>
  <c r="J363" i="1"/>
  <c r="O362" i="1"/>
  <c r="N362" i="1"/>
  <c r="M362" i="1"/>
  <c r="L362" i="1"/>
  <c r="K362" i="1"/>
  <c r="J362" i="1"/>
  <c r="O361" i="1"/>
  <c r="N361" i="1"/>
  <c r="M361" i="1"/>
  <c r="L361" i="1"/>
  <c r="K361" i="1"/>
  <c r="J361" i="1"/>
  <c r="O360" i="1"/>
  <c r="N360" i="1"/>
  <c r="M360" i="1"/>
  <c r="L360" i="1"/>
  <c r="K360" i="1"/>
  <c r="J360" i="1"/>
  <c r="O359" i="1"/>
  <c r="N359" i="1"/>
  <c r="M359" i="1"/>
  <c r="L359" i="1"/>
  <c r="K359" i="1"/>
  <c r="J359" i="1"/>
  <c r="O358" i="1"/>
  <c r="N358" i="1"/>
  <c r="M358" i="1"/>
  <c r="L358" i="1"/>
  <c r="K358" i="1"/>
  <c r="J358" i="1"/>
  <c r="O357" i="1"/>
  <c r="N357" i="1"/>
  <c r="M357" i="1"/>
  <c r="L357" i="1"/>
  <c r="K357" i="1"/>
  <c r="J357" i="1"/>
  <c r="O356" i="1"/>
  <c r="N356" i="1"/>
  <c r="M356" i="1"/>
  <c r="L356" i="1"/>
  <c r="K356" i="1"/>
  <c r="J356" i="1"/>
  <c r="O355" i="1"/>
  <c r="N355" i="1"/>
  <c r="M355" i="1"/>
  <c r="L355" i="1"/>
  <c r="K355" i="1"/>
  <c r="J355" i="1"/>
  <c r="O354" i="1"/>
  <c r="N354" i="1"/>
  <c r="M354" i="1"/>
  <c r="L354" i="1"/>
  <c r="K354" i="1"/>
  <c r="J354" i="1"/>
  <c r="O353" i="1"/>
  <c r="N353" i="1"/>
  <c r="M353" i="1"/>
  <c r="L353" i="1"/>
  <c r="K353" i="1"/>
  <c r="J353" i="1"/>
  <c r="O352" i="1"/>
  <c r="N352" i="1"/>
  <c r="M352" i="1"/>
  <c r="L352" i="1"/>
  <c r="K352" i="1"/>
  <c r="J352" i="1"/>
  <c r="O351" i="1"/>
  <c r="N351" i="1"/>
  <c r="M351" i="1"/>
  <c r="L351" i="1"/>
  <c r="K351" i="1"/>
  <c r="J351" i="1"/>
  <c r="O350" i="1"/>
  <c r="N350" i="1"/>
  <c r="M350" i="1"/>
  <c r="L350" i="1"/>
  <c r="K350" i="1"/>
  <c r="J350" i="1"/>
  <c r="O349" i="1"/>
  <c r="N349" i="1"/>
  <c r="M349" i="1"/>
  <c r="L349" i="1"/>
  <c r="K349" i="1"/>
  <c r="J349" i="1"/>
  <c r="O348" i="1"/>
  <c r="N348" i="1"/>
  <c r="M348" i="1"/>
  <c r="L348" i="1"/>
  <c r="K348" i="1"/>
  <c r="J348" i="1"/>
  <c r="O347" i="1"/>
  <c r="N347" i="1"/>
  <c r="M347" i="1"/>
  <c r="L347" i="1"/>
  <c r="K347" i="1"/>
  <c r="J347" i="1"/>
  <c r="O346" i="1"/>
  <c r="N346" i="1"/>
  <c r="M346" i="1"/>
  <c r="L346" i="1"/>
  <c r="K346" i="1"/>
  <c r="J346" i="1"/>
  <c r="O345" i="1"/>
  <c r="N345" i="1"/>
  <c r="M345" i="1"/>
  <c r="L345" i="1"/>
  <c r="K345" i="1"/>
  <c r="J345" i="1"/>
  <c r="O344" i="1"/>
  <c r="N344" i="1"/>
  <c r="M344" i="1"/>
  <c r="L344" i="1"/>
  <c r="K344" i="1"/>
  <c r="J344" i="1"/>
  <c r="O343" i="1"/>
  <c r="N343" i="1"/>
  <c r="M343" i="1"/>
  <c r="L343" i="1"/>
  <c r="K343" i="1"/>
  <c r="J343" i="1"/>
  <c r="O342" i="1"/>
  <c r="N342" i="1"/>
  <c r="M342" i="1"/>
  <c r="L342" i="1"/>
  <c r="K342" i="1"/>
  <c r="J342" i="1"/>
  <c r="O341" i="1"/>
  <c r="N341" i="1"/>
  <c r="M341" i="1"/>
  <c r="L341" i="1"/>
  <c r="K341" i="1"/>
  <c r="J341" i="1"/>
  <c r="O340" i="1"/>
  <c r="N340" i="1"/>
  <c r="M340" i="1"/>
  <c r="L340" i="1"/>
  <c r="K340" i="1"/>
  <c r="J340" i="1"/>
  <c r="O339" i="1"/>
  <c r="N339" i="1"/>
  <c r="M339" i="1"/>
  <c r="L339" i="1"/>
  <c r="K339" i="1"/>
  <c r="J339" i="1"/>
  <c r="O338" i="1"/>
  <c r="N338" i="1"/>
  <c r="M338" i="1"/>
  <c r="L338" i="1"/>
  <c r="K338" i="1"/>
  <c r="J338" i="1"/>
  <c r="O337" i="1"/>
  <c r="N337" i="1"/>
  <c r="M337" i="1"/>
  <c r="L337" i="1"/>
  <c r="K337" i="1"/>
  <c r="J337" i="1"/>
  <c r="O336" i="1"/>
  <c r="N336" i="1"/>
  <c r="M336" i="1"/>
  <c r="L336" i="1"/>
  <c r="K336" i="1"/>
  <c r="J336" i="1"/>
  <c r="O335" i="1"/>
  <c r="N335" i="1"/>
  <c r="M335" i="1"/>
  <c r="L335" i="1"/>
  <c r="K335" i="1"/>
  <c r="J335" i="1"/>
  <c r="O334" i="1"/>
  <c r="N334" i="1"/>
  <c r="M334" i="1"/>
  <c r="L334" i="1"/>
  <c r="K334" i="1"/>
  <c r="J334" i="1"/>
  <c r="O333" i="1"/>
  <c r="N333" i="1"/>
  <c r="M333" i="1"/>
  <c r="L333" i="1"/>
  <c r="K333" i="1"/>
  <c r="J333" i="1"/>
  <c r="O332" i="1"/>
  <c r="N332" i="1"/>
  <c r="M332" i="1"/>
  <c r="L332" i="1"/>
  <c r="K332" i="1"/>
  <c r="J332" i="1"/>
  <c r="O331" i="1"/>
  <c r="N331" i="1"/>
  <c r="M331" i="1"/>
  <c r="L331" i="1"/>
  <c r="K331" i="1"/>
  <c r="J331" i="1"/>
  <c r="O330" i="1"/>
  <c r="N330" i="1"/>
  <c r="M330" i="1"/>
  <c r="L330" i="1"/>
  <c r="K330" i="1"/>
  <c r="J330" i="1"/>
  <c r="O329" i="1"/>
  <c r="N329" i="1"/>
  <c r="M329" i="1"/>
  <c r="L329" i="1"/>
  <c r="K329" i="1"/>
  <c r="J329" i="1"/>
  <c r="O328" i="1"/>
  <c r="N328" i="1"/>
  <c r="M328" i="1"/>
  <c r="L328" i="1"/>
  <c r="K328" i="1"/>
  <c r="J328" i="1"/>
  <c r="O327" i="1"/>
  <c r="N327" i="1"/>
  <c r="M327" i="1"/>
  <c r="L327" i="1"/>
  <c r="K327" i="1"/>
  <c r="J327" i="1"/>
  <c r="O326" i="1"/>
  <c r="N326" i="1"/>
  <c r="M326" i="1"/>
  <c r="L326" i="1"/>
  <c r="K326" i="1"/>
  <c r="J326" i="1"/>
  <c r="O325" i="1"/>
  <c r="N325" i="1"/>
  <c r="M325" i="1"/>
  <c r="L325" i="1"/>
  <c r="K325" i="1"/>
  <c r="J325" i="1"/>
  <c r="O324" i="1"/>
  <c r="N324" i="1"/>
  <c r="M324" i="1"/>
  <c r="L324" i="1"/>
  <c r="K324" i="1"/>
  <c r="J324" i="1"/>
  <c r="J315" i="1"/>
  <c r="K315" i="1"/>
  <c r="L315" i="1"/>
  <c r="M315" i="1"/>
  <c r="N315" i="1"/>
  <c r="O315" i="1"/>
  <c r="J316" i="1"/>
  <c r="K316" i="1"/>
  <c r="L316" i="1"/>
  <c r="M316" i="1"/>
  <c r="N316" i="1"/>
  <c r="O316" i="1"/>
  <c r="J317" i="1"/>
  <c r="K317" i="1"/>
  <c r="L317" i="1"/>
  <c r="M317" i="1"/>
  <c r="N317" i="1"/>
  <c r="O317" i="1"/>
  <c r="J318" i="1"/>
  <c r="K318" i="1"/>
  <c r="L318" i="1"/>
  <c r="M318" i="1"/>
  <c r="N318" i="1"/>
  <c r="O318" i="1"/>
  <c r="J319" i="1"/>
  <c r="K319" i="1"/>
  <c r="L319" i="1"/>
  <c r="M319" i="1"/>
  <c r="N319" i="1"/>
  <c r="O319" i="1"/>
  <c r="J320" i="1"/>
  <c r="K320" i="1"/>
  <c r="L320" i="1"/>
  <c r="M320" i="1"/>
  <c r="N320" i="1"/>
  <c r="O320" i="1"/>
  <c r="J321" i="1"/>
  <c r="K321" i="1"/>
  <c r="L321" i="1"/>
  <c r="M321" i="1"/>
  <c r="N321" i="1"/>
  <c r="O321" i="1"/>
  <c r="J322" i="1"/>
  <c r="K322" i="1"/>
  <c r="L322" i="1"/>
  <c r="M322" i="1"/>
  <c r="N322" i="1"/>
  <c r="O322" i="1"/>
  <c r="J323" i="1"/>
  <c r="K323" i="1"/>
  <c r="L323" i="1"/>
  <c r="M323" i="1"/>
  <c r="N323" i="1"/>
  <c r="O323" i="1"/>
  <c r="J116" i="1"/>
  <c r="K116" i="1"/>
  <c r="L116" i="1"/>
  <c r="M116" i="1"/>
  <c r="N116" i="1"/>
  <c r="O116" i="1"/>
  <c r="J273" i="1"/>
  <c r="K273" i="1"/>
  <c r="L273" i="1"/>
  <c r="M273" i="1"/>
  <c r="N273" i="1"/>
  <c r="O273" i="1"/>
  <c r="J274" i="1"/>
  <c r="K274" i="1"/>
  <c r="L274" i="1"/>
  <c r="M274" i="1"/>
  <c r="N274" i="1"/>
  <c r="O274" i="1"/>
  <c r="J275" i="1"/>
  <c r="K275" i="1"/>
  <c r="L275" i="1"/>
  <c r="M275" i="1"/>
  <c r="N275" i="1"/>
  <c r="O275" i="1"/>
  <c r="J276" i="1"/>
  <c r="K276" i="1"/>
  <c r="L276" i="1"/>
  <c r="M276" i="1"/>
  <c r="N276" i="1"/>
  <c r="O276" i="1"/>
  <c r="J277" i="1"/>
  <c r="K277" i="1"/>
  <c r="L277" i="1"/>
  <c r="M277" i="1"/>
  <c r="N277" i="1"/>
  <c r="O277" i="1"/>
  <c r="J278" i="1"/>
  <c r="K278" i="1"/>
  <c r="L278" i="1"/>
  <c r="M278" i="1"/>
  <c r="N278" i="1"/>
  <c r="O278" i="1"/>
  <c r="J279" i="1"/>
  <c r="K279" i="1"/>
  <c r="L279" i="1"/>
  <c r="M279" i="1"/>
  <c r="N279" i="1"/>
  <c r="O279" i="1"/>
  <c r="J280" i="1"/>
  <c r="K280" i="1"/>
  <c r="L280" i="1"/>
  <c r="M280" i="1"/>
  <c r="N280" i="1"/>
  <c r="O280" i="1"/>
  <c r="J281" i="1"/>
  <c r="K281" i="1"/>
  <c r="L281" i="1"/>
  <c r="M281" i="1"/>
  <c r="N281" i="1"/>
  <c r="O281" i="1"/>
  <c r="J282" i="1"/>
  <c r="K282" i="1"/>
  <c r="L282" i="1"/>
  <c r="M282" i="1"/>
  <c r="N282" i="1"/>
  <c r="O282" i="1"/>
  <c r="J283" i="1"/>
  <c r="K283" i="1"/>
  <c r="L283" i="1"/>
  <c r="M283" i="1"/>
  <c r="N283" i="1"/>
  <c r="O283" i="1"/>
  <c r="J284" i="1"/>
  <c r="K284" i="1"/>
  <c r="L284" i="1"/>
  <c r="M284" i="1"/>
  <c r="N284" i="1"/>
  <c r="O284" i="1"/>
  <c r="J285" i="1"/>
  <c r="K285" i="1"/>
  <c r="L285" i="1"/>
  <c r="M285" i="1"/>
  <c r="N285" i="1"/>
  <c r="O285" i="1"/>
  <c r="J286" i="1"/>
  <c r="K286" i="1"/>
  <c r="L286" i="1"/>
  <c r="M286" i="1"/>
  <c r="N286" i="1"/>
  <c r="O286" i="1"/>
  <c r="J287" i="1"/>
  <c r="K287" i="1"/>
  <c r="L287" i="1"/>
  <c r="M287" i="1"/>
  <c r="N287" i="1"/>
  <c r="O287" i="1"/>
  <c r="J288" i="1"/>
  <c r="K288" i="1"/>
  <c r="L288" i="1"/>
  <c r="M288" i="1"/>
  <c r="N288" i="1"/>
  <c r="O288" i="1"/>
  <c r="J289" i="1"/>
  <c r="K289" i="1"/>
  <c r="L289" i="1"/>
  <c r="M289" i="1"/>
  <c r="N289" i="1"/>
  <c r="O289" i="1"/>
  <c r="J290" i="1"/>
  <c r="K290" i="1"/>
  <c r="L290" i="1"/>
  <c r="M290" i="1"/>
  <c r="N290" i="1"/>
  <c r="O290" i="1"/>
  <c r="J291" i="1"/>
  <c r="K291" i="1"/>
  <c r="L291" i="1"/>
  <c r="M291" i="1"/>
  <c r="N291" i="1"/>
  <c r="O291" i="1"/>
  <c r="J292" i="1"/>
  <c r="K292" i="1"/>
  <c r="L292" i="1"/>
  <c r="M292" i="1"/>
  <c r="N292" i="1"/>
  <c r="O292" i="1"/>
  <c r="J293" i="1"/>
  <c r="K293" i="1"/>
  <c r="L293" i="1"/>
  <c r="M293" i="1"/>
  <c r="N293" i="1"/>
  <c r="O293" i="1"/>
  <c r="J294" i="1"/>
  <c r="K294" i="1"/>
  <c r="L294" i="1"/>
  <c r="M294" i="1"/>
  <c r="N294" i="1"/>
  <c r="O294" i="1"/>
  <c r="J295" i="1"/>
  <c r="K295" i="1"/>
  <c r="L295" i="1"/>
  <c r="M295" i="1"/>
  <c r="N295" i="1"/>
  <c r="O295" i="1"/>
  <c r="J296" i="1"/>
  <c r="K296" i="1"/>
  <c r="L296" i="1"/>
  <c r="M296" i="1"/>
  <c r="N296" i="1"/>
  <c r="O296" i="1"/>
  <c r="J297" i="1"/>
  <c r="K297" i="1"/>
  <c r="L297" i="1"/>
  <c r="M297" i="1"/>
  <c r="N297" i="1"/>
  <c r="O297" i="1"/>
  <c r="J298" i="1"/>
  <c r="K298" i="1"/>
  <c r="L298" i="1"/>
  <c r="M298" i="1"/>
  <c r="N298" i="1"/>
  <c r="O298" i="1"/>
  <c r="J299" i="1"/>
  <c r="K299" i="1"/>
  <c r="L299" i="1"/>
  <c r="M299" i="1"/>
  <c r="N299" i="1"/>
  <c r="O299" i="1"/>
  <c r="J300" i="1"/>
  <c r="K300" i="1"/>
  <c r="L300" i="1"/>
  <c r="M300" i="1"/>
  <c r="N300" i="1"/>
  <c r="O300" i="1"/>
  <c r="J301" i="1"/>
  <c r="K301" i="1"/>
  <c r="L301" i="1"/>
  <c r="M301" i="1"/>
  <c r="N301" i="1"/>
  <c r="O301" i="1"/>
  <c r="J302" i="1"/>
  <c r="K302" i="1"/>
  <c r="L302" i="1"/>
  <c r="M302" i="1"/>
  <c r="N302" i="1"/>
  <c r="O302" i="1"/>
  <c r="J303" i="1"/>
  <c r="K303" i="1"/>
  <c r="L303" i="1"/>
  <c r="M303" i="1"/>
  <c r="N303" i="1"/>
  <c r="O303" i="1"/>
  <c r="J304" i="1"/>
  <c r="K304" i="1"/>
  <c r="L304" i="1"/>
  <c r="M304" i="1"/>
  <c r="N304" i="1"/>
  <c r="O304" i="1"/>
  <c r="J305" i="1"/>
  <c r="K305" i="1"/>
  <c r="L305" i="1"/>
  <c r="M305" i="1"/>
  <c r="N305" i="1"/>
  <c r="O305" i="1"/>
  <c r="J306" i="1"/>
  <c r="K306" i="1"/>
  <c r="L306" i="1"/>
  <c r="M306" i="1"/>
  <c r="N306" i="1"/>
  <c r="O306" i="1"/>
  <c r="J307" i="1"/>
  <c r="K307" i="1"/>
  <c r="L307" i="1"/>
  <c r="M307" i="1"/>
  <c r="N307" i="1"/>
  <c r="O307" i="1"/>
  <c r="J308" i="1"/>
  <c r="K308" i="1"/>
  <c r="L308" i="1"/>
  <c r="M308" i="1"/>
  <c r="N308" i="1"/>
  <c r="O308" i="1"/>
  <c r="J309" i="1"/>
  <c r="K309" i="1"/>
  <c r="L309" i="1"/>
  <c r="M309" i="1"/>
  <c r="N309" i="1"/>
  <c r="O309" i="1"/>
  <c r="J310" i="1"/>
  <c r="K310" i="1"/>
  <c r="L310" i="1"/>
  <c r="M310" i="1"/>
  <c r="N310" i="1"/>
  <c r="O310" i="1"/>
  <c r="J311" i="1"/>
  <c r="K311" i="1"/>
  <c r="L311" i="1"/>
  <c r="M311" i="1"/>
  <c r="N311" i="1"/>
  <c r="O311" i="1"/>
  <c r="J312" i="1"/>
  <c r="K312" i="1"/>
  <c r="L312" i="1"/>
  <c r="M312" i="1"/>
  <c r="N312" i="1"/>
  <c r="O312" i="1"/>
  <c r="J313" i="1"/>
  <c r="K313" i="1"/>
  <c r="L313" i="1"/>
  <c r="M313" i="1"/>
  <c r="N313" i="1"/>
  <c r="O313" i="1"/>
  <c r="J314" i="1"/>
  <c r="K314" i="1"/>
  <c r="L314" i="1"/>
  <c r="M314" i="1"/>
  <c r="N314" i="1"/>
  <c r="O314" i="1"/>
  <c r="J263" i="1"/>
  <c r="K263" i="1"/>
  <c r="L263" i="1"/>
  <c r="M263" i="1"/>
  <c r="N263" i="1"/>
  <c r="O263" i="1"/>
  <c r="J264" i="1"/>
  <c r="K264" i="1"/>
  <c r="L264" i="1"/>
  <c r="M264" i="1"/>
  <c r="N264" i="1"/>
  <c r="O264" i="1"/>
  <c r="J265" i="1"/>
  <c r="K265" i="1"/>
  <c r="L265" i="1"/>
  <c r="M265" i="1"/>
  <c r="N265" i="1"/>
  <c r="O265" i="1"/>
  <c r="J266" i="1"/>
  <c r="K266" i="1"/>
  <c r="L266" i="1"/>
  <c r="M266" i="1"/>
  <c r="N266" i="1"/>
  <c r="O266" i="1"/>
  <c r="J267" i="1"/>
  <c r="K267" i="1"/>
  <c r="L267" i="1"/>
  <c r="M267" i="1"/>
  <c r="N267" i="1"/>
  <c r="O267" i="1"/>
  <c r="J268" i="1"/>
  <c r="K268" i="1"/>
  <c r="L268" i="1"/>
  <c r="M268" i="1"/>
  <c r="N268" i="1"/>
  <c r="O268" i="1"/>
  <c r="J269" i="1"/>
  <c r="K269" i="1"/>
  <c r="L269" i="1"/>
  <c r="M269" i="1"/>
  <c r="N269" i="1"/>
  <c r="O269" i="1"/>
  <c r="J270" i="1"/>
  <c r="K270" i="1"/>
  <c r="L270" i="1"/>
  <c r="M270" i="1"/>
  <c r="N270" i="1"/>
  <c r="O270" i="1"/>
  <c r="J271" i="1"/>
  <c r="K271" i="1"/>
  <c r="L271" i="1"/>
  <c r="M271" i="1"/>
  <c r="N271" i="1"/>
  <c r="O271" i="1"/>
  <c r="J272" i="1"/>
  <c r="K272" i="1"/>
  <c r="L272" i="1"/>
  <c r="M272" i="1"/>
  <c r="N272" i="1"/>
  <c r="O272" i="1"/>
  <c r="O262" i="1"/>
  <c r="N262" i="1"/>
  <c r="M262" i="1"/>
  <c r="L262" i="1"/>
  <c r="K262" i="1"/>
  <c r="J262" i="1"/>
  <c r="O261" i="1"/>
  <c r="N261" i="1"/>
  <c r="M261" i="1"/>
  <c r="L261" i="1"/>
  <c r="K261" i="1"/>
  <c r="J261" i="1"/>
  <c r="O260" i="1"/>
  <c r="N260" i="1"/>
  <c r="M260" i="1"/>
  <c r="L260" i="1"/>
  <c r="K260" i="1"/>
  <c r="J260" i="1"/>
  <c r="O259" i="1"/>
  <c r="N259" i="1"/>
  <c r="M259" i="1"/>
  <c r="L259" i="1"/>
  <c r="K259" i="1"/>
  <c r="J259" i="1"/>
  <c r="O258" i="1"/>
  <c r="N258" i="1"/>
  <c r="M258" i="1"/>
  <c r="L258" i="1"/>
  <c r="K258" i="1"/>
  <c r="J258" i="1"/>
  <c r="O257" i="1"/>
  <c r="N257" i="1"/>
  <c r="M257" i="1"/>
  <c r="L257" i="1"/>
  <c r="K257" i="1"/>
  <c r="J257" i="1"/>
  <c r="O256" i="1"/>
  <c r="N256" i="1"/>
  <c r="M256" i="1"/>
  <c r="L256" i="1"/>
  <c r="K256" i="1"/>
  <c r="J256" i="1"/>
  <c r="O255" i="1"/>
  <c r="N255" i="1"/>
  <c r="M255" i="1"/>
  <c r="L255" i="1"/>
  <c r="K255" i="1"/>
  <c r="J255" i="1"/>
  <c r="O254" i="1"/>
  <c r="N254" i="1"/>
  <c r="M254" i="1"/>
  <c r="L254" i="1"/>
  <c r="K254" i="1"/>
  <c r="J254" i="1"/>
  <c r="O253" i="1"/>
  <c r="N253" i="1"/>
  <c r="M253" i="1"/>
  <c r="L253" i="1"/>
  <c r="K253" i="1"/>
  <c r="J253" i="1"/>
  <c r="O252" i="1"/>
  <c r="N252" i="1"/>
  <c r="M252" i="1"/>
  <c r="L252" i="1"/>
  <c r="K252" i="1"/>
  <c r="J252" i="1"/>
  <c r="O251" i="1"/>
  <c r="N251" i="1"/>
  <c r="M251" i="1"/>
  <c r="L251" i="1"/>
  <c r="K251" i="1"/>
  <c r="J251" i="1"/>
  <c r="O250" i="1"/>
  <c r="N250" i="1"/>
  <c r="M250" i="1"/>
  <c r="L250" i="1"/>
  <c r="K250" i="1"/>
  <c r="J250" i="1"/>
  <c r="O249" i="1"/>
  <c r="N249" i="1"/>
  <c r="M249" i="1"/>
  <c r="L249" i="1"/>
  <c r="K249" i="1"/>
  <c r="J249" i="1"/>
  <c r="O248" i="1"/>
  <c r="N248" i="1"/>
  <c r="M248" i="1"/>
  <c r="L248" i="1"/>
  <c r="K248" i="1"/>
  <c r="J248" i="1"/>
  <c r="O247" i="1"/>
  <c r="N247" i="1"/>
  <c r="M247" i="1"/>
  <c r="L247" i="1"/>
  <c r="K247" i="1"/>
  <c r="J247" i="1"/>
  <c r="O246" i="1"/>
  <c r="N246" i="1"/>
  <c r="M246" i="1"/>
  <c r="L246" i="1"/>
  <c r="K246" i="1"/>
  <c r="J246" i="1"/>
  <c r="O245" i="1"/>
  <c r="N245" i="1"/>
  <c r="M245" i="1"/>
  <c r="L245" i="1"/>
  <c r="K245" i="1"/>
  <c r="J245" i="1"/>
  <c r="O244" i="1"/>
  <c r="N244" i="1"/>
  <c r="M244" i="1"/>
  <c r="L244" i="1"/>
  <c r="K244" i="1"/>
  <c r="J244" i="1"/>
  <c r="O243" i="1"/>
  <c r="N243" i="1"/>
  <c r="M243" i="1"/>
  <c r="L243" i="1"/>
  <c r="K243" i="1"/>
  <c r="J243" i="1"/>
  <c r="O242" i="1"/>
  <c r="N242" i="1"/>
  <c r="M242" i="1"/>
  <c r="L242" i="1"/>
  <c r="K242" i="1"/>
  <c r="J242" i="1"/>
  <c r="O241" i="1"/>
  <c r="N241" i="1"/>
  <c r="M241" i="1"/>
  <c r="L241" i="1"/>
  <c r="K241" i="1"/>
  <c r="J241" i="1"/>
  <c r="O240" i="1"/>
  <c r="N240" i="1"/>
  <c r="M240" i="1"/>
  <c r="L240" i="1"/>
  <c r="K240" i="1"/>
  <c r="J240" i="1"/>
  <c r="O239" i="1"/>
  <c r="N239" i="1"/>
  <c r="M239" i="1"/>
  <c r="L239" i="1"/>
  <c r="K239" i="1"/>
  <c r="J239" i="1"/>
  <c r="O238" i="1"/>
  <c r="N238" i="1"/>
  <c r="M238" i="1"/>
  <c r="L238" i="1"/>
  <c r="K238" i="1"/>
  <c r="J238" i="1"/>
  <c r="O237" i="1"/>
  <c r="N237" i="1"/>
  <c r="M237" i="1"/>
  <c r="L237" i="1"/>
  <c r="K237" i="1"/>
  <c r="J237" i="1"/>
  <c r="O236" i="1"/>
  <c r="N236" i="1"/>
  <c r="M236" i="1"/>
  <c r="L236" i="1"/>
  <c r="K236" i="1"/>
  <c r="J236" i="1"/>
  <c r="O235" i="1"/>
  <c r="N235" i="1"/>
  <c r="M235" i="1"/>
  <c r="L235" i="1"/>
  <c r="K235" i="1"/>
  <c r="J235" i="1"/>
  <c r="O234" i="1"/>
  <c r="N234" i="1"/>
  <c r="M234" i="1"/>
  <c r="L234" i="1"/>
  <c r="K234" i="1"/>
  <c r="J234" i="1"/>
  <c r="O233" i="1"/>
  <c r="N233" i="1"/>
  <c r="M233" i="1"/>
  <c r="L233" i="1"/>
  <c r="K233" i="1"/>
  <c r="J233" i="1"/>
  <c r="O232" i="1"/>
  <c r="N232" i="1"/>
  <c r="M232" i="1"/>
  <c r="L232" i="1"/>
  <c r="K232" i="1"/>
  <c r="J232" i="1"/>
  <c r="O231" i="1"/>
  <c r="N231" i="1"/>
  <c r="M231" i="1"/>
  <c r="L231" i="1"/>
  <c r="K231" i="1"/>
  <c r="J231" i="1"/>
  <c r="O230" i="1"/>
  <c r="N230" i="1"/>
  <c r="M230" i="1"/>
  <c r="L230" i="1"/>
  <c r="K230" i="1"/>
  <c r="J230" i="1"/>
  <c r="O229" i="1"/>
  <c r="N229" i="1"/>
  <c r="M229" i="1"/>
  <c r="L229" i="1"/>
  <c r="K229" i="1"/>
  <c r="J229" i="1"/>
  <c r="O228" i="1"/>
  <c r="N228" i="1"/>
  <c r="M228" i="1"/>
  <c r="L228" i="1"/>
  <c r="K228" i="1"/>
  <c r="J228" i="1"/>
  <c r="O227" i="1"/>
  <c r="N227" i="1"/>
  <c r="M227" i="1"/>
  <c r="L227" i="1"/>
  <c r="K227" i="1"/>
  <c r="J227" i="1"/>
  <c r="O226" i="1"/>
  <c r="N226" i="1"/>
  <c r="M226" i="1"/>
  <c r="L226" i="1"/>
  <c r="K226" i="1"/>
  <c r="J226" i="1"/>
  <c r="O225" i="1"/>
  <c r="N225" i="1"/>
  <c r="M225" i="1"/>
  <c r="L225" i="1"/>
  <c r="K225" i="1"/>
  <c r="J225" i="1"/>
  <c r="O224" i="1"/>
  <c r="N224" i="1"/>
  <c r="M224" i="1"/>
  <c r="L224" i="1"/>
  <c r="K224" i="1"/>
  <c r="J224" i="1"/>
  <c r="O223" i="1"/>
  <c r="N223" i="1"/>
  <c r="M223" i="1"/>
  <c r="L223" i="1"/>
  <c r="K223" i="1"/>
  <c r="J223" i="1"/>
  <c r="O222" i="1"/>
  <c r="N222" i="1"/>
  <c r="M222" i="1"/>
  <c r="L222" i="1"/>
  <c r="K222" i="1"/>
  <c r="J222" i="1"/>
  <c r="O221" i="1"/>
  <c r="N221" i="1"/>
  <c r="M221" i="1"/>
  <c r="L221" i="1"/>
  <c r="K221" i="1"/>
  <c r="J221" i="1"/>
  <c r="O220" i="1"/>
  <c r="N220" i="1"/>
  <c r="M220" i="1"/>
  <c r="L220" i="1"/>
  <c r="K220" i="1"/>
  <c r="J220" i="1"/>
  <c r="O219" i="1"/>
  <c r="N219" i="1"/>
  <c r="M219" i="1"/>
  <c r="L219" i="1"/>
  <c r="K219" i="1"/>
  <c r="J219" i="1"/>
  <c r="O218" i="1"/>
  <c r="N218" i="1"/>
  <c r="M218" i="1"/>
  <c r="L218" i="1"/>
  <c r="K218" i="1"/>
  <c r="J218" i="1"/>
  <c r="O217" i="1"/>
  <c r="N217" i="1"/>
  <c r="M217" i="1"/>
  <c r="L217" i="1"/>
  <c r="K217" i="1"/>
  <c r="J217" i="1"/>
  <c r="O216" i="1"/>
  <c r="N216" i="1"/>
  <c r="M216" i="1"/>
  <c r="L216" i="1"/>
  <c r="K216" i="1"/>
  <c r="J216" i="1"/>
  <c r="O215" i="1"/>
  <c r="N215" i="1"/>
  <c r="M215" i="1"/>
  <c r="L215" i="1"/>
  <c r="K215" i="1"/>
  <c r="J215" i="1"/>
  <c r="O214" i="1"/>
  <c r="N214" i="1"/>
  <c r="M214" i="1"/>
  <c r="L214" i="1"/>
  <c r="K214" i="1"/>
  <c r="J214" i="1"/>
  <c r="O213" i="1"/>
  <c r="N213" i="1"/>
  <c r="M213" i="1"/>
  <c r="L213" i="1"/>
  <c r="K213" i="1"/>
  <c r="J213" i="1"/>
  <c r="O212" i="1"/>
  <c r="N212" i="1"/>
  <c r="M212" i="1"/>
  <c r="L212" i="1"/>
  <c r="K212" i="1"/>
  <c r="J212" i="1"/>
  <c r="O211" i="1"/>
  <c r="N211" i="1"/>
  <c r="M211" i="1"/>
  <c r="L211" i="1"/>
  <c r="K211" i="1"/>
  <c r="J211" i="1"/>
  <c r="O210" i="1"/>
  <c r="N210" i="1"/>
  <c r="M210" i="1"/>
  <c r="L210" i="1"/>
  <c r="K210" i="1"/>
  <c r="J210" i="1"/>
  <c r="O209" i="1"/>
  <c r="N209" i="1"/>
  <c r="M209" i="1"/>
  <c r="L209" i="1"/>
  <c r="K209" i="1"/>
  <c r="J209" i="1"/>
  <c r="O208" i="1"/>
  <c r="N208" i="1"/>
  <c r="M208" i="1"/>
  <c r="L208" i="1"/>
  <c r="K208" i="1"/>
  <c r="J208" i="1"/>
  <c r="O207" i="1"/>
  <c r="N207" i="1"/>
  <c r="M207" i="1"/>
  <c r="L207" i="1"/>
  <c r="K207" i="1"/>
  <c r="J207" i="1"/>
  <c r="O206" i="1"/>
  <c r="N206" i="1"/>
  <c r="M206" i="1"/>
  <c r="L206" i="1"/>
  <c r="K206" i="1"/>
  <c r="J206" i="1"/>
  <c r="O205" i="1"/>
  <c r="N205" i="1"/>
  <c r="M205" i="1"/>
  <c r="L205" i="1"/>
  <c r="K205" i="1"/>
  <c r="J205" i="1"/>
  <c r="O204" i="1"/>
  <c r="N204" i="1"/>
  <c r="M204" i="1"/>
  <c r="L204" i="1"/>
  <c r="K204" i="1"/>
  <c r="J204" i="1"/>
  <c r="O203" i="1"/>
  <c r="N203" i="1"/>
  <c r="M203" i="1"/>
  <c r="L203" i="1"/>
  <c r="K203" i="1"/>
  <c r="J203" i="1"/>
  <c r="O202" i="1"/>
  <c r="N202" i="1"/>
  <c r="M202" i="1"/>
  <c r="L202" i="1"/>
  <c r="K202" i="1"/>
  <c r="J202" i="1"/>
  <c r="O201" i="1"/>
  <c r="N201" i="1"/>
  <c r="M201" i="1"/>
  <c r="L201" i="1"/>
  <c r="K201" i="1"/>
  <c r="J201" i="1"/>
  <c r="O200" i="1"/>
  <c r="N200" i="1"/>
  <c r="M200" i="1"/>
  <c r="L200" i="1"/>
  <c r="K200" i="1"/>
  <c r="J200" i="1"/>
  <c r="O199" i="1"/>
  <c r="N199" i="1"/>
  <c r="M199" i="1"/>
  <c r="L199" i="1"/>
  <c r="K199" i="1"/>
  <c r="J199" i="1"/>
  <c r="O198" i="1"/>
  <c r="N198" i="1"/>
  <c r="M198" i="1"/>
  <c r="L198" i="1"/>
  <c r="K198" i="1"/>
  <c r="J198" i="1"/>
  <c r="O197" i="1"/>
  <c r="N197" i="1"/>
  <c r="M197" i="1"/>
  <c r="L197" i="1"/>
  <c r="K197" i="1"/>
  <c r="J197" i="1"/>
  <c r="O196" i="1"/>
  <c r="N196" i="1"/>
  <c r="M196" i="1"/>
  <c r="L196" i="1"/>
  <c r="K196" i="1"/>
  <c r="J196" i="1"/>
  <c r="O195" i="1"/>
  <c r="N195" i="1"/>
  <c r="M195" i="1"/>
  <c r="L195" i="1"/>
  <c r="K195" i="1"/>
  <c r="J195" i="1"/>
  <c r="O194" i="1"/>
  <c r="N194" i="1"/>
  <c r="M194" i="1"/>
  <c r="L194" i="1"/>
  <c r="K194" i="1"/>
  <c r="J194" i="1"/>
  <c r="O193" i="1"/>
  <c r="N193" i="1"/>
  <c r="M193" i="1"/>
  <c r="L193" i="1"/>
  <c r="K193" i="1"/>
  <c r="J193" i="1"/>
  <c r="O192" i="1"/>
  <c r="N192" i="1"/>
  <c r="M192" i="1"/>
  <c r="L192" i="1"/>
  <c r="K192" i="1"/>
  <c r="J192" i="1"/>
  <c r="O191" i="1"/>
  <c r="N191" i="1"/>
  <c r="M191" i="1"/>
  <c r="L191" i="1"/>
  <c r="K191" i="1"/>
  <c r="J191" i="1"/>
  <c r="O190" i="1"/>
  <c r="N190" i="1"/>
  <c r="M190" i="1"/>
  <c r="L190" i="1"/>
  <c r="K190" i="1"/>
  <c r="J190" i="1"/>
  <c r="O189" i="1"/>
  <c r="N189" i="1"/>
  <c r="M189" i="1"/>
  <c r="L189" i="1"/>
  <c r="K189" i="1"/>
  <c r="J189" i="1"/>
  <c r="O188" i="1"/>
  <c r="N188" i="1"/>
  <c r="M188" i="1"/>
  <c r="L188" i="1"/>
  <c r="K188" i="1"/>
  <c r="J188" i="1"/>
  <c r="O187" i="1"/>
  <c r="N187" i="1"/>
  <c r="M187" i="1"/>
  <c r="L187" i="1"/>
  <c r="K187" i="1"/>
  <c r="J187" i="1"/>
  <c r="O186" i="1"/>
  <c r="N186" i="1"/>
  <c r="M186" i="1"/>
  <c r="L186" i="1"/>
  <c r="K186" i="1"/>
  <c r="J186" i="1"/>
  <c r="O185" i="1"/>
  <c r="N185" i="1"/>
  <c r="M185" i="1"/>
  <c r="L185" i="1"/>
  <c r="K185" i="1"/>
  <c r="J185" i="1"/>
  <c r="O184" i="1"/>
  <c r="N184" i="1"/>
  <c r="M184" i="1"/>
  <c r="L184" i="1"/>
  <c r="K184" i="1"/>
  <c r="J184" i="1"/>
  <c r="O183" i="1"/>
  <c r="N183" i="1"/>
  <c r="M183" i="1"/>
  <c r="L183" i="1"/>
  <c r="K183" i="1"/>
  <c r="J183" i="1"/>
  <c r="O182" i="1"/>
  <c r="N182" i="1"/>
  <c r="M182" i="1"/>
  <c r="L182" i="1"/>
  <c r="K182" i="1"/>
  <c r="J182" i="1"/>
  <c r="O181" i="1"/>
  <c r="N181" i="1"/>
  <c r="M181" i="1"/>
  <c r="L181" i="1"/>
  <c r="K181" i="1"/>
  <c r="J181" i="1"/>
  <c r="O180" i="1"/>
  <c r="N180" i="1"/>
  <c r="M180" i="1"/>
  <c r="L180" i="1"/>
  <c r="K180" i="1"/>
  <c r="J180" i="1"/>
  <c r="O179" i="1"/>
  <c r="N179" i="1"/>
  <c r="M179" i="1"/>
  <c r="L179" i="1"/>
  <c r="K179" i="1"/>
  <c r="J179" i="1"/>
  <c r="O178" i="1"/>
  <c r="N178" i="1"/>
  <c r="M178" i="1"/>
  <c r="L178" i="1"/>
  <c r="K178" i="1"/>
  <c r="J178" i="1"/>
  <c r="O177" i="1"/>
  <c r="N177" i="1"/>
  <c r="M177" i="1"/>
  <c r="L177" i="1"/>
  <c r="K177" i="1"/>
  <c r="J177" i="1"/>
  <c r="O176" i="1"/>
  <c r="N176" i="1"/>
  <c r="M176" i="1"/>
  <c r="L176" i="1"/>
  <c r="K176" i="1"/>
  <c r="J176" i="1"/>
  <c r="O175" i="1"/>
  <c r="N175" i="1"/>
  <c r="M175" i="1"/>
  <c r="L175" i="1"/>
  <c r="K175" i="1"/>
  <c r="J175" i="1"/>
  <c r="O174" i="1"/>
  <c r="N174" i="1"/>
  <c r="M174" i="1"/>
  <c r="L174" i="1"/>
  <c r="K174" i="1"/>
  <c r="J174" i="1"/>
  <c r="O173" i="1"/>
  <c r="N173" i="1"/>
  <c r="M173" i="1"/>
  <c r="L173" i="1"/>
  <c r="K173" i="1"/>
  <c r="J173" i="1"/>
  <c r="O172" i="1"/>
  <c r="N172" i="1"/>
  <c r="M172" i="1"/>
  <c r="L172" i="1"/>
  <c r="K172" i="1"/>
  <c r="J172" i="1"/>
  <c r="O171" i="1"/>
  <c r="N171" i="1"/>
  <c r="M171" i="1"/>
  <c r="L171" i="1"/>
  <c r="K171" i="1"/>
  <c r="J171" i="1"/>
  <c r="O170" i="1"/>
  <c r="N170" i="1"/>
  <c r="M170" i="1"/>
  <c r="L170" i="1"/>
  <c r="K170" i="1"/>
  <c r="J170" i="1"/>
  <c r="O169" i="1"/>
  <c r="N169" i="1"/>
  <c r="M169" i="1"/>
  <c r="L169" i="1"/>
  <c r="K169" i="1"/>
  <c r="J169" i="1"/>
  <c r="O168" i="1"/>
  <c r="N168" i="1"/>
  <c r="M168" i="1"/>
  <c r="L168" i="1"/>
  <c r="K168" i="1"/>
  <c r="J168" i="1"/>
  <c r="O167" i="1"/>
  <c r="N167" i="1"/>
  <c r="M167" i="1"/>
  <c r="L167" i="1"/>
  <c r="K167" i="1"/>
  <c r="J167" i="1"/>
  <c r="O166" i="1"/>
  <c r="N166" i="1"/>
  <c r="M166" i="1"/>
  <c r="L166" i="1"/>
  <c r="K166" i="1"/>
  <c r="J166" i="1"/>
  <c r="O165" i="1"/>
  <c r="N165" i="1"/>
  <c r="M165" i="1"/>
  <c r="L165" i="1"/>
  <c r="K165" i="1"/>
  <c r="J165" i="1"/>
  <c r="O164" i="1"/>
  <c r="N164" i="1"/>
  <c r="M164" i="1"/>
  <c r="L164" i="1"/>
  <c r="K164" i="1"/>
  <c r="J164" i="1"/>
  <c r="O163" i="1"/>
  <c r="N163" i="1"/>
  <c r="M163" i="1"/>
  <c r="L163" i="1"/>
  <c r="K163" i="1"/>
  <c r="J163" i="1"/>
  <c r="O162" i="1"/>
  <c r="N162" i="1"/>
  <c r="M162" i="1"/>
  <c r="L162" i="1"/>
  <c r="K162" i="1"/>
  <c r="J162" i="1"/>
  <c r="O161" i="1"/>
  <c r="N161" i="1"/>
  <c r="M161" i="1"/>
  <c r="L161" i="1"/>
  <c r="K161" i="1"/>
  <c r="J161" i="1"/>
  <c r="O160" i="1"/>
  <c r="N160" i="1"/>
  <c r="M160" i="1"/>
  <c r="L160" i="1"/>
  <c r="K160" i="1"/>
  <c r="J160" i="1"/>
  <c r="O159" i="1"/>
  <c r="N159" i="1"/>
  <c r="M159" i="1"/>
  <c r="L159" i="1"/>
  <c r="K159" i="1"/>
  <c r="J159" i="1"/>
  <c r="O158" i="1"/>
  <c r="N158" i="1"/>
  <c r="M158" i="1"/>
  <c r="L158" i="1"/>
  <c r="K158" i="1"/>
  <c r="J158" i="1"/>
  <c r="O157" i="1"/>
  <c r="N157" i="1"/>
  <c r="M157" i="1"/>
  <c r="L157" i="1"/>
  <c r="K157" i="1"/>
  <c r="J157" i="1"/>
  <c r="O156" i="1"/>
  <c r="N156" i="1"/>
  <c r="M156" i="1"/>
  <c r="L156" i="1"/>
  <c r="K156" i="1"/>
  <c r="J156" i="1"/>
  <c r="O155" i="1"/>
  <c r="N155" i="1"/>
  <c r="M155" i="1"/>
  <c r="L155" i="1"/>
  <c r="K155" i="1"/>
  <c r="J155" i="1"/>
  <c r="O154" i="1"/>
  <c r="N154" i="1"/>
  <c r="M154" i="1"/>
  <c r="L154" i="1"/>
  <c r="K154" i="1"/>
  <c r="J154" i="1"/>
  <c r="O153" i="1"/>
  <c r="N153" i="1"/>
  <c r="M153" i="1"/>
  <c r="L153" i="1"/>
  <c r="K153" i="1"/>
  <c r="J153" i="1"/>
  <c r="O152" i="1"/>
  <c r="N152" i="1"/>
  <c r="M152" i="1"/>
  <c r="L152" i="1"/>
  <c r="K152" i="1"/>
  <c r="J152" i="1"/>
  <c r="O151" i="1"/>
  <c r="N151" i="1"/>
  <c r="M151" i="1"/>
  <c r="L151" i="1"/>
  <c r="K151" i="1"/>
  <c r="J151" i="1"/>
  <c r="O150" i="1"/>
  <c r="N150" i="1"/>
  <c r="M150" i="1"/>
  <c r="L150" i="1"/>
  <c r="K150" i="1"/>
  <c r="J150" i="1"/>
  <c r="O149" i="1"/>
  <c r="N149" i="1"/>
  <c r="M149" i="1"/>
  <c r="L149" i="1"/>
  <c r="K149" i="1"/>
  <c r="J149" i="1"/>
  <c r="O148" i="1"/>
  <c r="N148" i="1"/>
  <c r="M148" i="1"/>
  <c r="L148" i="1"/>
  <c r="K148" i="1"/>
  <c r="J148" i="1"/>
  <c r="O147" i="1"/>
  <c r="N147" i="1"/>
  <c r="M147" i="1"/>
  <c r="L147" i="1"/>
  <c r="K147" i="1"/>
  <c r="J147" i="1"/>
  <c r="O146" i="1"/>
  <c r="N146" i="1"/>
  <c r="M146" i="1"/>
  <c r="L146" i="1"/>
  <c r="K146" i="1"/>
  <c r="J146" i="1"/>
  <c r="O145" i="1"/>
  <c r="N145" i="1"/>
  <c r="M145" i="1"/>
  <c r="L145" i="1"/>
  <c r="K145" i="1"/>
  <c r="J145" i="1"/>
  <c r="O144" i="1"/>
  <c r="N144" i="1"/>
  <c r="M144" i="1"/>
  <c r="L144" i="1"/>
  <c r="K144" i="1"/>
  <c r="J144" i="1"/>
  <c r="O143" i="1"/>
  <c r="N143" i="1"/>
  <c r="M143" i="1"/>
  <c r="L143" i="1"/>
  <c r="K143" i="1"/>
  <c r="J143" i="1"/>
  <c r="O142" i="1"/>
  <c r="N142" i="1"/>
  <c r="M142" i="1"/>
  <c r="L142" i="1"/>
  <c r="K142" i="1"/>
  <c r="J142" i="1"/>
  <c r="O141" i="1"/>
  <c r="N141" i="1"/>
  <c r="M141" i="1"/>
  <c r="L141" i="1"/>
  <c r="K141" i="1"/>
  <c r="J141" i="1"/>
  <c r="O140" i="1"/>
  <c r="N140" i="1"/>
  <c r="M140" i="1"/>
  <c r="L140" i="1"/>
  <c r="K140" i="1"/>
  <c r="J140" i="1"/>
  <c r="O139" i="1"/>
  <c r="N139" i="1"/>
  <c r="M139" i="1"/>
  <c r="L139" i="1"/>
  <c r="K139" i="1"/>
  <c r="J139" i="1"/>
  <c r="O138" i="1"/>
  <c r="N138" i="1"/>
  <c r="M138" i="1"/>
  <c r="L138" i="1"/>
  <c r="K138" i="1"/>
  <c r="J138" i="1"/>
  <c r="O137" i="1"/>
  <c r="N137" i="1"/>
  <c r="M137" i="1"/>
  <c r="L137" i="1"/>
  <c r="K137" i="1"/>
  <c r="J137" i="1"/>
  <c r="O136" i="1"/>
  <c r="N136" i="1"/>
  <c r="M136" i="1"/>
  <c r="L136" i="1"/>
  <c r="K136" i="1"/>
  <c r="J136" i="1"/>
  <c r="O135" i="1"/>
  <c r="N135" i="1"/>
  <c r="M135" i="1"/>
  <c r="L135" i="1"/>
  <c r="K135" i="1"/>
  <c r="J135" i="1"/>
  <c r="O134" i="1"/>
  <c r="N134" i="1"/>
  <c r="M134" i="1"/>
  <c r="L134" i="1"/>
  <c r="K134" i="1"/>
  <c r="J134" i="1"/>
  <c r="O133" i="1"/>
  <c r="N133" i="1"/>
  <c r="M133" i="1"/>
  <c r="L133" i="1"/>
  <c r="K133" i="1"/>
  <c r="J133" i="1"/>
  <c r="O132" i="1"/>
  <c r="N132" i="1"/>
  <c r="M132" i="1"/>
  <c r="L132" i="1"/>
  <c r="K132" i="1"/>
  <c r="J132" i="1"/>
  <c r="O131" i="1"/>
  <c r="N131" i="1"/>
  <c r="M131" i="1"/>
  <c r="L131" i="1"/>
  <c r="K131" i="1"/>
  <c r="J131" i="1"/>
  <c r="O130" i="1"/>
  <c r="N130" i="1"/>
  <c r="M130" i="1"/>
  <c r="L130" i="1"/>
  <c r="K130" i="1"/>
  <c r="J130" i="1"/>
  <c r="O129" i="1"/>
  <c r="N129" i="1"/>
  <c r="M129" i="1"/>
  <c r="L129" i="1"/>
  <c r="K129" i="1"/>
  <c r="J129" i="1"/>
  <c r="O128" i="1"/>
  <c r="N128" i="1"/>
  <c r="M128" i="1"/>
  <c r="L128" i="1"/>
  <c r="K128" i="1"/>
  <c r="J128" i="1"/>
  <c r="O127" i="1"/>
  <c r="N127" i="1"/>
  <c r="M127" i="1"/>
  <c r="L127" i="1"/>
  <c r="K127" i="1"/>
  <c r="J127" i="1"/>
  <c r="O126" i="1"/>
  <c r="N126" i="1"/>
  <c r="M126" i="1"/>
  <c r="L126" i="1"/>
  <c r="K126" i="1"/>
  <c r="J126" i="1"/>
  <c r="O125" i="1"/>
  <c r="N125" i="1"/>
  <c r="M125" i="1"/>
  <c r="L125" i="1"/>
  <c r="K125" i="1"/>
  <c r="J125" i="1"/>
  <c r="O124" i="1"/>
  <c r="N124" i="1"/>
  <c r="M124" i="1"/>
  <c r="L124" i="1"/>
  <c r="K124" i="1"/>
  <c r="J124" i="1"/>
  <c r="O123" i="1"/>
  <c r="N123" i="1"/>
  <c r="M123" i="1"/>
  <c r="L123" i="1"/>
  <c r="K123" i="1"/>
  <c r="J123" i="1"/>
  <c r="O122" i="1"/>
  <c r="N122" i="1"/>
  <c r="M122" i="1"/>
  <c r="L122" i="1"/>
  <c r="K122" i="1"/>
  <c r="J122" i="1"/>
  <c r="O121" i="1"/>
  <c r="N121" i="1"/>
  <c r="M121" i="1"/>
  <c r="L121" i="1"/>
  <c r="K121" i="1"/>
  <c r="J121" i="1"/>
  <c r="O120" i="1"/>
  <c r="N120" i="1"/>
  <c r="M120" i="1"/>
  <c r="L120" i="1"/>
  <c r="K120" i="1"/>
  <c r="J120" i="1"/>
  <c r="O119" i="1"/>
  <c r="N119" i="1"/>
  <c r="M119" i="1"/>
  <c r="L119" i="1"/>
  <c r="K119" i="1"/>
  <c r="J119" i="1"/>
  <c r="O118" i="1"/>
  <c r="N118" i="1"/>
  <c r="M118" i="1"/>
  <c r="L118" i="1"/>
  <c r="K118" i="1"/>
  <c r="J118" i="1"/>
  <c r="O117" i="1"/>
  <c r="N117" i="1"/>
  <c r="M117" i="1"/>
  <c r="L117" i="1"/>
  <c r="K117" i="1"/>
  <c r="J117" i="1"/>
  <c r="O115" i="1"/>
  <c r="N115" i="1"/>
  <c r="M115" i="1"/>
  <c r="L115" i="1"/>
  <c r="K115" i="1"/>
  <c r="J115" i="1"/>
  <c r="O114" i="1"/>
  <c r="N114" i="1"/>
  <c r="M114" i="1"/>
  <c r="L114" i="1"/>
  <c r="K114" i="1"/>
  <c r="J114" i="1"/>
  <c r="O113" i="1"/>
  <c r="N113" i="1"/>
  <c r="M113" i="1"/>
  <c r="L113" i="1"/>
  <c r="K113" i="1"/>
  <c r="J113" i="1"/>
  <c r="O112" i="1"/>
  <c r="N112" i="1"/>
  <c r="M112" i="1"/>
  <c r="L112" i="1"/>
  <c r="K112" i="1"/>
  <c r="J112" i="1"/>
  <c r="O111" i="1"/>
  <c r="N111" i="1"/>
  <c r="M111" i="1"/>
  <c r="L111" i="1"/>
  <c r="K111" i="1"/>
  <c r="J111" i="1"/>
  <c r="O110" i="1"/>
  <c r="N110" i="1"/>
  <c r="M110" i="1"/>
  <c r="L110" i="1"/>
  <c r="K110" i="1"/>
  <c r="J110" i="1"/>
  <c r="O109" i="1"/>
  <c r="N109" i="1"/>
  <c r="M109" i="1"/>
  <c r="L109" i="1"/>
  <c r="K109" i="1"/>
  <c r="J109" i="1"/>
  <c r="O108" i="1"/>
  <c r="N108" i="1"/>
  <c r="M108" i="1"/>
  <c r="L108" i="1"/>
  <c r="K108" i="1"/>
  <c r="J108" i="1"/>
  <c r="O107" i="1"/>
  <c r="N107" i="1"/>
  <c r="M107" i="1"/>
  <c r="L107" i="1"/>
  <c r="K107" i="1"/>
  <c r="J107" i="1"/>
  <c r="O106" i="1"/>
  <c r="N106" i="1"/>
  <c r="M106" i="1"/>
  <c r="L106" i="1"/>
  <c r="K106" i="1"/>
  <c r="J106" i="1"/>
  <c r="O105" i="1"/>
  <c r="N105" i="1"/>
  <c r="M105" i="1"/>
  <c r="L105" i="1"/>
  <c r="K105" i="1"/>
  <c r="J105" i="1"/>
  <c r="O104" i="1"/>
  <c r="N104" i="1"/>
  <c r="M104" i="1"/>
  <c r="L104" i="1"/>
  <c r="K104" i="1"/>
  <c r="J104" i="1"/>
  <c r="O103" i="1"/>
  <c r="N103" i="1"/>
  <c r="M103" i="1"/>
  <c r="L103" i="1"/>
  <c r="K103" i="1"/>
  <c r="J103" i="1"/>
  <c r="O102" i="1"/>
  <c r="N102" i="1"/>
  <c r="M102" i="1"/>
  <c r="L102" i="1"/>
  <c r="K102" i="1"/>
  <c r="J102" i="1"/>
  <c r="O101" i="1"/>
  <c r="N101" i="1"/>
  <c r="M101" i="1"/>
  <c r="L101" i="1"/>
  <c r="K101" i="1"/>
  <c r="J101" i="1"/>
  <c r="O100" i="1"/>
  <c r="N100" i="1"/>
  <c r="M100" i="1"/>
  <c r="L100" i="1"/>
  <c r="K100" i="1"/>
  <c r="J100" i="1"/>
  <c r="O99" i="1"/>
  <c r="N99" i="1"/>
  <c r="M99" i="1"/>
  <c r="L99" i="1"/>
  <c r="K99" i="1"/>
  <c r="J99" i="1"/>
  <c r="O98" i="1"/>
  <c r="N98" i="1"/>
  <c r="M98" i="1"/>
  <c r="L98" i="1"/>
  <c r="K98" i="1"/>
  <c r="J98" i="1"/>
  <c r="O97" i="1"/>
  <c r="N97" i="1"/>
  <c r="M97" i="1"/>
  <c r="L97" i="1"/>
  <c r="K97" i="1"/>
  <c r="J97" i="1"/>
  <c r="O96" i="1"/>
  <c r="N96" i="1"/>
  <c r="M96" i="1"/>
  <c r="L96" i="1"/>
  <c r="K96" i="1"/>
  <c r="J96" i="1"/>
  <c r="O95" i="1"/>
  <c r="N95" i="1"/>
  <c r="M95" i="1"/>
  <c r="L95" i="1"/>
  <c r="K95" i="1"/>
  <c r="J95" i="1"/>
  <c r="O94" i="1"/>
  <c r="N94" i="1"/>
  <c r="M94" i="1"/>
  <c r="L94" i="1"/>
  <c r="K94" i="1"/>
  <c r="J94" i="1"/>
  <c r="O93" i="1"/>
  <c r="N93" i="1"/>
  <c r="M93" i="1"/>
  <c r="L93" i="1"/>
  <c r="K93" i="1"/>
  <c r="J93" i="1"/>
  <c r="O92" i="1"/>
  <c r="N92" i="1"/>
  <c r="M92" i="1"/>
  <c r="L92" i="1"/>
  <c r="K92" i="1"/>
  <c r="J92" i="1"/>
  <c r="O91" i="1"/>
  <c r="N91" i="1"/>
  <c r="M91" i="1"/>
  <c r="L91" i="1"/>
  <c r="K91" i="1"/>
  <c r="J91" i="1"/>
  <c r="O90" i="1"/>
  <c r="N90" i="1"/>
  <c r="M90" i="1"/>
  <c r="L90" i="1"/>
  <c r="K90" i="1"/>
  <c r="J90" i="1"/>
  <c r="O89" i="1"/>
  <c r="N89" i="1"/>
  <c r="M89" i="1"/>
  <c r="L89" i="1"/>
  <c r="K89" i="1"/>
  <c r="J89" i="1"/>
  <c r="O88" i="1"/>
  <c r="N88" i="1"/>
  <c r="M88" i="1"/>
  <c r="L88" i="1"/>
  <c r="K88" i="1"/>
  <c r="J88" i="1"/>
  <c r="O87" i="1"/>
  <c r="N87" i="1"/>
  <c r="M87" i="1"/>
  <c r="L87" i="1"/>
  <c r="K87" i="1"/>
  <c r="J87" i="1"/>
  <c r="O86" i="1"/>
  <c r="N86" i="1"/>
  <c r="M86" i="1"/>
  <c r="L86" i="1"/>
  <c r="K86" i="1"/>
  <c r="J86" i="1"/>
  <c r="O85" i="1"/>
  <c r="N85" i="1"/>
  <c r="M85" i="1"/>
  <c r="L85" i="1"/>
  <c r="K85" i="1"/>
  <c r="J85" i="1"/>
  <c r="O84" i="1"/>
  <c r="N84" i="1"/>
  <c r="M84" i="1"/>
  <c r="L84" i="1"/>
  <c r="K84" i="1"/>
  <c r="J84" i="1"/>
  <c r="O83" i="1"/>
  <c r="N83" i="1"/>
  <c r="M83" i="1"/>
  <c r="L83" i="1"/>
  <c r="K83" i="1"/>
  <c r="J83" i="1"/>
  <c r="O82" i="1"/>
  <c r="N82" i="1"/>
  <c r="M82" i="1"/>
  <c r="L82" i="1"/>
  <c r="K82" i="1"/>
  <c r="J82" i="1"/>
  <c r="O81" i="1"/>
  <c r="N81" i="1"/>
  <c r="M81" i="1"/>
  <c r="L81" i="1"/>
  <c r="K81" i="1"/>
  <c r="J81" i="1"/>
  <c r="O80" i="1"/>
  <c r="N80" i="1"/>
  <c r="M80" i="1"/>
  <c r="L80" i="1"/>
  <c r="K80" i="1"/>
  <c r="J80" i="1"/>
  <c r="O79" i="1"/>
  <c r="N79" i="1"/>
  <c r="M79" i="1"/>
  <c r="L79" i="1"/>
  <c r="K79" i="1"/>
  <c r="J79" i="1"/>
  <c r="O78" i="1"/>
  <c r="N78" i="1"/>
  <c r="M78" i="1"/>
  <c r="L78" i="1"/>
  <c r="K78" i="1"/>
  <c r="J78" i="1"/>
  <c r="O77" i="1"/>
  <c r="N77" i="1"/>
  <c r="M77" i="1"/>
  <c r="L77" i="1"/>
  <c r="K77" i="1"/>
  <c r="J77" i="1"/>
  <c r="O76" i="1"/>
  <c r="N76" i="1"/>
  <c r="M76" i="1"/>
  <c r="L76" i="1"/>
  <c r="K76" i="1"/>
  <c r="J76" i="1"/>
  <c r="O75" i="1"/>
  <c r="N75" i="1"/>
  <c r="M75" i="1"/>
  <c r="L75" i="1"/>
  <c r="K75" i="1"/>
  <c r="J75" i="1"/>
  <c r="N74" i="1"/>
  <c r="M74" i="1"/>
  <c r="L74" i="1"/>
  <c r="K74" i="1"/>
  <c r="J74" i="1"/>
  <c r="O73" i="1"/>
  <c r="N73" i="1"/>
  <c r="M73" i="1"/>
  <c r="L73" i="1"/>
  <c r="K73" i="1"/>
  <c r="J73" i="1"/>
  <c r="O72" i="1"/>
  <c r="N72" i="1"/>
  <c r="M72" i="1"/>
  <c r="L72" i="1"/>
  <c r="K72" i="1"/>
  <c r="J72" i="1"/>
  <c r="O71" i="1"/>
  <c r="N71" i="1"/>
  <c r="M71" i="1"/>
  <c r="L71" i="1"/>
  <c r="K71" i="1"/>
  <c r="J71" i="1"/>
  <c r="O70" i="1"/>
  <c r="N70" i="1"/>
  <c r="M70" i="1"/>
  <c r="L70" i="1"/>
  <c r="K70" i="1"/>
  <c r="J70" i="1"/>
  <c r="O69" i="1"/>
  <c r="N69" i="1"/>
  <c r="M69" i="1"/>
  <c r="L69" i="1"/>
  <c r="K69" i="1"/>
  <c r="J69" i="1"/>
  <c r="O68" i="1"/>
  <c r="N68" i="1"/>
  <c r="M68" i="1"/>
  <c r="L68" i="1"/>
  <c r="K68" i="1"/>
  <c r="J68" i="1"/>
  <c r="O67" i="1"/>
  <c r="N67" i="1"/>
  <c r="M67" i="1"/>
  <c r="L67" i="1"/>
  <c r="K67" i="1"/>
  <c r="J67" i="1"/>
  <c r="O66" i="1"/>
  <c r="N66" i="1"/>
  <c r="M66" i="1"/>
  <c r="L66" i="1"/>
  <c r="K66" i="1"/>
  <c r="J66" i="1"/>
  <c r="O65" i="1"/>
  <c r="N65" i="1"/>
  <c r="M65" i="1"/>
  <c r="L65" i="1"/>
  <c r="K65" i="1"/>
  <c r="J65" i="1"/>
  <c r="O64" i="1"/>
  <c r="N64" i="1"/>
  <c r="M64" i="1"/>
  <c r="L64" i="1"/>
  <c r="K64" i="1"/>
  <c r="J64" i="1"/>
  <c r="O63" i="1"/>
  <c r="N63" i="1"/>
  <c r="M63" i="1"/>
  <c r="L63" i="1"/>
  <c r="K63" i="1"/>
  <c r="J63" i="1"/>
  <c r="O62" i="1"/>
  <c r="N62" i="1"/>
  <c r="M62" i="1"/>
  <c r="L62" i="1"/>
  <c r="K62" i="1"/>
  <c r="J62" i="1"/>
  <c r="O61" i="1"/>
  <c r="N61" i="1"/>
  <c r="M61" i="1"/>
  <c r="L61" i="1"/>
  <c r="K61" i="1"/>
  <c r="J61" i="1"/>
  <c r="O60" i="1"/>
  <c r="N60" i="1"/>
  <c r="M60" i="1"/>
  <c r="L60" i="1"/>
  <c r="K60" i="1"/>
  <c r="J60" i="1"/>
  <c r="O59" i="1"/>
  <c r="N59" i="1"/>
  <c r="M59" i="1"/>
  <c r="L59" i="1"/>
  <c r="K59" i="1"/>
  <c r="J59" i="1"/>
  <c r="O58" i="1"/>
  <c r="N58" i="1"/>
  <c r="M58" i="1"/>
  <c r="L58" i="1"/>
  <c r="K58" i="1"/>
  <c r="J58" i="1"/>
  <c r="O57" i="1"/>
  <c r="N57" i="1"/>
  <c r="M57" i="1"/>
  <c r="L57" i="1"/>
  <c r="K57" i="1"/>
  <c r="J57" i="1"/>
  <c r="O56" i="1"/>
  <c r="N56" i="1"/>
  <c r="M56" i="1"/>
  <c r="L56" i="1"/>
  <c r="K56" i="1"/>
  <c r="J56" i="1"/>
  <c r="O55" i="1"/>
  <c r="N55" i="1"/>
  <c r="M55" i="1"/>
  <c r="L55" i="1"/>
  <c r="K55" i="1"/>
  <c r="J55" i="1"/>
  <c r="O54" i="1"/>
  <c r="N54" i="1"/>
  <c r="M54" i="1"/>
  <c r="L54" i="1"/>
  <c r="K54" i="1"/>
  <c r="J54" i="1"/>
  <c r="O53" i="1"/>
  <c r="N53" i="1"/>
  <c r="M53" i="1"/>
  <c r="L53" i="1"/>
  <c r="K53" i="1"/>
  <c r="J53" i="1"/>
  <c r="O52" i="1"/>
  <c r="N52" i="1"/>
  <c r="M52" i="1"/>
  <c r="L52" i="1"/>
  <c r="K52" i="1"/>
  <c r="J52" i="1"/>
  <c r="O51" i="1"/>
  <c r="N51" i="1"/>
  <c r="M51" i="1"/>
  <c r="L51" i="1"/>
  <c r="K51" i="1"/>
  <c r="J51" i="1"/>
  <c r="O50" i="1"/>
  <c r="N50" i="1"/>
  <c r="M50" i="1"/>
  <c r="L50" i="1"/>
  <c r="K50" i="1"/>
  <c r="J50" i="1"/>
  <c r="O49" i="1"/>
  <c r="N49" i="1"/>
  <c r="M49" i="1"/>
  <c r="L49" i="1"/>
  <c r="K49" i="1"/>
  <c r="J49" i="1"/>
  <c r="O48" i="1"/>
  <c r="N48" i="1"/>
  <c r="M48" i="1"/>
  <c r="L48" i="1"/>
  <c r="K48" i="1"/>
  <c r="J48" i="1"/>
  <c r="O47" i="1"/>
  <c r="N47" i="1"/>
  <c r="M47" i="1"/>
  <c r="L47" i="1"/>
  <c r="K47" i="1"/>
  <c r="J47" i="1"/>
  <c r="O46" i="1"/>
  <c r="N46" i="1"/>
  <c r="M46" i="1"/>
  <c r="L46" i="1"/>
  <c r="K46" i="1"/>
  <c r="J46" i="1"/>
  <c r="O45" i="1"/>
  <c r="N45" i="1"/>
  <c r="M45" i="1"/>
  <c r="L45" i="1"/>
  <c r="K45" i="1"/>
  <c r="J45" i="1"/>
  <c r="O44" i="1"/>
  <c r="N44" i="1"/>
  <c r="M44" i="1"/>
  <c r="L44" i="1"/>
  <c r="K44" i="1"/>
  <c r="J44" i="1"/>
  <c r="O43" i="1"/>
  <c r="N43" i="1"/>
  <c r="M43" i="1"/>
  <c r="L43" i="1"/>
  <c r="K43" i="1"/>
  <c r="J43" i="1"/>
  <c r="O42" i="1"/>
  <c r="N42" i="1"/>
  <c r="M42" i="1"/>
  <c r="L42" i="1"/>
  <c r="K42" i="1"/>
  <c r="J42" i="1"/>
  <c r="O41" i="1"/>
  <c r="N41" i="1"/>
  <c r="M41" i="1"/>
  <c r="L41" i="1"/>
  <c r="K41" i="1"/>
  <c r="J41" i="1"/>
  <c r="O40" i="1"/>
  <c r="N40" i="1"/>
  <c r="M40" i="1"/>
  <c r="L40" i="1"/>
  <c r="K40" i="1"/>
  <c r="J40" i="1"/>
  <c r="O39" i="1"/>
  <c r="N39" i="1"/>
  <c r="M39" i="1"/>
  <c r="L39" i="1"/>
  <c r="K39" i="1"/>
  <c r="J39" i="1"/>
  <c r="O38" i="1"/>
  <c r="N38" i="1"/>
  <c r="M38" i="1"/>
  <c r="L38" i="1"/>
  <c r="K38" i="1"/>
  <c r="J38" i="1"/>
  <c r="O37" i="1"/>
  <c r="N37" i="1"/>
  <c r="M37" i="1"/>
  <c r="L37" i="1"/>
  <c r="K37" i="1"/>
  <c r="J37" i="1"/>
  <c r="O36" i="1"/>
  <c r="N36" i="1"/>
  <c r="M36" i="1"/>
  <c r="L36" i="1"/>
  <c r="K36" i="1"/>
  <c r="J36" i="1"/>
  <c r="O35" i="1"/>
  <c r="N35" i="1"/>
  <c r="M35" i="1"/>
  <c r="L35" i="1"/>
  <c r="K35" i="1"/>
  <c r="J35" i="1"/>
  <c r="O34" i="1"/>
  <c r="N34" i="1"/>
  <c r="M34" i="1"/>
  <c r="L34" i="1"/>
  <c r="K34" i="1"/>
  <c r="J34" i="1"/>
  <c r="O33" i="1"/>
  <c r="N33" i="1"/>
  <c r="M33" i="1"/>
  <c r="L33" i="1"/>
  <c r="K33" i="1"/>
  <c r="J33" i="1"/>
  <c r="O32" i="1"/>
  <c r="N32" i="1"/>
  <c r="M32" i="1"/>
  <c r="L32" i="1"/>
  <c r="K32" i="1"/>
  <c r="J32" i="1"/>
  <c r="O31" i="1"/>
  <c r="N31" i="1"/>
  <c r="M31" i="1"/>
  <c r="L31" i="1"/>
  <c r="K31" i="1"/>
  <c r="J31" i="1"/>
  <c r="O30" i="1"/>
  <c r="N30" i="1"/>
  <c r="M30" i="1"/>
  <c r="L30" i="1"/>
  <c r="K30" i="1"/>
  <c r="J30" i="1"/>
  <c r="O29" i="1"/>
  <c r="N29" i="1"/>
  <c r="M29" i="1"/>
  <c r="L29" i="1"/>
  <c r="K29" i="1"/>
  <c r="J29" i="1"/>
  <c r="O28" i="1"/>
  <c r="N28" i="1"/>
  <c r="M28" i="1"/>
  <c r="L28" i="1"/>
  <c r="K28" i="1"/>
  <c r="J28" i="1"/>
  <c r="O27" i="1"/>
  <c r="N27" i="1"/>
  <c r="M27" i="1"/>
  <c r="L27" i="1"/>
  <c r="K27" i="1"/>
  <c r="J27" i="1"/>
  <c r="O26" i="1"/>
  <c r="N26" i="1"/>
  <c r="M26" i="1"/>
  <c r="L26" i="1"/>
  <c r="K26" i="1"/>
  <c r="J26" i="1"/>
  <c r="O25" i="1"/>
  <c r="N25" i="1"/>
  <c r="M25" i="1"/>
  <c r="L25" i="1"/>
  <c r="K25" i="1"/>
  <c r="J25" i="1"/>
  <c r="O24" i="1"/>
  <c r="N24" i="1"/>
  <c r="M24" i="1"/>
  <c r="L24" i="1"/>
  <c r="K24" i="1"/>
  <c r="J24" i="1"/>
  <c r="O23" i="1"/>
  <c r="N23" i="1"/>
  <c r="M23" i="1"/>
  <c r="L23" i="1"/>
  <c r="K23" i="1"/>
  <c r="J23" i="1"/>
  <c r="O22" i="1"/>
  <c r="N22" i="1"/>
  <c r="M22" i="1"/>
  <c r="L22" i="1"/>
  <c r="K22" i="1"/>
  <c r="J22" i="1"/>
  <c r="O21" i="1"/>
  <c r="N21" i="1"/>
  <c r="M21" i="1"/>
  <c r="L21" i="1"/>
  <c r="K21" i="1"/>
  <c r="J21" i="1"/>
  <c r="O20" i="1"/>
  <c r="N20" i="1"/>
  <c r="M20" i="1"/>
  <c r="L20" i="1"/>
  <c r="K20" i="1"/>
  <c r="J20" i="1"/>
  <c r="O19" i="1"/>
  <c r="N19" i="1"/>
  <c r="M19" i="1"/>
  <c r="L19" i="1"/>
  <c r="K19" i="1"/>
  <c r="J19" i="1"/>
  <c r="O18" i="1"/>
  <c r="N18" i="1"/>
  <c r="M18" i="1"/>
  <c r="L18" i="1"/>
  <c r="K18" i="1"/>
  <c r="J18" i="1"/>
  <c r="O17" i="1"/>
  <c r="N17" i="1"/>
  <c r="M17" i="1"/>
  <c r="L17" i="1"/>
  <c r="K17" i="1"/>
  <c r="J17" i="1"/>
  <c r="O16" i="1"/>
  <c r="N16" i="1"/>
  <c r="M16" i="1"/>
  <c r="L16" i="1"/>
  <c r="K16" i="1"/>
  <c r="J16" i="1"/>
  <c r="O15" i="1"/>
  <c r="N15" i="1"/>
  <c r="M15" i="1"/>
  <c r="L15" i="1"/>
  <c r="K15" i="1"/>
  <c r="J15" i="1"/>
  <c r="O14" i="1"/>
  <c r="N14" i="1"/>
  <c r="M14" i="1"/>
  <c r="L14" i="1"/>
  <c r="K14" i="1"/>
  <c r="J14" i="1"/>
  <c r="O13" i="1"/>
  <c r="N13" i="1"/>
  <c r="M13" i="1"/>
  <c r="L13" i="1"/>
  <c r="K13" i="1"/>
  <c r="J13" i="1"/>
  <c r="O12" i="1"/>
  <c r="N12" i="1"/>
  <c r="M12" i="1"/>
  <c r="L12" i="1"/>
  <c r="K12" i="1"/>
  <c r="J12" i="1"/>
  <c r="O11" i="1"/>
  <c r="N11" i="1"/>
  <c r="M11" i="1"/>
  <c r="L11" i="1"/>
  <c r="K11" i="1"/>
  <c r="J11" i="1"/>
  <c r="O10" i="1"/>
  <c r="N10" i="1"/>
  <c r="M10" i="1"/>
  <c r="L10" i="1"/>
  <c r="K10" i="1"/>
  <c r="J10" i="1"/>
  <c r="O9" i="1"/>
  <c r="N9" i="1"/>
  <c r="M9" i="1"/>
  <c r="L9" i="1"/>
  <c r="K9" i="1"/>
  <c r="J9" i="1"/>
  <c r="O8" i="1"/>
  <c r="N8" i="1"/>
  <c r="M8" i="1"/>
  <c r="L8" i="1"/>
  <c r="K8" i="1"/>
  <c r="J8" i="1"/>
  <c r="O7" i="1"/>
  <c r="N7" i="1"/>
  <c r="M7" i="1"/>
  <c r="L7" i="1"/>
  <c r="K7" i="1"/>
  <c r="J7" i="1"/>
  <c r="O6" i="1"/>
  <c r="N6" i="1"/>
  <c r="M6" i="1"/>
  <c r="L6" i="1"/>
  <c r="K6" i="1"/>
  <c r="J6" i="1"/>
  <c r="O5" i="1"/>
  <c r="N5" i="1"/>
  <c r="M5" i="1"/>
  <c r="L5" i="1"/>
  <c r="K5" i="1"/>
  <c r="J5" i="1"/>
  <c r="O4" i="1"/>
  <c r="N4" i="1"/>
  <c r="M4" i="1"/>
  <c r="L4" i="1"/>
  <c r="K4" i="1"/>
  <c r="J4" i="1"/>
  <c r="O3" i="1"/>
  <c r="N3" i="1"/>
  <c r="M3" i="1"/>
  <c r="L3" i="1"/>
  <c r="K3" i="1"/>
  <c r="J3" i="1"/>
  <c r="O2" i="1"/>
  <c r="N2" i="1"/>
  <c r="M2" i="1"/>
  <c r="L2" i="1"/>
  <c r="K2" i="1"/>
  <c r="J2" i="1"/>
  <c r="Q456" i="1" l="1"/>
  <c r="P433" i="1"/>
  <c r="P424" i="1"/>
  <c r="P439" i="1"/>
  <c r="Q457" i="1"/>
  <c r="Q455" i="1"/>
  <c r="P444" i="1"/>
  <c r="Q435" i="1"/>
  <c r="Q431" i="1"/>
  <c r="Q421" i="1"/>
  <c r="P408" i="1"/>
  <c r="P453" i="1"/>
  <c r="P447" i="1"/>
  <c r="P445" i="1"/>
  <c r="P421" i="1"/>
  <c r="P417" i="1"/>
  <c r="P415" i="1"/>
  <c r="Q458" i="1"/>
  <c r="Q459" i="1"/>
  <c r="Q461" i="1"/>
  <c r="P462" i="1"/>
  <c r="P459" i="1"/>
  <c r="P456" i="1"/>
  <c r="P460" i="1"/>
  <c r="P458" i="1"/>
  <c r="P461" i="1"/>
  <c r="P457" i="1"/>
  <c r="Q453" i="1"/>
  <c r="P432" i="1"/>
  <c r="P430" i="1"/>
  <c r="Q441" i="1"/>
  <c r="P420" i="1"/>
  <c r="P418" i="1"/>
  <c r="P74" i="1"/>
  <c r="P451" i="1"/>
  <c r="P435" i="1"/>
  <c r="Q448" i="1"/>
  <c r="Q446" i="1"/>
  <c r="P429" i="1"/>
  <c r="P427" i="1"/>
  <c r="P414" i="1"/>
  <c r="P454" i="1"/>
  <c r="P448" i="1"/>
  <c r="Q430" i="1"/>
  <c r="Q428" i="1"/>
  <c r="Q426" i="1"/>
  <c r="P442" i="1"/>
  <c r="Q432" i="1"/>
  <c r="Q420" i="1"/>
  <c r="Q418" i="1"/>
  <c r="P452" i="1"/>
  <c r="Q444" i="1"/>
  <c r="Q442" i="1"/>
  <c r="Q440" i="1"/>
  <c r="Q429" i="1"/>
  <c r="P416" i="1"/>
  <c r="P450" i="1"/>
  <c r="Q438" i="1"/>
  <c r="Q436" i="1"/>
  <c r="Q423" i="1"/>
  <c r="Q413" i="1"/>
  <c r="P446" i="1"/>
  <c r="Q419" i="1"/>
  <c r="P425" i="1"/>
  <c r="Q417" i="1"/>
  <c r="Q451" i="1"/>
  <c r="Q449" i="1"/>
  <c r="P438" i="1"/>
  <c r="P436" i="1"/>
  <c r="P423" i="1"/>
  <c r="Q415" i="1"/>
  <c r="P413" i="1"/>
  <c r="Q447" i="1"/>
  <c r="P434" i="1"/>
  <c r="P419" i="1"/>
  <c r="Q439" i="1"/>
  <c r="Q437" i="1"/>
  <c r="Q422" i="1"/>
  <c r="Q452" i="1"/>
  <c r="P443" i="1"/>
  <c r="P441" i="1"/>
  <c r="Q433" i="1"/>
  <c r="P428" i="1"/>
  <c r="P426" i="1"/>
  <c r="Q450" i="1"/>
  <c r="P437" i="1"/>
  <c r="P422" i="1"/>
  <c r="Q74" i="1"/>
  <c r="Q414" i="1"/>
  <c r="Q416" i="1"/>
  <c r="Q424" i="1"/>
  <c r="Q425" i="1"/>
  <c r="Q427" i="1"/>
  <c r="Q434" i="1"/>
  <c r="Q443" i="1"/>
  <c r="Q445" i="1"/>
  <c r="Q454" i="1"/>
  <c r="P449" i="1"/>
  <c r="P440" i="1"/>
  <c r="P431" i="1"/>
  <c r="Q408" i="1"/>
  <c r="P406" i="1"/>
  <c r="P390" i="1"/>
  <c r="P399" i="1"/>
  <c r="P397" i="1"/>
  <c r="Q402" i="1"/>
  <c r="P403" i="1"/>
  <c r="Q393" i="1"/>
  <c r="Q390" i="1"/>
  <c r="Q399" i="1"/>
  <c r="Q397" i="1"/>
  <c r="Q406" i="1"/>
  <c r="Q404" i="1"/>
  <c r="P412" i="1"/>
  <c r="P410" i="1"/>
  <c r="Q400" i="1"/>
  <c r="P393" i="1"/>
  <c r="P391" i="1"/>
  <c r="Q398" i="1"/>
  <c r="P389" i="1"/>
  <c r="Q409" i="1"/>
  <c r="P402" i="1"/>
  <c r="P400" i="1"/>
  <c r="Q396" i="1"/>
  <c r="Q392" i="1"/>
  <c r="Q405" i="1"/>
  <c r="Q403" i="1"/>
  <c r="P396" i="1"/>
  <c r="P394" i="1"/>
  <c r="Q388" i="1"/>
  <c r="P411" i="1"/>
  <c r="P409" i="1"/>
  <c r="P388" i="1"/>
  <c r="P401" i="1"/>
  <c r="P405" i="1"/>
  <c r="Q394" i="1"/>
  <c r="Q411" i="1"/>
  <c r="P404" i="1"/>
  <c r="Q395" i="1"/>
  <c r="P392" i="1"/>
  <c r="Q407" i="1"/>
  <c r="P395" i="1"/>
  <c r="Q391" i="1"/>
  <c r="Q412" i="1"/>
  <c r="Q410" i="1"/>
  <c r="Q401" i="1"/>
  <c r="P398" i="1"/>
  <c r="Q389" i="1"/>
  <c r="P407" i="1"/>
  <c r="P387" i="1"/>
  <c r="Q387" i="1"/>
  <c r="P365" i="1"/>
  <c r="P377" i="1"/>
  <c r="P385" i="1"/>
  <c r="Q367" i="1"/>
  <c r="Q369" i="1"/>
  <c r="Q371" i="1"/>
  <c r="P386" i="1"/>
  <c r="Q386" i="1"/>
  <c r="P344" i="1"/>
  <c r="P350" i="1"/>
  <c r="Q343" i="1"/>
  <c r="P371" i="1"/>
  <c r="P356" i="1"/>
  <c r="P380" i="1"/>
  <c r="Q360" i="1"/>
  <c r="Q384" i="1"/>
  <c r="P337" i="1"/>
  <c r="P339" i="1"/>
  <c r="P341" i="1"/>
  <c r="P343" i="1"/>
  <c r="P347" i="1"/>
  <c r="P359" i="1"/>
  <c r="Q385" i="1"/>
  <c r="Q361" i="1"/>
  <c r="Q363" i="1"/>
  <c r="P379" i="1"/>
  <c r="P383" i="1"/>
  <c r="P352" i="1"/>
  <c r="P358" i="1"/>
  <c r="P362" i="1"/>
  <c r="Q379" i="1"/>
  <c r="Q344" i="1"/>
  <c r="Q346" i="1"/>
  <c r="Q348" i="1"/>
  <c r="Q350" i="1"/>
  <c r="P368" i="1"/>
  <c r="P370" i="1"/>
  <c r="P372" i="1"/>
  <c r="Q352" i="1"/>
  <c r="P374" i="1"/>
  <c r="P345" i="1"/>
  <c r="Q362" i="1"/>
  <c r="P353" i="1"/>
  <c r="P363" i="1"/>
  <c r="Q354" i="1"/>
  <c r="Q356" i="1"/>
  <c r="P364" i="1"/>
  <c r="P366" i="1"/>
  <c r="Q373" i="1"/>
  <c r="P381" i="1"/>
  <c r="P349" i="1"/>
  <c r="P351" i="1"/>
  <c r="Q358" i="1"/>
  <c r="Q375" i="1"/>
  <c r="Q377" i="1"/>
  <c r="P357" i="1"/>
  <c r="Q349" i="1"/>
  <c r="Q366" i="1"/>
  <c r="Q368" i="1"/>
  <c r="P376" i="1"/>
  <c r="P378" i="1"/>
  <c r="Q347" i="1"/>
  <c r="Q383" i="1"/>
  <c r="P338" i="1"/>
  <c r="Q351" i="1"/>
  <c r="Q353" i="1"/>
  <c r="P361" i="1"/>
  <c r="Q370" i="1"/>
  <c r="P355" i="1"/>
  <c r="P346" i="1"/>
  <c r="P348" i="1"/>
  <c r="Q355" i="1"/>
  <c r="Q372" i="1"/>
  <c r="Q374" i="1"/>
  <c r="P382" i="1"/>
  <c r="Q345" i="1"/>
  <c r="Q364" i="1"/>
  <c r="Q357" i="1"/>
  <c r="Q359" i="1"/>
  <c r="P367" i="1"/>
  <c r="P369" i="1"/>
  <c r="Q376" i="1"/>
  <c r="P384" i="1"/>
  <c r="Q381" i="1"/>
  <c r="P354" i="1"/>
  <c r="Q378" i="1"/>
  <c r="Q380" i="1"/>
  <c r="Q365" i="1"/>
  <c r="P373" i="1"/>
  <c r="P375" i="1"/>
  <c r="Q382" i="1"/>
  <c r="P360" i="1"/>
  <c r="Q337" i="1"/>
  <c r="Q339" i="1"/>
  <c r="Q341" i="1"/>
  <c r="P340" i="1"/>
  <c r="P342" i="1"/>
  <c r="Q334" i="1"/>
  <c r="Q338" i="1"/>
  <c r="Q340" i="1"/>
  <c r="Q342" i="1"/>
  <c r="P331" i="1"/>
  <c r="P332" i="1"/>
  <c r="P321" i="1"/>
  <c r="P319" i="1"/>
  <c r="P315" i="1"/>
  <c r="P333" i="1"/>
  <c r="P335" i="1"/>
  <c r="P336" i="1"/>
  <c r="Q331" i="1"/>
  <c r="Q333" i="1"/>
  <c r="Q335" i="1"/>
  <c r="P334" i="1"/>
  <c r="Q328" i="1"/>
  <c r="Q332" i="1"/>
  <c r="Q336" i="1"/>
  <c r="P325" i="1"/>
  <c r="P327" i="1"/>
  <c r="P329" i="1"/>
  <c r="P326" i="1"/>
  <c r="P328" i="1"/>
  <c r="P116" i="1"/>
  <c r="P322" i="1"/>
  <c r="P318" i="1"/>
  <c r="Q325" i="1"/>
  <c r="Q327" i="1"/>
  <c r="Q329" i="1"/>
  <c r="P324" i="1"/>
  <c r="P330" i="1"/>
  <c r="Q324" i="1"/>
  <c r="Q326" i="1"/>
  <c r="Q323" i="1"/>
  <c r="Q330" i="1"/>
  <c r="P316" i="1"/>
  <c r="Q322" i="1"/>
  <c r="Q320" i="1"/>
  <c r="Q318" i="1"/>
  <c r="Q316" i="1"/>
  <c r="Q321" i="1"/>
  <c r="Q319" i="1"/>
  <c r="Q317" i="1"/>
  <c r="Q315" i="1"/>
  <c r="P271" i="1"/>
  <c r="P265" i="1"/>
  <c r="P281" i="1"/>
  <c r="P275" i="1"/>
  <c r="P273" i="1"/>
  <c r="P317" i="1"/>
  <c r="P320" i="1"/>
  <c r="P323" i="1"/>
  <c r="Q293" i="1"/>
  <c r="Q273" i="1"/>
  <c r="Q116" i="1"/>
  <c r="P66" i="1"/>
  <c r="P272" i="1"/>
  <c r="P294" i="1"/>
  <c r="P292" i="1"/>
  <c r="P282" i="1"/>
  <c r="P278" i="1"/>
  <c r="P276" i="1"/>
  <c r="Q184" i="1"/>
  <c r="Q190" i="1"/>
  <c r="Q269" i="1"/>
  <c r="Q267" i="1"/>
  <c r="Q265" i="1"/>
  <c r="P133" i="1"/>
  <c r="P160" i="1"/>
  <c r="P162" i="1"/>
  <c r="P164" i="1"/>
  <c r="P224" i="1"/>
  <c r="P260" i="1"/>
  <c r="Q232" i="1"/>
  <c r="Q238" i="1"/>
  <c r="Q256" i="1"/>
  <c r="P43" i="1"/>
  <c r="P173" i="1"/>
  <c r="P181" i="1"/>
  <c r="P191" i="1"/>
  <c r="P135" i="1"/>
  <c r="P139" i="1"/>
  <c r="P145" i="1"/>
  <c r="P155" i="1"/>
  <c r="P239" i="1"/>
  <c r="P257" i="1"/>
  <c r="P79" i="1"/>
  <c r="Q247" i="1"/>
  <c r="P25" i="1"/>
  <c r="Q223" i="1"/>
  <c r="P87" i="1"/>
  <c r="P89" i="1"/>
  <c r="P105" i="1"/>
  <c r="P107" i="1"/>
  <c r="Q229" i="1"/>
  <c r="Q259" i="1"/>
  <c r="P16" i="1"/>
  <c r="P34" i="1"/>
  <c r="P50" i="1"/>
  <c r="P62" i="1"/>
  <c r="Q25" i="1"/>
  <c r="P157" i="1"/>
  <c r="P167" i="1"/>
  <c r="P169" i="1"/>
  <c r="P193" i="1"/>
  <c r="P195" i="1"/>
  <c r="P203" i="1"/>
  <c r="P209" i="1"/>
  <c r="P217" i="1"/>
  <c r="Q86" i="1"/>
  <c r="Q92" i="1"/>
  <c r="Q104" i="1"/>
  <c r="Q31" i="1"/>
  <c r="Q145" i="1"/>
  <c r="Q187" i="1"/>
  <c r="P233" i="1"/>
  <c r="P235" i="1"/>
  <c r="P288" i="1"/>
  <c r="Q19" i="1"/>
  <c r="Q157" i="1"/>
  <c r="Q165" i="1"/>
  <c r="Q167" i="1"/>
  <c r="Q169" i="1"/>
  <c r="Q193" i="1"/>
  <c r="Q199" i="1"/>
  <c r="P245" i="1"/>
  <c r="Q8" i="1"/>
  <c r="Q35" i="1"/>
  <c r="Q63" i="1"/>
  <c r="P82" i="1"/>
  <c r="Q6" i="1"/>
  <c r="Q48" i="1"/>
  <c r="P140" i="1"/>
  <c r="P142" i="1"/>
  <c r="P152" i="1"/>
  <c r="P212" i="1"/>
  <c r="Q253" i="1"/>
  <c r="P194" i="1"/>
  <c r="P200" i="1"/>
  <c r="P202" i="1"/>
  <c r="P204" i="1"/>
  <c r="P206" i="1"/>
  <c r="P218" i="1"/>
  <c r="P220" i="1"/>
  <c r="Q17" i="1"/>
  <c r="Q43" i="1"/>
  <c r="Q78" i="1"/>
  <c r="Q13" i="1"/>
  <c r="Q37" i="1"/>
  <c r="P69" i="1"/>
  <c r="P75" i="1"/>
  <c r="P119" i="1"/>
  <c r="P230" i="1"/>
  <c r="P236" i="1"/>
  <c r="P291" i="1"/>
  <c r="P285" i="1"/>
  <c r="Q55" i="1"/>
  <c r="P86" i="1"/>
  <c r="P100" i="1"/>
  <c r="P104" i="1"/>
  <c r="Q168" i="1"/>
  <c r="Q200" i="1"/>
  <c r="Q206" i="1"/>
  <c r="P248" i="1"/>
  <c r="Q110" i="1"/>
  <c r="Q121" i="1"/>
  <c r="Q129" i="1"/>
  <c r="Q131" i="1"/>
  <c r="P161" i="1"/>
  <c r="Q202" i="1"/>
  <c r="Q208" i="1"/>
  <c r="Q235" i="1"/>
  <c r="Q276" i="1"/>
  <c r="Q274" i="1"/>
  <c r="Q9" i="1"/>
  <c r="Q22" i="1"/>
  <c r="Q26" i="1"/>
  <c r="Q28" i="1"/>
  <c r="Q34" i="1"/>
  <c r="Q40" i="1"/>
  <c r="Q44" i="1"/>
  <c r="Q52" i="1"/>
  <c r="Q56" i="1"/>
  <c r="Q58" i="1"/>
  <c r="Q64" i="1"/>
  <c r="Q72" i="1"/>
  <c r="P80" i="1"/>
  <c r="P84" i="1"/>
  <c r="P134" i="1"/>
  <c r="Q149" i="1"/>
  <c r="Q151" i="1"/>
  <c r="P179" i="1"/>
  <c r="P187" i="1"/>
  <c r="Q214" i="1"/>
  <c r="P226" i="1"/>
  <c r="P251" i="1"/>
  <c r="P253" i="1"/>
  <c r="P284" i="1"/>
  <c r="Q16" i="1"/>
  <c r="P17" i="1"/>
  <c r="P35" i="1"/>
  <c r="P53" i="1"/>
  <c r="P85" i="1"/>
  <c r="P91" i="1"/>
  <c r="P99" i="1"/>
  <c r="P103" i="1"/>
  <c r="P109" i="1"/>
  <c r="P120" i="1"/>
  <c r="P124" i="1"/>
  <c r="P126" i="1"/>
  <c r="P128" i="1"/>
  <c r="P197" i="1"/>
  <c r="P205" i="1"/>
  <c r="Q220" i="1"/>
  <c r="Q222" i="1"/>
  <c r="Q241" i="1"/>
  <c r="P3" i="1"/>
  <c r="P13" i="1"/>
  <c r="P33" i="1"/>
  <c r="P37" i="1"/>
  <c r="P47" i="1"/>
  <c r="P49" i="1"/>
  <c r="P55" i="1"/>
  <c r="P61" i="1"/>
  <c r="P63" i="1"/>
  <c r="Q181" i="1"/>
  <c r="Q189" i="1"/>
  <c r="Q205" i="1"/>
  <c r="P215" i="1"/>
  <c r="Q226" i="1"/>
  <c r="P261" i="1"/>
  <c r="Q263" i="1"/>
  <c r="Q287" i="1"/>
  <c r="P8" i="1"/>
  <c r="P15" i="1"/>
  <c r="P19" i="1"/>
  <c r="P31" i="1"/>
  <c r="P67" i="1"/>
  <c r="Q87" i="1"/>
  <c r="Q91" i="1"/>
  <c r="Q105" i="1"/>
  <c r="Q109" i="1"/>
  <c r="Q113" i="1"/>
  <c r="Q115" i="1"/>
  <c r="P221" i="1"/>
  <c r="P242" i="1"/>
  <c r="P244" i="1"/>
  <c r="Q57" i="1"/>
  <c r="Q61" i="1"/>
  <c r="P71" i="1"/>
  <c r="P77" i="1"/>
  <c r="P92" i="1"/>
  <c r="P94" i="1"/>
  <c r="P110" i="1"/>
  <c r="P263" i="1"/>
  <c r="P313" i="1"/>
  <c r="P309" i="1"/>
  <c r="P303" i="1"/>
  <c r="P299" i="1"/>
  <c r="P297" i="1"/>
  <c r="P295" i="1"/>
  <c r="P125" i="1"/>
  <c r="P170" i="1"/>
  <c r="P172" i="1"/>
  <c r="P174" i="1"/>
  <c r="P176" i="1"/>
  <c r="P182" i="1"/>
  <c r="P184" i="1"/>
  <c r="P188" i="1"/>
  <c r="Q211" i="1"/>
  <c r="Q215" i="1"/>
  <c r="Q217" i="1"/>
  <c r="P225" i="1"/>
  <c r="P227" i="1"/>
  <c r="Q244" i="1"/>
  <c r="P254" i="1"/>
  <c r="P9" i="1"/>
  <c r="P26" i="1"/>
  <c r="P44" i="1"/>
  <c r="P58" i="1"/>
  <c r="P64" i="1"/>
  <c r="Q69" i="1"/>
  <c r="P98" i="1"/>
  <c r="P112" i="1"/>
  <c r="P121" i="1"/>
  <c r="P131" i="1"/>
  <c r="P143" i="1"/>
  <c r="Q154" i="1"/>
  <c r="Q221" i="1"/>
  <c r="P269" i="1"/>
  <c r="Q75" i="1"/>
  <c r="Q270" i="1"/>
  <c r="Q266" i="1"/>
  <c r="P279" i="1"/>
  <c r="P5" i="1"/>
  <c r="P22" i="1"/>
  <c r="P24" i="1"/>
  <c r="P28" i="1"/>
  <c r="P40" i="1"/>
  <c r="P42" i="1"/>
  <c r="P52" i="1"/>
  <c r="Q98" i="1"/>
  <c r="Q133" i="1"/>
  <c r="Q182" i="1"/>
  <c r="Q196" i="1"/>
  <c r="P210" i="1"/>
  <c r="Q250" i="1"/>
  <c r="Q290" i="1"/>
  <c r="Q284" i="1"/>
  <c r="P6" i="1"/>
  <c r="Q46" i="1"/>
  <c r="Q66" i="1"/>
  <c r="Q81" i="1"/>
  <c r="P123" i="1"/>
  <c r="P127" i="1"/>
  <c r="P146" i="1"/>
  <c r="Q153" i="1"/>
  <c r="Q155" i="1"/>
  <c r="P159" i="1"/>
  <c r="P163" i="1"/>
  <c r="P178" i="1"/>
  <c r="P196" i="1"/>
  <c r="P219" i="1"/>
  <c r="Q224" i="1"/>
  <c r="Q231" i="1"/>
  <c r="Q240" i="1"/>
  <c r="Q249" i="1"/>
  <c r="Q258" i="1"/>
  <c r="Q268" i="1"/>
  <c r="Q291" i="1"/>
  <c r="Q289" i="1"/>
  <c r="P280" i="1"/>
  <c r="Q39" i="1"/>
  <c r="P214" i="1"/>
  <c r="Q242" i="1"/>
  <c r="P255" i="1"/>
  <c r="Q262" i="1"/>
  <c r="Q3" i="1"/>
  <c r="P10" i="1"/>
  <c r="P11" i="1"/>
  <c r="P18" i="1"/>
  <c r="P20" i="1"/>
  <c r="P27" i="1"/>
  <c r="P29" i="1"/>
  <c r="P36" i="1"/>
  <c r="P38" i="1"/>
  <c r="P45" i="1"/>
  <c r="P54" i="1"/>
  <c r="P76" i="1"/>
  <c r="P88" i="1"/>
  <c r="P90" i="1"/>
  <c r="P96" i="1"/>
  <c r="Q101" i="1"/>
  <c r="P111" i="1"/>
  <c r="P118" i="1"/>
  <c r="Q142" i="1"/>
  <c r="P148" i="1"/>
  <c r="P150" i="1"/>
  <c r="Q172" i="1"/>
  <c r="Q174" i="1"/>
  <c r="Q176" i="1"/>
  <c r="Q185" i="1"/>
  <c r="Q194" i="1"/>
  <c r="P198" i="1"/>
  <c r="Q203" i="1"/>
  <c r="Q210" i="1"/>
  <c r="P223" i="1"/>
  <c r="P270" i="1"/>
  <c r="P293" i="1"/>
  <c r="Q285" i="1"/>
  <c r="Q283" i="1"/>
  <c r="P274" i="1"/>
  <c r="Q30" i="1"/>
  <c r="Q95" i="1"/>
  <c r="Q99" i="1"/>
  <c r="Q134" i="1"/>
  <c r="Q136" i="1"/>
  <c r="Q138" i="1"/>
  <c r="Q170" i="1"/>
  <c r="P180" i="1"/>
  <c r="P189" i="1"/>
  <c r="Q201" i="1"/>
  <c r="P228" i="1"/>
  <c r="Q233" i="1"/>
  <c r="P237" i="1"/>
  <c r="P246" i="1"/>
  <c r="Q251" i="1"/>
  <c r="Q14" i="1"/>
  <c r="Q23" i="1"/>
  <c r="Q32" i="1"/>
  <c r="Q41" i="1"/>
  <c r="P56" i="1"/>
  <c r="P65" i="1"/>
  <c r="P78" i="1"/>
  <c r="P102" i="1"/>
  <c r="Q107" i="1"/>
  <c r="P113" i="1"/>
  <c r="P115" i="1"/>
  <c r="Q125" i="1"/>
  <c r="Q127" i="1"/>
  <c r="P137" i="1"/>
  <c r="P154" i="1"/>
  <c r="Q161" i="1"/>
  <c r="Q163" i="1"/>
  <c r="Q178" i="1"/>
  <c r="P207" i="1"/>
  <c r="Q212" i="1"/>
  <c r="P216" i="1"/>
  <c r="P232" i="1"/>
  <c r="P241" i="1"/>
  <c r="P250" i="1"/>
  <c r="P268" i="1"/>
  <c r="P289" i="1"/>
  <c r="Q281" i="1"/>
  <c r="Q21" i="1"/>
  <c r="P158" i="1"/>
  <c r="Q308" i="1"/>
  <c r="Q306" i="1"/>
  <c r="Q304" i="1"/>
  <c r="Q300" i="1"/>
  <c r="Q298" i="1"/>
  <c r="Q296" i="1"/>
  <c r="P287" i="1"/>
  <c r="Q279" i="1"/>
  <c r="Q277" i="1"/>
  <c r="Q12" i="1"/>
  <c r="Q97" i="1"/>
  <c r="P122" i="1"/>
  <c r="P2" i="1"/>
  <c r="P4" i="1"/>
  <c r="Q10" i="1"/>
  <c r="Q18" i="1"/>
  <c r="Q27" i="1"/>
  <c r="Q36" i="1"/>
  <c r="Q54" i="1"/>
  <c r="P60" i="1"/>
  <c r="Q146" i="1"/>
  <c r="Q148" i="1"/>
  <c r="Q150" i="1"/>
  <c r="P171" i="1"/>
  <c r="P175" i="1"/>
  <c r="P186" i="1"/>
  <c r="Q191" i="1"/>
  <c r="Q198" i="1"/>
  <c r="P211" i="1"/>
  <c r="Q230" i="1"/>
  <c r="P234" i="1"/>
  <c r="Q239" i="1"/>
  <c r="P243" i="1"/>
  <c r="Q248" i="1"/>
  <c r="P252" i="1"/>
  <c r="Q257" i="1"/>
  <c r="Q271" i="1"/>
  <c r="P264" i="1"/>
  <c r="Q294" i="1"/>
  <c r="Q292" i="1"/>
  <c r="P283" i="1"/>
  <c r="Q275" i="1"/>
  <c r="P7" i="1"/>
  <c r="Q11" i="1"/>
  <c r="Q20" i="1"/>
  <c r="Q29" i="1"/>
  <c r="Q38" i="1"/>
  <c r="Q45" i="1"/>
  <c r="Q47" i="1"/>
  <c r="P51" i="1"/>
  <c r="Q67" i="1"/>
  <c r="P73" i="1"/>
  <c r="Q80" i="1"/>
  <c r="Q82" i="1"/>
  <c r="P106" i="1"/>
  <c r="P108" i="1"/>
  <c r="P114" i="1"/>
  <c r="Q118" i="1"/>
  <c r="P130" i="1"/>
  <c r="Q137" i="1"/>
  <c r="Q139" i="1"/>
  <c r="P149" i="1"/>
  <c r="P166" i="1"/>
  <c r="P190" i="1"/>
  <c r="Q209" i="1"/>
  <c r="P213" i="1"/>
  <c r="Q225" i="1"/>
  <c r="P229" i="1"/>
  <c r="P238" i="1"/>
  <c r="P247" i="1"/>
  <c r="P256" i="1"/>
  <c r="P314" i="1"/>
  <c r="P312" i="1"/>
  <c r="P308" i="1"/>
  <c r="P306" i="1"/>
  <c r="P304" i="1"/>
  <c r="P300" i="1"/>
  <c r="P296" i="1"/>
  <c r="Q288" i="1"/>
  <c r="Q286" i="1"/>
  <c r="P277" i="1"/>
  <c r="Q60" i="1"/>
  <c r="Q143" i="1"/>
  <c r="P147" i="1"/>
  <c r="Q175" i="1"/>
  <c r="P199" i="1"/>
  <c r="Q218" i="1"/>
  <c r="Q84" i="1"/>
  <c r="Q173" i="1"/>
  <c r="Q186" i="1"/>
  <c r="P222" i="1"/>
  <c r="Q4" i="1"/>
  <c r="Q5" i="1"/>
  <c r="Q15" i="1"/>
  <c r="Q24" i="1"/>
  <c r="Q33" i="1"/>
  <c r="Q42" i="1"/>
  <c r="Q49" i="1"/>
  <c r="P57" i="1"/>
  <c r="P59" i="1"/>
  <c r="P93" i="1"/>
  <c r="P101" i="1"/>
  <c r="P117" i="1"/>
  <c r="Q122" i="1"/>
  <c r="Q124" i="1"/>
  <c r="Q126" i="1"/>
  <c r="Q158" i="1"/>
  <c r="Q160" i="1"/>
  <c r="Q162" i="1"/>
  <c r="Q177" i="1"/>
  <c r="Q179" i="1"/>
  <c r="Q188" i="1"/>
  <c r="P192" i="1"/>
  <c r="P208" i="1"/>
  <c r="Q227" i="1"/>
  <c r="P231" i="1"/>
  <c r="Q236" i="1"/>
  <c r="P240" i="1"/>
  <c r="Q245" i="1"/>
  <c r="P249" i="1"/>
  <c r="Q254" i="1"/>
  <c r="P258" i="1"/>
  <c r="P267" i="1"/>
  <c r="P290" i="1"/>
  <c r="Q282" i="1"/>
  <c r="Q280" i="1"/>
  <c r="Q2" i="1"/>
  <c r="Q141" i="1"/>
  <c r="P151" i="1"/>
  <c r="Q7" i="1"/>
  <c r="P12" i="1"/>
  <c r="P14" i="1"/>
  <c r="P21" i="1"/>
  <c r="P23" i="1"/>
  <c r="P30" i="1"/>
  <c r="P32" i="1"/>
  <c r="P39" i="1"/>
  <c r="P41" i="1"/>
  <c r="P46" i="1"/>
  <c r="P48" i="1"/>
  <c r="Q51" i="1"/>
  <c r="P68" i="1"/>
  <c r="P70" i="1"/>
  <c r="P72" i="1"/>
  <c r="P81" i="1"/>
  <c r="P83" i="1"/>
  <c r="Q89" i="1"/>
  <c r="P95" i="1"/>
  <c r="P97" i="1"/>
  <c r="Q130" i="1"/>
  <c r="P136" i="1"/>
  <c r="P138" i="1"/>
  <c r="Q166" i="1"/>
  <c r="P183" i="1"/>
  <c r="P185" i="1"/>
  <c r="Q197" i="1"/>
  <c r="P201" i="1"/>
  <c r="Q213" i="1"/>
  <c r="P262" i="1"/>
  <c r="Q272" i="1"/>
  <c r="Q295" i="1"/>
  <c r="P286" i="1"/>
  <c r="Q278" i="1"/>
  <c r="Q305" i="1"/>
  <c r="Q307" i="1"/>
  <c r="Q309" i="1"/>
  <c r="P310" i="1"/>
  <c r="Q302" i="1"/>
  <c r="Q313" i="1"/>
  <c r="Q311" i="1"/>
  <c r="P302" i="1"/>
  <c r="P298" i="1"/>
  <c r="P311" i="1"/>
  <c r="Q303" i="1"/>
  <c r="Q301" i="1"/>
  <c r="P307" i="1"/>
  <c r="Q299" i="1"/>
  <c r="Q314" i="1"/>
  <c r="P305" i="1"/>
  <c r="Q297" i="1"/>
  <c r="Q312" i="1"/>
  <c r="Q310" i="1"/>
  <c r="P301" i="1"/>
  <c r="Q264" i="1"/>
  <c r="Q260" i="1"/>
  <c r="P266" i="1"/>
  <c r="P259" i="1"/>
  <c r="Q96" i="1"/>
  <c r="Q71" i="1"/>
  <c r="Q88" i="1"/>
  <c r="Q106" i="1"/>
  <c r="Q123" i="1"/>
  <c r="P132" i="1"/>
  <c r="Q135" i="1"/>
  <c r="P144" i="1"/>
  <c r="Q147" i="1"/>
  <c r="P156" i="1"/>
  <c r="Q159" i="1"/>
  <c r="P168" i="1"/>
  <c r="Q171" i="1"/>
  <c r="Q183" i="1"/>
  <c r="Q195" i="1"/>
  <c r="Q207" i="1"/>
  <c r="Q219" i="1"/>
  <c r="Q76" i="1"/>
  <c r="Q93" i="1"/>
  <c r="Q111" i="1"/>
  <c r="Q68" i="1"/>
  <c r="Q85" i="1"/>
  <c r="Q103" i="1"/>
  <c r="Q120" i="1"/>
  <c r="Q140" i="1"/>
  <c r="Q65" i="1"/>
  <c r="Q73" i="1"/>
  <c r="Q90" i="1"/>
  <c r="Q108" i="1"/>
  <c r="P129" i="1"/>
  <c r="Q132" i="1"/>
  <c r="P141" i="1"/>
  <c r="Q144" i="1"/>
  <c r="P153" i="1"/>
  <c r="Q156" i="1"/>
  <c r="P165" i="1"/>
  <c r="P177" i="1"/>
  <c r="Q180" i="1"/>
  <c r="Q192" i="1"/>
  <c r="Q204" i="1"/>
  <c r="Q216" i="1"/>
  <c r="Q228" i="1"/>
  <c r="Q237" i="1"/>
  <c r="Q246" i="1"/>
  <c r="Q255" i="1"/>
  <c r="Q62" i="1"/>
  <c r="Q83" i="1"/>
  <c r="Q100" i="1"/>
  <c r="Q117" i="1"/>
  <c r="Q152" i="1"/>
  <c r="Q59" i="1"/>
  <c r="Q70" i="1"/>
  <c r="Q114" i="1"/>
  <c r="Q164" i="1"/>
  <c r="Q53" i="1"/>
  <c r="Q102" i="1"/>
  <c r="Q119" i="1"/>
  <c r="Q234" i="1"/>
  <c r="Q243" i="1"/>
  <c r="Q252" i="1"/>
  <c r="Q261" i="1"/>
  <c r="Q79" i="1"/>
  <c r="Q128" i="1"/>
  <c r="Q50" i="1"/>
  <c r="Q77" i="1"/>
  <c r="Q94" i="1"/>
  <c r="Q112" i="1"/>
</calcChain>
</file>

<file path=xl/sharedStrings.xml><?xml version="1.0" encoding="utf-8"?>
<sst xmlns="http://schemas.openxmlformats.org/spreadsheetml/2006/main" count="4185" uniqueCount="909">
  <si>
    <t>ID</t>
  </si>
  <si>
    <t>species</t>
  </si>
  <si>
    <t>N/S</t>
  </si>
  <si>
    <t>E/W</t>
  </si>
  <si>
    <t>lat(s)</t>
  </si>
  <si>
    <t>origem</t>
  </si>
  <si>
    <t>estimado</t>
  </si>
  <si>
    <t>obs</t>
  </si>
  <si>
    <t>latg</t>
  </si>
  <si>
    <t>latm</t>
  </si>
  <si>
    <t>lats</t>
  </si>
  <si>
    <t>longg</t>
  </si>
  <si>
    <t>longm</t>
  </si>
  <si>
    <t>longs</t>
  </si>
  <si>
    <t>lat</t>
  </si>
  <si>
    <t>lon</t>
  </si>
  <si>
    <t>NomeDoc</t>
  </si>
  <si>
    <t>Panulirus argus</t>
  </si>
  <si>
    <t>N</t>
  </si>
  <si>
    <t>W</t>
  </si>
  <si>
    <t>04°26′</t>
  </si>
  <si>
    <t>51°32′</t>
  </si>
  <si>
    <t>Cruz, R. (2021)</t>
  </si>
  <si>
    <t>não</t>
  </si>
  <si>
    <t>Lobsters are distributed throughout the Brazilian continental shelf (CSB) from Amapá (04◦26N 51◦32W)to Rio Grande do Sul (29◦46 S 53◦10W). Lobster stocks are concen trated in four regions along the Brazilian coast: the North (Great Amazon Reef System), the Northeast (NE), the Southeast (SE), and the South (S).</t>
  </si>
  <si>
    <t>diversity-13-00507-v2.pdf</t>
  </si>
  <si>
    <t>S</t>
  </si>
  <si>
    <t>29°46′</t>
  </si>
  <si>
    <t>53°10′</t>
  </si>
  <si>
    <t>Lobsters are distributed throughout the Brazilian continental shelf (CSB) from Amapá (04◦26N 51◦32W)toRio Grande doSul (29◦46 S 53◦10W). Lobster stocks are concen trated in four regions along the Brazilian coast: the North (Great Amazon Reef System), the Northeast (NE), the Southeast (SE), and the South (S).</t>
  </si>
  <si>
    <t>21°</t>
  </si>
  <si>
    <t>40°</t>
  </si>
  <si>
    <t xml:space="preserve">Entre Pernambuco e Espírito Santo (9° S 35° W a 21° S 40° W) no Sudeste do Brasil (SE), a plataforma é estreita e as capturas de lagosta são pequenas. </t>
  </si>
  <si>
    <t>9°</t>
  </si>
  <si>
    <t>35°</t>
  </si>
  <si>
    <t>2°53′22″</t>
  </si>
  <si>
    <t>41°13′46″</t>
  </si>
  <si>
    <t>Ceará</t>
  </si>
  <si>
    <t>4°06′06″</t>
  </si>
  <si>
    <t>38°08′56″</t>
  </si>
  <si>
    <t>Panulirus laevicauda</t>
  </si>
  <si>
    <t>Panulirus meripurpuratus</t>
  </si>
  <si>
    <t>7°54′15,6″</t>
  </si>
  <si>
    <t>34°49′14,3″</t>
  </si>
  <si>
    <t>GIRALDES, Bruno W. (2016)</t>
  </si>
  <si>
    <t>Offshore area around Pau Amarelo Beach, Pernambuco</t>
  </si>
  <si>
    <t>document</t>
  </si>
  <si>
    <t>5°59</t>
  </si>
  <si>
    <t>35°7</t>
  </si>
  <si>
    <t>Alencar et al. (2021)</t>
  </si>
  <si>
    <t>Pirangi</t>
  </si>
  <si>
    <t>Alencaretal.2021</t>
  </si>
  <si>
    <t>Panulirus echinatus</t>
  </si>
  <si>
    <t>08°45′31,2″</t>
  </si>
  <si>
    <t>35°05′07,7″</t>
  </si>
  <si>
    <t>BARRETO, A. V. et al. (2009)</t>
  </si>
  <si>
    <t>Tamandaré, PE (inshore)</t>
  </si>
  <si>
    <t>biometric-relationships-of-the-spotted-lobster-panulirus-echinatus-from-tamandare-coastal-reefs-pernambuco-state-brazil</t>
  </si>
  <si>
    <t>08°46′57,2″</t>
  </si>
  <si>
    <t>35°05′48,9″</t>
  </si>
  <si>
    <t>08°45′35,0″</t>
  </si>
  <si>
    <t xml:space="preserve"> 35°04′57,5″</t>
  </si>
  <si>
    <t>Tamandaré, PE (offshore)</t>
  </si>
  <si>
    <t>08°47′01,2″</t>
  </si>
  <si>
    <t>35°05′42,0″</t>
  </si>
  <si>
    <t>8°30′07″</t>
  </si>
  <si>
    <t>35°00′08″</t>
  </si>
  <si>
    <t>GIRALDES, Bruno W. (2021)</t>
  </si>
  <si>
    <t>Porto de Galinhas</t>
  </si>
  <si>
    <t>1-s2.0-S1470160X21011304-main</t>
  </si>
  <si>
    <t>08°44′23″</t>
  </si>
  <si>
    <t>35°02′28″</t>
  </si>
  <si>
    <t>Tamandaré, PE</t>
  </si>
  <si>
    <t>20°39′</t>
  </si>
  <si>
    <t>40°30′</t>
  </si>
  <si>
    <t>MELO, Andressa C. M. (2025)</t>
  </si>
  <si>
    <t>Guarapari (ES)</t>
  </si>
  <si>
    <t>Fisheries Management Eco - 2025 - Melo - Reproductive Biology of the Smoothtail Spiny Lobster  Panulirus laevicauda  to</t>
  </si>
  <si>
    <t>20°43′</t>
  </si>
  <si>
    <t>40°46′</t>
  </si>
  <si>
    <t>Anchieta (ES)</t>
  </si>
  <si>
    <t>21°02′</t>
  </si>
  <si>
    <t>40°49′</t>
  </si>
  <si>
    <t>Marataízes (ES)</t>
  </si>
  <si>
    <t>0°55′10″</t>
  </si>
  <si>
    <t>29°20′33″</t>
  </si>
  <si>
    <t>NUNES, Diogo Martins (2017)</t>
  </si>
  <si>
    <t>São Pedro e São Paulo</t>
  </si>
  <si>
    <t>Nunesetal2017DeepSeaDecapodCrustaceansSPSPA</t>
  </si>
  <si>
    <t>0°54.787′</t>
  </si>
  <si>
    <t>29°21.451′</t>
  </si>
  <si>
    <t>0°55.681′</t>
  </si>
  <si>
    <t>29°19.804′</t>
  </si>
  <si>
    <t>8°59′57″</t>
  </si>
  <si>
    <t>35°10′49″</t>
  </si>
  <si>
    <t>GAETA, Juliana de Carvalho (2021)</t>
  </si>
  <si>
    <t>Alagoas (Maragogi / São José da Coroa Grande)</t>
  </si>
  <si>
    <t>PANAMJAS_16(2)_123-128</t>
  </si>
  <si>
    <t>1°03′57″</t>
  </si>
  <si>
    <t>46°47′22″W</t>
  </si>
  <si>
    <t>SOUSA, Jefferson (2025)</t>
  </si>
  <si>
    <t>Bragrança</t>
  </si>
  <si>
    <t>peerj-19586</t>
  </si>
  <si>
    <t>08°10′</t>
  </si>
  <si>
    <t>34°49′</t>
  </si>
  <si>
    <t>HAMILTON, Santiago (2019)</t>
  </si>
  <si>
    <t>Recife (PE)</t>
  </si>
  <si>
    <t>s00435-019-00461-5</t>
  </si>
  <si>
    <t>8°30′54″</t>
  </si>
  <si>
    <t>34°59′47″</t>
  </si>
  <si>
    <t>GIRALDES, Bruno W. (2012)</t>
  </si>
  <si>
    <t>Composition and spatial distribution of subtidal Decapoda on the “Reef Coast”, northeastern Brazil, evaluated through a low-impact visual census technique</t>
  </si>
  <si>
    <t>18°01′15″</t>
  </si>
  <si>
    <t>38°43′16″</t>
  </si>
  <si>
    <t>FARIA JÚNIOR, Edson (2013)</t>
  </si>
  <si>
    <t>Arquipélogo de Abrolhos (BA)</t>
  </si>
  <si>
    <t>1.pdf</t>
  </si>
  <si>
    <t>03°50′</t>
  </si>
  <si>
    <t>38°20′</t>
  </si>
  <si>
    <t>Região costeira do Ceará, nas proximidades de Aquiraz</t>
  </si>
  <si>
    <t>23°17′</t>
  </si>
  <si>
    <t>44°10′</t>
  </si>
  <si>
    <t>Baía da Ilha Grande, no litoral sul do Rio de Janeiro (Costa Verde).</t>
  </si>
  <si>
    <t>4°25′</t>
  </si>
  <si>
    <t>37°16′</t>
  </si>
  <si>
    <r>
      <rPr>
        <sz val="11"/>
        <color theme="1"/>
        <rFont val="Calibri"/>
        <family val="2"/>
        <charset val="1"/>
      </rPr>
      <t xml:space="preserve">Litoral leste do </t>
    </r>
    <r>
      <rPr>
        <b/>
        <sz val="11"/>
        <color theme="1"/>
        <rFont val="Calibri"/>
        <family val="2"/>
        <charset val="1"/>
      </rPr>
      <t>Ceará</t>
    </r>
    <r>
      <rPr>
        <sz val="11"/>
        <color theme="1"/>
        <rFont val="Calibri"/>
        <family val="2"/>
        <charset val="1"/>
      </rPr>
      <t>, na região de Aracati (próximo ao estuário do Rio Jaguaribe).</t>
    </r>
  </si>
  <si>
    <t>17°57′29″</t>
  </si>
  <si>
    <t>38°42′09″</t>
  </si>
  <si>
    <t>Santa Barbara Island</t>
  </si>
  <si>
    <t>17°57′38″</t>
  </si>
  <si>
    <t>38°42′55″</t>
  </si>
  <si>
    <t>Redonda Island</t>
  </si>
  <si>
    <t>17°57′59″</t>
  </si>
  <si>
    <t>38°42′52″</t>
  </si>
  <si>
    <t>Siriba Island</t>
  </si>
  <si>
    <t>32°24′</t>
  </si>
  <si>
    <t>Arquipélago de Fernando de Noronha</t>
  </si>
  <si>
    <t>03°45′</t>
  </si>
  <si>
    <t>32°19′</t>
  </si>
  <si>
    <t>Atol das Rocas</t>
  </si>
  <si>
    <t>GIRALDES, Bruno W. (2015)</t>
  </si>
  <si>
    <t>1-s2.0-S2351989415001031-main</t>
  </si>
  <si>
    <t>35°07′29″</t>
  </si>
  <si>
    <t>GIRALDES, Bruno W.(2015)</t>
  </si>
  <si>
    <t>Área de Proteção Ambiental (APA) Costa dos Corais Tamandaré</t>
  </si>
  <si>
    <t>08°44′41″</t>
  </si>
  <si>
    <t>03°52′</t>
  </si>
  <si>
    <t>33°48′</t>
  </si>
  <si>
    <t>GAETA, Juliana de Carvalho (2019)</t>
  </si>
  <si>
    <t>Aquatic Conservation - 2020 - Gaeta - Genetic differentiation among Atlantic island populations of the brown spiny lobster</t>
  </si>
  <si>
    <t>03°51′</t>
  </si>
  <si>
    <t>32°25′</t>
  </si>
  <si>
    <t>Fernando de Noronha</t>
  </si>
  <si>
    <t>20°28′</t>
  </si>
  <si>
    <t>29°21′</t>
  </si>
  <si>
    <t>Trindade e Martim Vaz</t>
  </si>
  <si>
    <t>Gaeta, J. (2019)</t>
  </si>
  <si>
    <t>gaeta2019</t>
  </si>
  <si>
    <t>8°45′</t>
  </si>
  <si>
    <t>34°57′</t>
  </si>
  <si>
    <t>KONISHI, Kooichi (2006)</t>
  </si>
  <si>
    <r>
      <rPr>
        <sz val="11"/>
        <color theme="1"/>
        <rFont val="Calibri"/>
        <family val="2"/>
        <charset val="1"/>
      </rPr>
      <t xml:space="preserve">a longitude </t>
    </r>
    <r>
      <rPr>
        <b/>
        <sz val="11"/>
        <color theme="1"/>
        <rFont val="Calibri"/>
        <family val="2"/>
        <charset val="1"/>
      </rPr>
      <t>24°57′W</t>
    </r>
    <r>
      <rPr>
        <sz val="11"/>
        <color theme="1"/>
        <rFont val="Calibri"/>
        <family val="2"/>
        <charset val="1"/>
      </rPr>
      <t xml:space="preserve"> cai literalmente no meio do Oceano Atlântico, a mais de 1.000 km da costa, possivel erro, se for 34 ao inves de 24 da certo no litoral</t>
    </r>
  </si>
  <si>
    <t>konishi2006</t>
  </si>
  <si>
    <t>00°55′01″</t>
  </si>
  <si>
    <t>29°20′44″</t>
  </si>
  <si>
    <t>PINHEIRO, Allysson P. (2006)</t>
  </si>
  <si>
    <t>Reproductive_Biology_of_Panulirus_echina</t>
  </si>
  <si>
    <t>04°37′48,0″</t>
  </si>
  <si>
    <t>37°30′22,9″</t>
  </si>
  <si>
    <t>BAKER, Alyssa M. (2024)</t>
  </si>
  <si>
    <t>s00338-024-02569-7</t>
  </si>
  <si>
    <t>PINHEIRO, A. P. (2003)</t>
  </si>
  <si>
    <t>Population_biology_of_Panulirus_echinatu</t>
  </si>
  <si>
    <t xml:space="preserve"> 38°13′</t>
  </si>
  <si>
    <t>GESTEIRA, Tereza Cristina Vasconcelos (1989/1990)</t>
  </si>
  <si>
    <t>Município de Iguape (CE)</t>
  </si>
  <si>
    <t>1989.90_art_tevgesteira</t>
  </si>
  <si>
    <t>IVO, Carlos Tassito Corrêa; (1996)</t>
  </si>
  <si>
    <t>Entre os municípios de Iguape e Aquiraz</t>
  </si>
  <si>
    <t>1996_art_ctcivo</t>
  </si>
  <si>
    <t>03°38′</t>
  </si>
  <si>
    <t>38°13′</t>
  </si>
  <si>
    <t>03°31′</t>
  </si>
  <si>
    <t xml:space="preserve"> 38°12′</t>
  </si>
  <si>
    <t>24°49′13″</t>
  </si>
  <si>
    <t>80°48′48″</t>
  </si>
  <si>
    <t>SMITH, Kenneth N. (1997)</t>
  </si>
  <si>
    <r>
      <rPr>
        <sz val="11"/>
        <color theme="1"/>
        <rFont val="Calibri"/>
        <family val="2"/>
        <charset val="1"/>
      </rPr>
      <t xml:space="preserve">guas viradas para o Oceano Atlântico, mesmo ao largo da costa de Long Key. A sigla </t>
    </r>
    <r>
      <rPr>
        <b/>
        <sz val="11"/>
        <color theme="1"/>
        <rFont val="Calibri"/>
        <family val="2"/>
        <charset val="1"/>
      </rPr>
      <t>KML</t>
    </r>
    <r>
      <rPr>
        <sz val="11"/>
        <color theme="1"/>
        <rFont val="Calibri"/>
        <family val="2"/>
        <charset val="1"/>
      </rPr>
      <t xml:space="preserve"> significa </t>
    </r>
    <r>
      <rPr>
        <i/>
        <sz val="11"/>
        <color theme="1"/>
        <rFont val="Calibri"/>
        <family val="2"/>
        <charset val="1"/>
      </rPr>
      <t>Keys Marine Laboratory</t>
    </r>
    <r>
      <rPr>
        <sz val="11"/>
        <color theme="1"/>
        <rFont val="Calibri"/>
        <family val="2"/>
        <charset val="1"/>
      </rPr>
      <t>,</t>
    </r>
  </si>
  <si>
    <t>1-s2.0-002209819290070Q-main</t>
  </si>
  <si>
    <t>24°50′55″</t>
  </si>
  <si>
    <t>80°48′03″</t>
  </si>
  <si>
    <r>
      <rPr>
        <sz val="11"/>
        <color theme="1"/>
        <rFont val="Calibri"/>
        <family val="2"/>
        <charset val="1"/>
      </rPr>
      <t xml:space="preserve">Fica nas águas do lado oposto (virado para o lado mais calmo da Baía da Flórida / Golfo do México). A sigla </t>
    </r>
    <r>
      <rPr>
        <b/>
        <sz val="11"/>
        <color theme="1"/>
        <rFont val="Calibri"/>
        <family val="2"/>
        <charset val="1"/>
      </rPr>
      <t>KOA</t>
    </r>
    <r>
      <rPr>
        <sz val="11"/>
        <color theme="1"/>
        <rFont val="Calibri"/>
        <family val="2"/>
        <charset val="1"/>
      </rPr>
      <t xml:space="preserve"> refere-se à pequena ilha vizinha de Fiesta Key, que é muito famosa pelo seu parque de campismo para autocaravanas chamado </t>
    </r>
    <r>
      <rPr>
        <i/>
        <sz val="11"/>
        <color theme="1"/>
        <rFont val="Calibri"/>
        <family val="2"/>
        <charset val="1"/>
      </rPr>
      <t>Fiesta Key KOA Resort</t>
    </r>
    <r>
      <rPr>
        <sz val="11"/>
        <color theme="1"/>
        <rFont val="Calibri"/>
        <family val="2"/>
        <charset val="1"/>
      </rPr>
      <t>.</t>
    </r>
  </si>
  <si>
    <t>05°13′</t>
  </si>
  <si>
    <t>35°10′</t>
  </si>
  <si>
    <t>SARVER, Shane K. (1998)</t>
  </si>
  <si>
    <t>Rio Grande do Norte(RN); Ela fica no oceano, a cerca de 30 km a leste do município de Touros</t>
  </si>
  <si>
    <t>jcb0177</t>
  </si>
  <si>
    <t>24°44'20"</t>
  </si>
  <si>
    <t>80°59'37"</t>
  </si>
  <si>
    <t>GOLDSTEIN, Jason S. (2008)</t>
  </si>
  <si>
    <t>Keys Marine Laboratory (KML), sul da Florida</t>
  </si>
  <si>
    <t>jcb0306</t>
  </si>
  <si>
    <t>19°27′00″</t>
  </si>
  <si>
    <t xml:space="preserve"> 87°17′24″</t>
  </si>
  <si>
    <t>EGGLESTON, David B. (1990)</t>
  </si>
  <si>
    <t>Bahia de la Ascensión, que fica dentro da Reserva da Biosfera de Sian Ka'an, na Península de Yucatán</t>
  </si>
  <si>
    <t>m062p079</t>
  </si>
  <si>
    <t>25°01′46″</t>
  </si>
  <si>
    <t xml:space="preserve"> 80°23′53″</t>
  </si>
  <si>
    <t>NEVITT, Gabrielle (2000)</t>
  </si>
  <si>
    <t>Three Sisters Reef.</t>
  </si>
  <si>
    <t>m203p225</t>
  </si>
  <si>
    <t>25°35′28″</t>
  </si>
  <si>
    <t>80°05′49″</t>
  </si>
  <si>
    <t>KOUGH, Andrew S. (2014)</t>
  </si>
  <si>
    <t>Fowey Rocks, Parque Nacional de Biscayne</t>
  </si>
  <si>
    <t>m504p207</t>
  </si>
  <si>
    <t>24°50′30″</t>
  </si>
  <si>
    <t>80°47′48″</t>
  </si>
  <si>
    <t>FORCUCCI, David; (1994)</t>
  </si>
  <si>
    <t>KOA</t>
  </si>
  <si>
    <t>s17</t>
  </si>
  <si>
    <t>20°51′00″</t>
  </si>
  <si>
    <t>86°55′00″</t>
  </si>
  <si>
    <t>BRIONES-FOURZÁN, Patricia; (2006)</t>
  </si>
  <si>
    <t>Unidad Académica Puerto Morelos</t>
  </si>
  <si>
    <t>s00227-005-0191-2</t>
  </si>
  <si>
    <t>25°36′11″</t>
  </si>
  <si>
    <t>81°24′10″</t>
  </si>
  <si>
    <t>ACOSTA, C. A (1997)</t>
  </si>
  <si>
    <t>Big Munson Key</t>
  </si>
  <si>
    <t>s002270050148</t>
  </si>
  <si>
    <t xml:space="preserve"> 51°32′</t>
  </si>
  <si>
    <t>ORELLANA SALAZAR, Ivo S (2009)</t>
  </si>
  <si>
    <t>Amapá</t>
  </si>
  <si>
    <t>salazar2019</t>
  </si>
  <si>
    <t>21°17′</t>
  </si>
  <si>
    <t>40°56′</t>
  </si>
  <si>
    <t>Espírito Santo</t>
  </si>
  <si>
    <t>LOZANO-ÁLVAREZ, Enrique (2001)</t>
  </si>
  <si>
    <t>Península de Yucatán, no estado de Quintana Roo</t>
  </si>
  <si>
    <t>10.1071@mf01093</t>
  </si>
  <si>
    <t>2°46′</t>
  </si>
  <si>
    <t>40°05′</t>
  </si>
  <si>
    <t>Cruz, R. (2025)</t>
  </si>
  <si>
    <t>Acaraú</t>
  </si>
  <si>
    <t>diversity-17-00572-v4.pdf</t>
  </si>
  <si>
    <t>3°14′30″</t>
  </si>
  <si>
    <t>39°13′30″</t>
  </si>
  <si>
    <t>Flecheiras (Ceará)</t>
  </si>
  <si>
    <t>03°18′00″</t>
  </si>
  <si>
    <t>50°35′24″</t>
  </si>
  <si>
    <t>Amapá (AP)</t>
  </si>
  <si>
    <t>05°40′48″</t>
  </si>
  <si>
    <t>46°38′24″</t>
  </si>
  <si>
    <t>Amapá (Oceânico)</t>
  </si>
  <si>
    <t>01°13′12″</t>
  </si>
  <si>
    <t>44°38′24″</t>
  </si>
  <si>
    <t>Pará (PA)</t>
  </si>
  <si>
    <t>01°58′12″</t>
  </si>
  <si>
    <t>40°35′24″</t>
  </si>
  <si>
    <t>Amapá/Pará (Oceânico)</t>
  </si>
  <si>
    <t>03°30′00″</t>
  </si>
  <si>
    <t>38°44′24″</t>
  </si>
  <si>
    <t>Ceará (CE)</t>
  </si>
  <si>
    <t>00°38′24″</t>
  </si>
  <si>
    <t>35°00′00″</t>
  </si>
  <si>
    <t>Ceará (Oceânico)</t>
  </si>
  <si>
    <t>05°01′12″</t>
  </si>
  <si>
    <t>35°25′48″</t>
  </si>
  <si>
    <t>Rio Grande do Norte (RN)</t>
  </si>
  <si>
    <t>02°54′00″</t>
  </si>
  <si>
    <t>31°38′24″</t>
  </si>
  <si>
    <t>Rio Grande do Norte (Oceânico)</t>
  </si>
  <si>
    <t>09°44′24″</t>
  </si>
  <si>
    <t>35°34′12″</t>
  </si>
  <si>
    <t>Alagoas (AL)</t>
  </si>
  <si>
    <t>09°42′00″</t>
  </si>
  <si>
    <t>31°02′24″</t>
  </si>
  <si>
    <t>Alagoas (Oceânico)</t>
  </si>
  <si>
    <t>18°42′00″</t>
  </si>
  <si>
    <t>38°46′12″</t>
  </si>
  <si>
    <t>Bahia (BA)</t>
  </si>
  <si>
    <t>18°18′00″</t>
  </si>
  <si>
    <t>33°54′36″</t>
  </si>
  <si>
    <t>Bahia (Oceânico)</t>
  </si>
  <si>
    <t>21°31′12″</t>
  </si>
  <si>
    <t>80°39′00″</t>
  </si>
  <si>
    <t>Golfo de Batabanó</t>
  </si>
  <si>
    <t>21°24′36″</t>
  </si>
  <si>
    <t>, 82°19′12″</t>
  </si>
  <si>
    <t>21°10′48″</t>
  </si>
  <si>
    <t>84°51′36″</t>
  </si>
  <si>
    <t>20°00′00″</t>
  </si>
  <si>
    <t>84°53′24″</t>
  </si>
  <si>
    <t>19°16′12″</t>
  </si>
  <si>
    <t>82°25′12″</t>
  </si>
  <si>
    <t>20°10′12″</t>
  </si>
  <si>
    <t>79°54′00″</t>
  </si>
  <si>
    <t>21°34′</t>
  </si>
  <si>
    <t>83°31′</t>
  </si>
  <si>
    <t>South of Cuba</t>
  </si>
  <si>
    <t>02°53′22″</t>
  </si>
  <si>
    <t>Cruz, R. (2013)</t>
  </si>
  <si>
    <t>Crustaceana_86_3_336_356_ASSESSMENT_OF_W</t>
  </si>
  <si>
    <t>04°06′06″</t>
  </si>
  <si>
    <t>04°53′26″</t>
  </si>
  <si>
    <t>37°14′37″</t>
  </si>
  <si>
    <t>Rio Grande do Norte</t>
  </si>
  <si>
    <t>05°12′06″</t>
  </si>
  <si>
    <t>35°27′27″</t>
  </si>
  <si>
    <t>06°30′11″</t>
  </si>
  <si>
    <t>34°57′30″</t>
  </si>
  <si>
    <t>Paraíba</t>
  </si>
  <si>
    <t>06°57′57″</t>
  </si>
  <si>
    <t>34°51′22″</t>
  </si>
  <si>
    <t>07°33′07″</t>
  </si>
  <si>
    <t>34°50′39″</t>
  </si>
  <si>
    <t>Pernambuco</t>
  </si>
  <si>
    <t>08°02′54″</t>
  </si>
  <si>
    <t>34°52′42″</t>
  </si>
  <si>
    <t>01°45′10″</t>
  </si>
  <si>
    <t>48°12′56″</t>
  </si>
  <si>
    <t>SANTOS, Francisco José da Silva (2019)</t>
  </si>
  <si>
    <t>sim</t>
  </si>
  <si>
    <t>Plataforma Continental Amazônica</t>
  </si>
  <si>
    <t>2019_art_fjdassantos</t>
  </si>
  <si>
    <t>01°43′38″</t>
  </si>
  <si>
    <t>48°26′22″</t>
  </si>
  <si>
    <t>02°00′35″</t>
  </si>
  <si>
    <t>48°12′39″</t>
  </si>
  <si>
    <t>02°39′44″</t>
  </si>
  <si>
    <t>49°08′56″</t>
  </si>
  <si>
    <t>03°29′13″</t>
  </si>
  <si>
    <t>49°47′04″</t>
  </si>
  <si>
    <t>07°09′33″</t>
  </si>
  <si>
    <t>34°47′08″</t>
  </si>
  <si>
    <t>OLIVEIRA, Patricia Aguiar de (2009)</t>
  </si>
  <si>
    <t>Praia do Seixas (PB)</t>
  </si>
  <si>
    <t>Caracterizacao_populacional_das_lagostas</t>
  </si>
  <si>
    <t>07°10′47″</t>
  </si>
  <si>
    <t>34°46′56″</t>
  </si>
  <si>
    <t>Praia da Penha(PB)</t>
  </si>
  <si>
    <t>08°30′41″</t>
  </si>
  <si>
    <t>35°00′02″</t>
  </si>
  <si>
    <t>GIRALDES, Bruno W (2012)</t>
  </si>
  <si>
    <t>08°30′31″</t>
  </si>
  <si>
    <t>34°59′58″</t>
  </si>
  <si>
    <t>08°30′23″</t>
  </si>
  <si>
    <t>34°59′57″</t>
  </si>
  <si>
    <t>08°30′32″</t>
  </si>
  <si>
    <t>34°59′56″</t>
  </si>
  <si>
    <t>08°30′25″</t>
  </si>
  <si>
    <t>34°59′54″</t>
  </si>
  <si>
    <t>08°30′21″</t>
  </si>
  <si>
    <t>34°59′52″</t>
  </si>
  <si>
    <t>08°30′24″</t>
  </si>
  <si>
    <t>08°30′42″</t>
  </si>
  <si>
    <t>34°59′55″</t>
  </si>
  <si>
    <t>34°59′53″</t>
  </si>
  <si>
    <t>16°24′18″</t>
  </si>
  <si>
    <t>88°10′42″</t>
  </si>
  <si>
    <t>BEHRINGER, Donald C (2011)</t>
  </si>
  <si>
    <t>Belize</t>
  </si>
  <si>
    <t>d094p153</t>
  </si>
  <si>
    <t>19°09′17″</t>
  </si>
  <si>
    <t>87°11′43″</t>
  </si>
  <si>
    <t>México - Sian Ka'an</t>
  </si>
  <si>
    <t>21°53′01″</t>
  </si>
  <si>
    <t>81°42′21″</t>
  </si>
  <si>
    <t>Cuba - Golfo de Batabanó</t>
  </si>
  <si>
    <t>17°46′53″</t>
  </si>
  <si>
    <t>65°07′50″</t>
  </si>
  <si>
    <t>lhas Virgens/Porto Rico</t>
  </si>
  <si>
    <t>15°49′37″</t>
  </si>
  <si>
    <t>62°10′49″</t>
  </si>
  <si>
    <t>Dominica/Guadalupe</t>
  </si>
  <si>
    <t>24°28′24″</t>
  </si>
  <si>
    <t>81°03′19″</t>
  </si>
  <si>
    <t>Flórida - Keys</t>
  </si>
  <si>
    <t>12°11′35″</t>
  </si>
  <si>
    <t>83°25′46″</t>
  </si>
  <si>
    <t>MOSS, Jessica (2013)</t>
  </si>
  <si>
    <t>América Central (Nicarágua, Honduras e Belize)</t>
  </si>
  <si>
    <t>d104p129</t>
  </si>
  <si>
    <t>15°27′28″</t>
  </si>
  <si>
    <t>83°42′30″</t>
  </si>
  <si>
    <t>16°06′27″</t>
  </si>
  <si>
    <t>86°00′39″</t>
  </si>
  <si>
    <t>15°58′47″</t>
  </si>
  <si>
    <t>87°42′42″</t>
  </si>
  <si>
    <t>16°54′33″</t>
  </si>
  <si>
    <t>88°02′54″</t>
  </si>
  <si>
    <t>21°36′45″</t>
  </si>
  <si>
    <t>89°31′40″</t>
  </si>
  <si>
    <t>Norte do Golfo e Grandes Antilhas</t>
  </si>
  <si>
    <t>19°16′24″</t>
  </si>
  <si>
    <t>81°14′12″</t>
  </si>
  <si>
    <t>19°40′37″</t>
  </si>
  <si>
    <t>80°01′17″</t>
  </si>
  <si>
    <t>19°53′57″</t>
  </si>
  <si>
    <t>75°00′52″</t>
  </si>
  <si>
    <t>18°21′10″</t>
  </si>
  <si>
    <t>69°52′10″</t>
  </si>
  <si>
    <t>19°42′37″</t>
  </si>
  <si>
    <t>70°03′14″</t>
  </si>
  <si>
    <t>17°55′50″</t>
  </si>
  <si>
    <t>66°21′14″</t>
  </si>
  <si>
    <t>17°15′20″</t>
  </si>
  <si>
    <t>62°42′40″</t>
  </si>
  <si>
    <t>Pequenas Antilhas e América do Sul</t>
  </si>
  <si>
    <t>14°33′56″</t>
  </si>
  <si>
    <t>61°03′00″</t>
  </si>
  <si>
    <t>11°03′46″</t>
  </si>
  <si>
    <t>64°01′30″</t>
  </si>
  <si>
    <t>10°57′51″</t>
  </si>
  <si>
    <t>65°15′53″</t>
  </si>
  <si>
    <t>12°02′08″</t>
  </si>
  <si>
    <t>68°49′30″</t>
  </si>
  <si>
    <t>12°22′32″</t>
  </si>
  <si>
    <t>69°06′45″</t>
  </si>
  <si>
    <t>23°10′42″</t>
  </si>
  <si>
    <t>75°04′08″</t>
  </si>
  <si>
    <t>Arquipélago das Bahamas</t>
  </si>
  <si>
    <t>25°09′08″</t>
  </si>
  <si>
    <t>76°07′55″</t>
  </si>
  <si>
    <t>23°37′51″</t>
  </si>
  <si>
    <t>77°40′56″</t>
  </si>
  <si>
    <t>24°22′23″</t>
  </si>
  <si>
    <t>78°08′46″</t>
  </si>
  <si>
    <t>24°38′59″</t>
  </si>
  <si>
    <t>78°29′17″</t>
  </si>
  <si>
    <t>25°45′28″</t>
  </si>
  <si>
    <t>77°52′41″</t>
  </si>
  <si>
    <t>26°35′20″</t>
  </si>
  <si>
    <t>78°43′54″</t>
  </si>
  <si>
    <t>25°32′00″</t>
  </si>
  <si>
    <t>79°17′00″</t>
  </si>
  <si>
    <t>KANCIRUK, Paul (1976)</t>
  </si>
  <si>
    <t>Bimini, Bahamas</t>
  </si>
  <si>
    <t>s1</t>
  </si>
  <si>
    <t>25°40′15″</t>
  </si>
  <si>
    <t>79°18′30″</t>
  </si>
  <si>
    <t>25°44′51″</t>
  </si>
  <si>
    <t>79°17′49″</t>
  </si>
  <si>
    <t>25°47′19″</t>
  </si>
  <si>
    <t>79°15′34″</t>
  </si>
  <si>
    <t>25°39′02″</t>
  </si>
  <si>
    <t>79°17′36″</t>
  </si>
  <si>
    <t>26°02′00″</t>
  </si>
  <si>
    <t>79°06′00″</t>
  </si>
  <si>
    <t>24°43′57″</t>
  </si>
  <si>
    <t>81°05′38″</t>
  </si>
  <si>
    <t>BEHRINGER, Donald C (2008)</t>
  </si>
  <si>
    <t>Florida Keys, USA</t>
  </si>
  <si>
    <t>1-s2.0-S002209810800097X-main</t>
  </si>
  <si>
    <t>24°44′56″</t>
  </si>
  <si>
    <t>81°02′50″</t>
  </si>
  <si>
    <t>24°46′10″</t>
  </si>
  <si>
    <t>80°58′45″</t>
  </si>
  <si>
    <t>24°47′50″</t>
  </si>
  <si>
    <t>81°01′35″</t>
  </si>
  <si>
    <t>24°49′35″</t>
  </si>
  <si>
    <t>80°58′55″</t>
  </si>
  <si>
    <t>24°49′15″</t>
  </si>
  <si>
    <t>80°55′21″</t>
  </si>
  <si>
    <t>24°49′05″</t>
  </si>
  <si>
    <t>80°52′01″</t>
  </si>
  <si>
    <t>24°52′08″</t>
  </si>
  <si>
    <t>80°50′48″</t>
  </si>
  <si>
    <t>24°51′13″</t>
  </si>
  <si>
    <t>80°46′57″</t>
  </si>
  <si>
    <t>24°53′06″</t>
  </si>
  <si>
    <t>80°45′27″</t>
  </si>
  <si>
    <t>24°41′55″</t>
  </si>
  <si>
    <t>81°23′50″</t>
  </si>
  <si>
    <t>24°44′45″</t>
  </si>
  <si>
    <t>81°26′07″</t>
  </si>
  <si>
    <t>19°41′54″</t>
  </si>
  <si>
    <t>87°27′43″</t>
  </si>
  <si>
    <t>BRIONES-FOURZÁN, Patricia (2019)</t>
  </si>
  <si>
    <t>Bahía de la Ascensión, México</t>
  </si>
  <si>
    <t>0718-560X-lajar-47-04-0694</t>
  </si>
  <si>
    <t>19°43′35″</t>
  </si>
  <si>
    <t>87°25′06″</t>
  </si>
  <si>
    <t>19°44′04″</t>
  </si>
  <si>
    <t>87°25′23″</t>
  </si>
  <si>
    <t>19°46′33″</t>
  </si>
  <si>
    <t>87°28′37″</t>
  </si>
  <si>
    <t>19°38′59″</t>
  </si>
  <si>
    <t>87°27′21″</t>
  </si>
  <si>
    <t>19°38′36″</t>
  </si>
  <si>
    <t>87°27′36″</t>
  </si>
  <si>
    <t>22°20′56″</t>
  </si>
  <si>
    <t>82°20′09″</t>
  </si>
  <si>
    <t>LOPEZTEGUI CASTILLO, Alexander; (2021)</t>
  </si>
  <si>
    <t>0034-7744-rbt-68-04-1346</t>
  </si>
  <si>
    <t>22°13′21″</t>
  </si>
  <si>
    <t>82°22′28″</t>
  </si>
  <si>
    <t>22°18′23″</t>
  </si>
  <si>
    <t>82°45′03″</t>
  </si>
  <si>
    <t>83°04′41″</t>
  </si>
  <si>
    <t>22°10′42″</t>
  </si>
  <si>
    <t>83°12′51″</t>
  </si>
  <si>
    <t>22°03′43″</t>
  </si>
  <si>
    <t>83°04′22″</t>
  </si>
  <si>
    <t>21°55′27″</t>
  </si>
  <si>
    <t>82°47′22″</t>
  </si>
  <si>
    <t>21°45′33″</t>
  </si>
  <si>
    <t>82°29′48″</t>
  </si>
  <si>
    <t>21°35′36″</t>
  </si>
  <si>
    <t>82°20′44″</t>
  </si>
  <si>
    <t>21°43′01″</t>
  </si>
  <si>
    <t>82°03′38″</t>
  </si>
  <si>
    <t>21°52′06″</t>
  </si>
  <si>
    <t>81°49′32″</t>
  </si>
  <si>
    <t>22°02′00″</t>
  </si>
  <si>
    <t>81°35′18″</t>
  </si>
  <si>
    <t>20°32′36″</t>
  </si>
  <si>
    <t>78°21′00″</t>
  </si>
  <si>
    <t>MARTÍNEZ-COELLO, Diana (2022)</t>
  </si>
  <si>
    <t>Santa cruz del sur</t>
  </si>
  <si>
    <t>0718-1957-revbiolmar-57-01-34</t>
  </si>
  <si>
    <t>20°40′14″</t>
  </si>
  <si>
    <t>78°41′15″</t>
  </si>
  <si>
    <t>21°01′12″</t>
  </si>
  <si>
    <t>79°11′32″</t>
  </si>
  <si>
    <t>22°02′36″</t>
  </si>
  <si>
    <t>81°38′11″</t>
  </si>
  <si>
    <t>22°05′54″</t>
  </si>
  <si>
    <t>81°33′56″</t>
  </si>
  <si>
    <t>22°01′07″</t>
  </si>
  <si>
    <t>81°21′43″</t>
  </si>
  <si>
    <t>09°44′15″</t>
  </si>
  <si>
    <t>82°49′28″</t>
  </si>
  <si>
    <t>GONZÁLEZ, Oscar(2011)</t>
  </si>
  <si>
    <t>Coast of Costa Rica</t>
  </si>
  <si>
    <t>art17</t>
  </si>
  <si>
    <t>82°49′19″</t>
  </si>
  <si>
    <t>09°44′48″</t>
  </si>
  <si>
    <t>82°49′08″</t>
  </si>
  <si>
    <t>09°44′36″</t>
  </si>
  <si>
    <t>82°48′23″</t>
  </si>
  <si>
    <t>09°44′29″</t>
  </si>
  <si>
    <t>82°48′32″</t>
  </si>
  <si>
    <t>09°44′16″</t>
  </si>
  <si>
    <t>82°48′30″</t>
  </si>
  <si>
    <t>TOURINHO, Julia L. (2012)</t>
  </si>
  <si>
    <t>s00227-012-1977-7</t>
  </si>
  <si>
    <t>13°32′10″</t>
  </si>
  <si>
    <t>21°19′18″</t>
  </si>
  <si>
    <t>23°11′07″</t>
  </si>
  <si>
    <t>10°07′02″</t>
  </si>
  <si>
    <t>08°57′39″</t>
  </si>
  <si>
    <t>05°45′48″</t>
  </si>
  <si>
    <t>04°00′30″</t>
  </si>
  <si>
    <t>00°35′01″</t>
  </si>
  <si>
    <t>02°13′36″</t>
  </si>
  <si>
    <t>38°29′42″</t>
  </si>
  <si>
    <t>40°36′28″</t>
  </si>
  <si>
    <t>42°59′14″</t>
  </si>
  <si>
    <t>35°48′03″</t>
  </si>
  <si>
    <t>34°51′27″</t>
  </si>
  <si>
    <t>34°55′53″</t>
  </si>
  <si>
    <t>37°53′32″</t>
  </si>
  <si>
    <t>48°13′07″</t>
  </si>
  <si>
    <t>44°07′04″</t>
  </si>
  <si>
    <t>Talvez meripurpuratus</t>
  </si>
  <si>
    <t>Talvez argus</t>
  </si>
  <si>
    <t>10°39′46″</t>
  </si>
  <si>
    <t>11°46′07″</t>
  </si>
  <si>
    <t>11°34′37″</t>
  </si>
  <si>
    <t>66°54′58″</t>
  </si>
  <si>
    <t>72°44′40″</t>
  </si>
  <si>
    <t>73°13′25″</t>
  </si>
  <si>
    <t>11°24′46″</t>
  </si>
  <si>
    <t>73°55′49″</t>
  </si>
  <si>
    <t>12°36′05″</t>
  </si>
  <si>
    <t>82°48′45″</t>
  </si>
  <si>
    <t>(arquivo na pasta LIDOS)
No artigo eles fazem um sequenciamento genético sobre a argus e colocam como "Panulirus aff. argus" e eu fui pesquisar e diz que é para significar quando a espécie é parecida mas n é necessariamente a mesma. Como em 2012 não tem ainda a descrição da meripurpurathus eles não identificaram assim. Então,deixei a caixa em branco mas o nome do arquivo esta ai porque queria que vc desse uma verificada para ter certeza!
mas ja salvei os pontos geográficos e as coordenadas, é so essa questão da espécie.</t>
  </si>
  <si>
    <t>Diversity_and_Distribution_of_Mid-_to_Late-Stage_P</t>
  </si>
  <si>
    <t>MUÑOZ DE COTE-HERNÁNDEZ, Rubén (2022)</t>
  </si>
  <si>
    <t>19°05′44″</t>
  </si>
  <si>
    <t>19°01′25″</t>
  </si>
  <si>
    <t>18°57′22″</t>
  </si>
  <si>
    <t>18°51′45″</t>
  </si>
  <si>
    <t>19°26′27″</t>
  </si>
  <si>
    <t>19°24′32″</t>
  </si>
  <si>
    <t>19°22′01″</t>
  </si>
  <si>
    <t>19°18′32″</t>
  </si>
  <si>
    <t>19°14′28″</t>
  </si>
  <si>
    <t>19°11′54″</t>
  </si>
  <si>
    <t>86°15′33″</t>
  </si>
  <si>
    <t>86°25′23″</t>
  </si>
  <si>
    <t>86°37′24″</t>
  </si>
  <si>
    <t>86°51′20″</t>
  </si>
  <si>
    <t>87°02′45″</t>
  </si>
  <si>
    <t>87°14′30″</t>
  </si>
  <si>
    <t>86°42′33″</t>
  </si>
  <si>
    <t>86°57′43″</t>
  </si>
  <si>
    <t>87°11′20″</t>
  </si>
  <si>
    <t>87°23′22″</t>
  </si>
  <si>
    <t>Yucatán</t>
  </si>
  <si>
    <t>19°49′18″</t>
  </si>
  <si>
    <t>19°45′51″</t>
  </si>
  <si>
    <t>19°59′09″</t>
  </si>
  <si>
    <t>20°00′22″</t>
  </si>
  <si>
    <t>19°58′01″</t>
  </si>
  <si>
    <t>20°00′33″</t>
  </si>
  <si>
    <t>20°02′16″</t>
  </si>
  <si>
    <t>20°01′15″</t>
  </si>
  <si>
    <t>20°14′26″</t>
  </si>
  <si>
    <t>20°13′06″</t>
  </si>
  <si>
    <t>20°08′38″</t>
  </si>
  <si>
    <t>20°12′54″</t>
  </si>
  <si>
    <t>20°13′16″</t>
  </si>
  <si>
    <t>86°37′47″</t>
  </si>
  <si>
    <t>86°50′07″</t>
  </si>
  <si>
    <t>86°59′43″</t>
  </si>
  <si>
    <t>87°08′06″</t>
  </si>
  <si>
    <t>87°16′43″</t>
  </si>
  <si>
    <t>86°30′41″</t>
  </si>
  <si>
    <t>86°41′19″</t>
  </si>
  <si>
    <t>86°58′42″</t>
  </si>
  <si>
    <t>87°07′18″</t>
  </si>
  <si>
    <t>87°13′16″</t>
  </si>
  <si>
    <t>87°26′19″</t>
  </si>
  <si>
    <t>86°59′06″</t>
  </si>
  <si>
    <t>87°12′24″</t>
  </si>
  <si>
    <t>87°24′21″</t>
  </si>
  <si>
    <t>20°41′46″</t>
  </si>
  <si>
    <t>20°32′40″</t>
  </si>
  <si>
    <t>20°30′05″</t>
  </si>
  <si>
    <t>20°31′51″</t>
  </si>
  <si>
    <t>20°47′18″</t>
  </si>
  <si>
    <t>21°02′26″</t>
  </si>
  <si>
    <t>20°57′52″</t>
  </si>
  <si>
    <t>20°52′54″</t>
  </si>
  <si>
    <t>20°50′55″</t>
  </si>
  <si>
    <t>20°47′16″</t>
  </si>
  <si>
    <t>21°15′14″</t>
  </si>
  <si>
    <t>21°12′57″</t>
  </si>
  <si>
    <t>21°09′28″</t>
  </si>
  <si>
    <t>21°05′58″</t>
  </si>
  <si>
    <t>21°36′50″</t>
  </si>
  <si>
    <t>21°35′49″</t>
  </si>
  <si>
    <t>21°34′51″</t>
  </si>
  <si>
    <t>21°29′14″</t>
  </si>
  <si>
    <t>85°31′58″</t>
  </si>
  <si>
    <t>85°59′26″</t>
  </si>
  <si>
    <t>86°07′40″</t>
  </si>
  <si>
    <t>86°17′07″</t>
  </si>
  <si>
    <t>85°45′38″</t>
  </si>
  <si>
    <t>86°06′54″</t>
  </si>
  <si>
    <t>86°16′38″</t>
  </si>
  <si>
    <t>86°29′13″</t>
  </si>
  <si>
    <t>85°46′28″</t>
  </si>
  <si>
    <t>85°53′52″</t>
  </si>
  <si>
    <t>86°08′30″</t>
  </si>
  <si>
    <t>86°19′30″</t>
  </si>
  <si>
    <t>86°29′47″</t>
  </si>
  <si>
    <t>86°45′57″</t>
  </si>
  <si>
    <t>85°59′29″</t>
  </si>
  <si>
    <t>86°20′32″</t>
  </si>
  <si>
    <t>86°29′49″</t>
  </si>
  <si>
    <t>86°52′49″</t>
  </si>
  <si>
    <t>19°48′21″</t>
  </si>
  <si>
    <t>BOLAÑOS-CUBILLOS, Nacor (2016)</t>
  </si>
  <si>
    <t>Cayo Bolivar</t>
  </si>
  <si>
    <t>Serranilla </t>
  </si>
  <si>
    <t>Serrana Bank</t>
  </si>
  <si>
    <t>Alice Shoal</t>
  </si>
  <si>
    <t>Bajo Nuevo</t>
  </si>
  <si>
    <t>Roncador</t>
  </si>
  <si>
    <t xml:space="preserve">Providencia </t>
  </si>
  <si>
    <t>San Andrés</t>
  </si>
  <si>
    <t>Cayos de Albuquerque</t>
  </si>
  <si>
    <t>Variación fenotípica de la langosta espinosa Panulirus argus (Decapoda_ Paniluridae) en el Caribe Suroccidental</t>
  </si>
  <si>
    <t>12°24′56″</t>
  </si>
  <si>
    <t>81°28′28″</t>
  </si>
  <si>
    <t>79°52′54″</t>
  </si>
  <si>
    <t>79°22′00″</t>
  </si>
  <si>
    <t>78°40′01″</t>
  </si>
  <si>
    <t>80°16′00″</t>
  </si>
  <si>
    <t>80°03′60″</t>
  </si>
  <si>
    <t>81°21′13″</t>
  </si>
  <si>
    <t>81°40′59″</t>
  </si>
  <si>
    <t>81°51′00″</t>
  </si>
  <si>
    <t>12°09′57″</t>
  </si>
  <si>
    <t>12°34′38″</t>
  </si>
  <si>
    <t>13°23′16″</t>
  </si>
  <si>
    <t>13°33′57″</t>
  </si>
  <si>
    <t>14°23′58″</t>
  </si>
  <si>
    <t>15°52′08″</t>
  </si>
  <si>
    <t>16°04′56″</t>
  </si>
  <si>
    <t>15°51′53″</t>
  </si>
  <si>
    <t>Panulirus guttatus</t>
  </si>
  <si>
    <t>BAISRE, Julio A. (1994)</t>
  </si>
  <si>
    <t xml:space="preserve">20°00′00″ </t>
  </si>
  <si>
    <t>18°55′00″</t>
  </si>
  <si>
    <t>19°46′00″</t>
  </si>
  <si>
    <t>20°24′00″</t>
  </si>
  <si>
    <t>19°40′00″</t>
  </si>
  <si>
    <t>21°25′00″</t>
  </si>
  <si>
    <t>21°30′00″</t>
  </si>
  <si>
    <t>19°30′00″</t>
  </si>
  <si>
    <t>19°50′00″</t>
  </si>
  <si>
    <t>21°40′00″</t>
  </si>
  <si>
    <t>19°36′00″</t>
  </si>
  <si>
    <t>20°10′00″</t>
  </si>
  <si>
    <t>20°25′00″</t>
  </si>
  <si>
    <t>20°40′00″</t>
  </si>
  <si>
    <t xml:space="preserve">79°25′00″ </t>
  </si>
  <si>
    <t xml:space="preserve">79°35′00″ </t>
  </si>
  <si>
    <t xml:space="preserve">78°35′00″ </t>
  </si>
  <si>
    <t>76°00′00″</t>
  </si>
  <si>
    <t xml:space="preserve">80°40′00″ </t>
  </si>
  <si>
    <t xml:space="preserve">80°55′00″ </t>
  </si>
  <si>
    <t>80°42′00″</t>
  </si>
  <si>
    <t>75°00′00″</t>
  </si>
  <si>
    <t>78°00′00″</t>
  </si>
  <si>
    <t>75°25′00″</t>
  </si>
  <si>
    <t>78°30′00″</t>
  </si>
  <si>
    <t>76°42′00″</t>
  </si>
  <si>
    <t>75°20′00″</t>
  </si>
  <si>
    <t xml:space="preserve">78°00′00″ </t>
  </si>
  <si>
    <t xml:space="preserve">Cuba </t>
  </si>
  <si>
    <t>The National Institute of Parks (INPARQUES)</t>
  </si>
  <si>
    <t>LÓPEZ-ORDÓÑEZ, T. (2009)</t>
  </si>
  <si>
    <t>10°47′12″</t>
  </si>
  <si>
    <t>68°14′00″</t>
  </si>
  <si>
    <t>10°55′30″</t>
  </si>
  <si>
    <t>68°14′32″</t>
  </si>
  <si>
    <t>long(w)</t>
  </si>
  <si>
    <t>SEGURA-GARCÍA, Iris (2003)</t>
  </si>
  <si>
    <t>Puerto Morelos, Mexico</t>
  </si>
  <si>
    <t>20°54′00″</t>
  </si>
  <si>
    <t>86°54′00″</t>
  </si>
  <si>
    <t>BRIONES-FOURZÁN, Patricia (2006)</t>
  </si>
  <si>
    <t>03°49′00″</t>
  </si>
  <si>
    <t>33°04′00″</t>
  </si>
  <si>
    <t>gaeta2019.2</t>
  </si>
  <si>
    <t>03°50′00″</t>
  </si>
  <si>
    <t>33°50′00″</t>
  </si>
  <si>
    <t>HOLTHUIS, Lipke Bijdeley. (1961)</t>
  </si>
  <si>
    <t>LOZANO-ÁLVAREZ, Enrique (2002)</t>
  </si>
  <si>
    <t>87°56′00″</t>
  </si>
  <si>
    <t>HOMING_AND_ORIENTATION_IN_THE_SPOTTED_SP</t>
  </si>
  <si>
    <t>CAILLOUET JUNIOR, Charles (1971)</t>
  </si>
  <si>
    <t>25°45′35″</t>
  </si>
  <si>
    <t>80°07′22″</t>
  </si>
  <si>
    <t>Miami Beach</t>
  </si>
  <si>
    <t>s11</t>
  </si>
  <si>
    <t>SUTCLIFFE, Robert E (1953)</t>
  </si>
  <si>
    <t>Bermudas</t>
  </si>
  <si>
    <t>W. H. Sutcliffe-NotesBiologySpiny-1953</t>
  </si>
  <si>
    <t>W. H. Sutcliffe-NotesBiologySpiny-1954</t>
  </si>
  <si>
    <t>W. H. Sutcliffe-NotesBiologySpiny-1955</t>
  </si>
  <si>
    <t>W. H. Sutcliffe-NotesBiologySpiny-1956</t>
  </si>
  <si>
    <t>W. H. Sutcliffe-NotesBiologySpiny-1957</t>
  </si>
  <si>
    <t>W. H. Sutcliffe-NotesBiologySpiny-1958</t>
  </si>
  <si>
    <t>W. H. Sutcliffe-NotesBiologySpiny-1959</t>
  </si>
  <si>
    <t>W. H. Sutcliffe-NotesBiologySpiny-1960</t>
  </si>
  <si>
    <t>W. H. Sutcliffe-NotesBiologySpiny-1961</t>
  </si>
  <si>
    <t>W. H. Sutcliffe-NotesBiologySpiny-1962</t>
  </si>
  <si>
    <t>W. H. Sutcliffe-NotesBiologySpiny-1963</t>
  </si>
  <si>
    <t>W. H. Sutcliffe-NotesBiologySpiny-1964</t>
  </si>
  <si>
    <t>W. H. Sutcliffe-NotesBiologySpiny-1965</t>
  </si>
  <si>
    <t>W. H. Sutcliffe-NotesBiologySpiny-1966</t>
  </si>
  <si>
    <t>W. H. Sutcliffe-NotesBiologySpiny-1967</t>
  </si>
  <si>
    <t>W. H. Sutcliffe-NotesBiologySpiny-1968</t>
  </si>
  <si>
    <t>W. H. Sutcliffe-NotesBiologySpiny-1969</t>
  </si>
  <si>
    <t>W. H. Sutcliffe-NotesBiologySpiny-1970</t>
  </si>
  <si>
    <t>W. H. Sutcliffe-NotesBiologySpiny-1971</t>
  </si>
  <si>
    <t>W. H. Sutcliffe-NotesBiologySpiny-1972</t>
  </si>
  <si>
    <t>W. H. Sutcliffe-NotesBiologySpiny-1973</t>
  </si>
  <si>
    <t>W. H. Sutcliffe-NotesBiologySpiny-1974</t>
  </si>
  <si>
    <t>W. H. Sutcliffe-NotesBiologySpiny-1975</t>
  </si>
  <si>
    <t>W. H. Sutcliffe-NotesBiologySpiny-1976</t>
  </si>
  <si>
    <t>W. H. Sutcliffe-NotesBiologySpiny-1977</t>
  </si>
  <si>
    <t>W. H. Sutcliffe-NotesBiologySpiny-1978</t>
  </si>
  <si>
    <t>W. H. Sutcliffe-NotesBiologySpiny-1979</t>
  </si>
  <si>
    <t>W. H. Sutcliffe-NotesBiologySpiny-1980</t>
  </si>
  <si>
    <t>W. H. Sutcliffe-NotesBiologySpiny-1981</t>
  </si>
  <si>
    <t>W. H. Sutcliffe-NotesBiologySpiny-1982</t>
  </si>
  <si>
    <t>W. H. Sutcliffe-NotesBiologySpiny-1983</t>
  </si>
  <si>
    <t>W. H. Sutcliffe-NotesBiologySpiny-1984</t>
  </si>
  <si>
    <t>W. H. Sutcliffe-NotesBiologySpiny-1985</t>
  </si>
  <si>
    <t>W. H. Sutcliffe-NotesBiologySpiny-1986</t>
  </si>
  <si>
    <t>W. H. Sutcliffe-NotesBiologySpiny-1987</t>
  </si>
  <si>
    <t>W. H. Sutcliffe-NotesBiologySpiny-1988</t>
  </si>
  <si>
    <t>W. H. Sutcliffe-NotesBiologySpiny-1989</t>
  </si>
  <si>
    <t>W. H. Sutcliffe-NotesBiologySpiny-1990</t>
  </si>
  <si>
    <t>W. H. Sutcliffe-NotesBiologySpiny-1991</t>
  </si>
  <si>
    <t>W. H. Sutcliffe-NotesBiologySpiny-1992</t>
  </si>
  <si>
    <t>W. H. Sutcliffe-NotesBiologySpiny-1993</t>
  </si>
  <si>
    <t>W. H. Sutcliffe-NotesBiologySpiny-1994</t>
  </si>
  <si>
    <t xml:space="preserve">64°50′02″ </t>
  </si>
  <si>
    <t xml:space="preserve">32°14′52″ </t>
  </si>
  <si>
    <t xml:space="preserve">32°15′48″ </t>
  </si>
  <si>
    <t xml:space="preserve">32°16′17″ </t>
  </si>
  <si>
    <t xml:space="preserve">32°20′04″ </t>
  </si>
  <si>
    <t xml:space="preserve">32°20′10″ </t>
  </si>
  <si>
    <t xml:space="preserve">32°20′15″ </t>
  </si>
  <si>
    <t xml:space="preserve">32°20′00″ </t>
  </si>
  <si>
    <t xml:space="preserve">32°20′54″ </t>
  </si>
  <si>
    <t xml:space="preserve">32°20′57″ </t>
  </si>
  <si>
    <t xml:space="preserve">32°21′14″ </t>
  </si>
  <si>
    <t xml:space="preserve">32°21′27″ </t>
  </si>
  <si>
    <t xml:space="preserve">32°21′36″ </t>
  </si>
  <si>
    <t xml:space="preserve">32°21′40″ </t>
  </si>
  <si>
    <t xml:space="preserve">32°23′19″ </t>
  </si>
  <si>
    <t xml:space="preserve">32°23′43″ </t>
  </si>
  <si>
    <t xml:space="preserve">32°24′05″ </t>
  </si>
  <si>
    <t xml:space="preserve">32°24′08″ </t>
  </si>
  <si>
    <t xml:space="preserve">32°23′54″ </t>
  </si>
  <si>
    <t xml:space="preserve">32°23′57″ </t>
  </si>
  <si>
    <t xml:space="preserve">32°25′16″ </t>
  </si>
  <si>
    <t xml:space="preserve">32°26′34″ </t>
  </si>
  <si>
    <t xml:space="preserve">32°27′45″ </t>
  </si>
  <si>
    <t xml:space="preserve">32°28′28″ </t>
  </si>
  <si>
    <t xml:space="preserve">32°24′12″ </t>
  </si>
  <si>
    <t xml:space="preserve">32°21′51″ </t>
  </si>
  <si>
    <t xml:space="preserve">32°21′06″ </t>
  </si>
  <si>
    <t xml:space="preserve">32°20′33″ </t>
  </si>
  <si>
    <t xml:space="preserve">32°20′37″ </t>
  </si>
  <si>
    <t xml:space="preserve">32°20′02″ </t>
  </si>
  <si>
    <t xml:space="preserve">32°19′25″ </t>
  </si>
  <si>
    <t xml:space="preserve">32°19′49″ </t>
  </si>
  <si>
    <t xml:space="preserve">32°21′03″ </t>
  </si>
  <si>
    <t xml:space="preserve">32°20′41″ </t>
  </si>
  <si>
    <t xml:space="preserve">32°19′34″ </t>
  </si>
  <si>
    <t xml:space="preserve">32°19′00″ </t>
  </si>
  <si>
    <t xml:space="preserve">32°18′00″ </t>
  </si>
  <si>
    <t xml:space="preserve">32°16′51″ </t>
  </si>
  <si>
    <t xml:space="preserve">32°16′22″ </t>
  </si>
  <si>
    <t xml:space="preserve">32°15′59″ </t>
  </si>
  <si>
    <t xml:space="preserve">32°14′33″ </t>
  </si>
  <si>
    <t xml:space="preserve">64°56′12″ </t>
  </si>
  <si>
    <t xml:space="preserve">64°55′50″ </t>
  </si>
  <si>
    <t xml:space="preserve">64°54′46″ </t>
  </si>
  <si>
    <t xml:space="preserve">64°54′10″ </t>
  </si>
  <si>
    <t xml:space="preserve">64°53′59″ </t>
  </si>
  <si>
    <t xml:space="preserve">64°53′50″ </t>
  </si>
  <si>
    <t xml:space="preserve">64°53′55″ </t>
  </si>
  <si>
    <t xml:space="preserve">64°53′57″ </t>
  </si>
  <si>
    <t xml:space="preserve">64°49′10″ </t>
  </si>
  <si>
    <t xml:space="preserve">64°43′33″ </t>
  </si>
  <si>
    <t xml:space="preserve">64°43′49″ </t>
  </si>
  <si>
    <t xml:space="preserve">64°43′11″ </t>
  </si>
  <si>
    <t xml:space="preserve">64°43′01″ </t>
  </si>
  <si>
    <t xml:space="preserve">64°42′44″ </t>
  </si>
  <si>
    <t xml:space="preserve">64°44′25″ </t>
  </si>
  <si>
    <t xml:space="preserve">64°44′40″ </t>
  </si>
  <si>
    <t xml:space="preserve">64°44′59″ </t>
  </si>
  <si>
    <t xml:space="preserve">64°44′44″ </t>
  </si>
  <si>
    <t xml:space="preserve">64°43′53″ </t>
  </si>
  <si>
    <t xml:space="preserve">64°43′14″ </t>
  </si>
  <si>
    <t xml:space="preserve">64°42′43″ </t>
  </si>
  <si>
    <t xml:space="preserve">64°39′58″ </t>
  </si>
  <si>
    <t xml:space="preserve">64°40′01″ </t>
  </si>
  <si>
    <t xml:space="preserve">64°38′30″ </t>
  </si>
  <si>
    <t xml:space="preserve">64°38′36″ </t>
  </si>
  <si>
    <t xml:space="preserve">64°39′38″ </t>
  </si>
  <si>
    <t xml:space="preserve">64°39′13″ </t>
  </si>
  <si>
    <t xml:space="preserve">64°43′02″ </t>
  </si>
  <si>
    <t xml:space="preserve">64°42′35″ </t>
  </si>
  <si>
    <t xml:space="preserve">64°42′40″ </t>
  </si>
  <si>
    <t xml:space="preserve">64°42′10″ </t>
  </si>
  <si>
    <t xml:space="preserve">64°41′19″ </t>
  </si>
  <si>
    <t xml:space="preserve">64°39′59″ </t>
  </si>
  <si>
    <t xml:space="preserve">64°39′07″ </t>
  </si>
  <si>
    <t xml:space="preserve">64°39′15″ </t>
  </si>
  <si>
    <t xml:space="preserve">64°39′24″ </t>
  </si>
  <si>
    <t xml:space="preserve">64°40′33″ </t>
  </si>
  <si>
    <t xml:space="preserve">64°46′37″ </t>
  </si>
  <si>
    <t xml:space="preserve">64°47′42″ </t>
  </si>
  <si>
    <t>LOZANO-ÁLVAREZ, E. (2017)</t>
  </si>
  <si>
    <t>20°50′01″</t>
  </si>
  <si>
    <t>86°52′36″</t>
  </si>
  <si>
    <t>ROBERTSON, D. N. (2009)</t>
  </si>
  <si>
    <t>24°43′39″</t>
  </si>
  <si>
    <t xml:space="preserve">24°42′43″ </t>
  </si>
  <si>
    <t xml:space="preserve">24°42′48″ </t>
  </si>
  <si>
    <t>24°55′35″</t>
  </si>
  <si>
    <t xml:space="preserve">24°56′29″ </t>
  </si>
  <si>
    <t xml:space="preserve">24°57′36″ </t>
  </si>
  <si>
    <t>25°01′34″</t>
  </si>
  <si>
    <t>25°02′37″</t>
  </si>
  <si>
    <t xml:space="preserve">25°07′00″ </t>
  </si>
  <si>
    <t xml:space="preserve">80°21′10″ </t>
  </si>
  <si>
    <t xml:space="preserve"> 80°22′49″ </t>
  </si>
  <si>
    <t>80°24′42″</t>
  </si>
  <si>
    <t>80°33′12″</t>
  </si>
  <si>
    <t>80°33′40″</t>
  </si>
  <si>
    <t xml:space="preserve"> 80°35′30″ </t>
  </si>
  <si>
    <t xml:space="preserve"> 80°59′34″</t>
  </si>
  <si>
    <t>80°57′08″</t>
  </si>
  <si>
    <t xml:space="preserve"> 80°56′20″</t>
  </si>
  <si>
    <t>Recifes "Jardines"</t>
  </si>
  <si>
    <t>robertson2009</t>
  </si>
  <si>
    <t>robertson2010</t>
  </si>
  <si>
    <t>robertson2011</t>
  </si>
  <si>
    <t>robertson2012</t>
  </si>
  <si>
    <t>robertson2013</t>
  </si>
  <si>
    <t>robertson2014</t>
  </si>
  <si>
    <t>robertson2015</t>
  </si>
  <si>
    <t>robertson2016</t>
  </si>
  <si>
    <t>robertson2017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</si>
</sst>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u/>
      <sz val="11"/>
      <name val="Calibri"/>
      <family val="2"/>
      <charset val="1"/>
    </font>
    <font>
      <b/>
      <u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color rgb="FF1A1A1A"/>
      <name val="Segoe UI"/>
      <family val="2"/>
      <charset val="1"/>
    </font>
    <font>
      <sz val="11"/>
      <color rgb="FF111111"/>
      <name val="Calibri"/>
      <family val="2"/>
      <charset val="1"/>
    </font>
    <font>
      <b/>
      <sz val="12"/>
      <color theme="1"/>
      <name val="Arial"/>
      <family val="2"/>
      <charset val="1"/>
    </font>
    <font>
      <b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top"/>
    </xf>
    <xf numFmtId="0" fontId="4" fillId="0" borderId="0" xfId="0" applyFont="1" applyAlignment="1">
      <alignment horizontal="right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1"/>
  <sheetViews>
    <sheetView tabSelected="1" zoomScale="70" zoomScaleNormal="70" workbookViewId="0">
      <pane ySplit="1" topLeftCell="A458" activePane="bottomLeft" state="frozen"/>
      <selection pane="bottomLeft" activeCell="R470" sqref="R470"/>
    </sheetView>
  </sheetViews>
  <sheetFormatPr defaultColWidth="9.140625" defaultRowHeight="15" x14ac:dyDescent="0.25"/>
  <cols>
    <col min="1" max="1" width="7.42578125" style="1" bestFit="1" customWidth="1"/>
    <col min="2" max="2" width="25.140625" style="1" customWidth="1"/>
    <col min="3" max="3" width="9.140625" style="1"/>
    <col min="4" max="4" width="9.7109375" style="1" customWidth="1"/>
    <col min="5" max="5" width="13.42578125" style="2" customWidth="1"/>
    <col min="6" max="6" width="12.42578125" style="2" customWidth="1"/>
    <col min="7" max="7" width="48.42578125" style="1" bestFit="1" customWidth="1"/>
    <col min="8" max="8" width="15.28515625" style="1" customWidth="1"/>
    <col min="9" max="9" width="45" style="1" customWidth="1"/>
    <col min="10" max="11" width="9.140625" style="1"/>
    <col min="12" max="12" width="13" style="1" customWidth="1"/>
    <col min="13" max="15" width="9.140625" style="1"/>
    <col min="16" max="17" width="12.85546875" style="1" customWidth="1"/>
    <col min="18" max="18" width="84.5703125" style="1" customWidth="1"/>
    <col min="19" max="16384" width="9.140625" style="1"/>
  </cols>
  <sheetData>
    <row r="1" spans="1:18" x14ac:dyDescent="0.25">
      <c r="A1" s="1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733</v>
      </c>
      <c r="G1" s="3" t="s">
        <v>5</v>
      </c>
      <c r="H1" s="3" t="s">
        <v>6</v>
      </c>
      <c r="I1" s="3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6" t="s">
        <v>13</v>
      </c>
      <c r="P1" s="4" t="s">
        <v>14</v>
      </c>
      <c r="Q1" s="4" t="s">
        <v>15</v>
      </c>
      <c r="R1" s="3" t="s">
        <v>16</v>
      </c>
    </row>
    <row r="2" spans="1:18" ht="15.75" customHeight="1" x14ac:dyDescent="0.25">
      <c r="A2" s="1">
        <v>1</v>
      </c>
      <c r="B2" s="1" t="s">
        <v>17</v>
      </c>
      <c r="C2" s="1" t="s">
        <v>18</v>
      </c>
      <c r="D2" s="1" t="s">
        <v>19</v>
      </c>
      <c r="E2" s="7" t="s">
        <v>20</v>
      </c>
      <c r="F2" s="7" t="s">
        <v>21</v>
      </c>
      <c r="G2" s="7" t="s">
        <v>22</v>
      </c>
      <c r="H2" s="1" t="s">
        <v>23</v>
      </c>
      <c r="I2" s="8" t="s">
        <v>24</v>
      </c>
      <c r="J2" s="1" t="str">
        <f t="shared" ref="J2:J61" si="0">MID(E2,1,FIND("°",E2,1)-1)</f>
        <v>04</v>
      </c>
      <c r="K2" s="1" t="str">
        <f t="shared" ref="K2:K61" si="1">MID(E2,FIND("°",E2,1)+1,(FIND("′",E2,1)-FIND("°",E2,1))-1)</f>
        <v>26</v>
      </c>
      <c r="L2" s="1" t="e">
        <f t="shared" ref="L2:L61" si="2">MID(E2,FIND("′",E2,1)+1,(FIND("″",E2,1)-FIND("′",E2,1))-1)</f>
        <v>#VALUE!</v>
      </c>
      <c r="M2" s="1" t="str">
        <f t="shared" ref="M2:M61" si="3">MID(F2,1,FIND("°",F2,1)-1)</f>
        <v>51</v>
      </c>
      <c r="N2" s="1" t="str">
        <f t="shared" ref="N2:N61" si="4">MID(F2,FIND("°",F2,1)+1,(FIND("′",F2,1)-FIND("°",F2,1))-1)</f>
        <v>32</v>
      </c>
      <c r="O2" s="1" t="e">
        <f t="shared" ref="O2:O61" si="5">MID(F2,FIND("′",F2,1)+1,(FIND("″",F2,1)-FIND("′",F2,1))-1)</f>
        <v>#VALUE!</v>
      </c>
      <c r="P2" s="2" t="e">
        <f t="shared" ref="P2:P61" si="6">((((L2/60)+K2)/60)+J2)*IF(C2="S",-1, 1)</f>
        <v>#VALUE!</v>
      </c>
      <c r="Q2" s="2" t="e">
        <f t="shared" ref="Q2:Q61" si="7">((((O2/60)+N2)/60)+M2)*IF(D2="W",-1, 1)</f>
        <v>#VALUE!</v>
      </c>
      <c r="R2" s="9" t="s">
        <v>25</v>
      </c>
    </row>
    <row r="3" spans="1:18" ht="15" customHeight="1" x14ac:dyDescent="0.25">
      <c r="A3" s="1">
        <v>2</v>
      </c>
      <c r="B3" s="1" t="s">
        <v>17</v>
      </c>
      <c r="C3" s="1" t="s">
        <v>26</v>
      </c>
      <c r="D3" s="1" t="s">
        <v>19</v>
      </c>
      <c r="E3" s="10" t="s">
        <v>27</v>
      </c>
      <c r="F3" s="10" t="s">
        <v>28</v>
      </c>
      <c r="G3" s="7" t="s">
        <v>22</v>
      </c>
      <c r="H3" s="1" t="s">
        <v>23</v>
      </c>
      <c r="I3" s="11" t="s">
        <v>29</v>
      </c>
      <c r="J3" s="1" t="str">
        <f t="shared" si="0"/>
        <v>29</v>
      </c>
      <c r="K3" s="1" t="str">
        <f t="shared" si="1"/>
        <v>46</v>
      </c>
      <c r="L3" s="1" t="e">
        <f t="shared" si="2"/>
        <v>#VALUE!</v>
      </c>
      <c r="M3" s="1" t="str">
        <f t="shared" si="3"/>
        <v>53</v>
      </c>
      <c r="N3" s="1" t="str">
        <f t="shared" si="4"/>
        <v>10</v>
      </c>
      <c r="O3" s="1" t="e">
        <f t="shared" si="5"/>
        <v>#VALUE!</v>
      </c>
      <c r="P3" s="2" t="e">
        <f t="shared" si="6"/>
        <v>#VALUE!</v>
      </c>
      <c r="Q3" s="2" t="e">
        <f t="shared" si="7"/>
        <v>#VALUE!</v>
      </c>
      <c r="R3" s="9" t="s">
        <v>25</v>
      </c>
    </row>
    <row r="4" spans="1:18" ht="17.25" customHeight="1" x14ac:dyDescent="0.3">
      <c r="A4" s="1">
        <v>3</v>
      </c>
      <c r="B4" s="1" t="s">
        <v>17</v>
      </c>
      <c r="C4" s="1" t="s">
        <v>26</v>
      </c>
      <c r="D4" s="1" t="s">
        <v>19</v>
      </c>
      <c r="E4" s="10" t="s">
        <v>30</v>
      </c>
      <c r="F4" s="10" t="s">
        <v>31</v>
      </c>
      <c r="G4" s="7" t="s">
        <v>22</v>
      </c>
      <c r="H4" s="1" t="s">
        <v>23</v>
      </c>
      <c r="I4" s="12" t="s">
        <v>32</v>
      </c>
      <c r="J4" s="1" t="str">
        <f t="shared" si="0"/>
        <v>21</v>
      </c>
      <c r="K4" s="1" t="e">
        <f t="shared" si="1"/>
        <v>#VALUE!</v>
      </c>
      <c r="L4" s="1" t="e">
        <f t="shared" si="2"/>
        <v>#VALUE!</v>
      </c>
      <c r="M4" s="1" t="str">
        <f t="shared" si="3"/>
        <v>40</v>
      </c>
      <c r="N4" s="1" t="e">
        <f t="shared" si="4"/>
        <v>#VALUE!</v>
      </c>
      <c r="O4" s="1" t="e">
        <f t="shared" si="5"/>
        <v>#VALUE!</v>
      </c>
      <c r="P4" s="2" t="e">
        <f t="shared" si="6"/>
        <v>#VALUE!</v>
      </c>
      <c r="Q4" s="2" t="e">
        <f t="shared" si="7"/>
        <v>#VALUE!</v>
      </c>
      <c r="R4" s="9" t="s">
        <v>25</v>
      </c>
    </row>
    <row r="5" spans="1:18" ht="16.5" x14ac:dyDescent="0.3">
      <c r="A5" s="1">
        <v>4</v>
      </c>
      <c r="B5" s="1" t="s">
        <v>17</v>
      </c>
      <c r="C5" s="1" t="s">
        <v>26</v>
      </c>
      <c r="D5" s="1" t="s">
        <v>19</v>
      </c>
      <c r="E5" s="10" t="s">
        <v>33</v>
      </c>
      <c r="F5" s="10" t="s">
        <v>34</v>
      </c>
      <c r="G5" s="7" t="s">
        <v>22</v>
      </c>
      <c r="H5" s="1" t="s">
        <v>23</v>
      </c>
      <c r="I5" s="12" t="s">
        <v>32</v>
      </c>
      <c r="J5" s="1" t="str">
        <f t="shared" si="0"/>
        <v>9</v>
      </c>
      <c r="K5" s="1" t="e">
        <f t="shared" si="1"/>
        <v>#VALUE!</v>
      </c>
      <c r="L5" s="1" t="e">
        <f t="shared" si="2"/>
        <v>#VALUE!</v>
      </c>
      <c r="M5" s="1" t="str">
        <f t="shared" si="3"/>
        <v>35</v>
      </c>
      <c r="N5" s="1" t="e">
        <f t="shared" si="4"/>
        <v>#VALUE!</v>
      </c>
      <c r="O5" s="1" t="e">
        <f t="shared" si="5"/>
        <v>#VALUE!</v>
      </c>
      <c r="P5" s="2" t="e">
        <f t="shared" si="6"/>
        <v>#VALUE!</v>
      </c>
      <c r="Q5" s="2" t="e">
        <f t="shared" si="7"/>
        <v>#VALUE!</v>
      </c>
      <c r="R5" s="9" t="s">
        <v>25</v>
      </c>
    </row>
    <row r="6" spans="1:18" ht="16.5" x14ac:dyDescent="0.3">
      <c r="A6" s="1">
        <v>5</v>
      </c>
      <c r="B6" s="1" t="s">
        <v>17</v>
      </c>
      <c r="C6" s="1" t="s">
        <v>26</v>
      </c>
      <c r="D6" s="1" t="s">
        <v>19</v>
      </c>
      <c r="E6" s="7" t="s">
        <v>35</v>
      </c>
      <c r="F6" s="7" t="s">
        <v>36</v>
      </c>
      <c r="G6" s="7" t="s">
        <v>22</v>
      </c>
      <c r="H6" s="1" t="s">
        <v>23</v>
      </c>
      <c r="I6" s="12" t="s">
        <v>37</v>
      </c>
      <c r="J6" s="1" t="str">
        <f t="shared" si="0"/>
        <v>2</v>
      </c>
      <c r="K6" s="1" t="str">
        <f t="shared" si="1"/>
        <v>53</v>
      </c>
      <c r="L6" s="1" t="str">
        <f t="shared" si="2"/>
        <v>22</v>
      </c>
      <c r="M6" s="1" t="str">
        <f t="shared" si="3"/>
        <v>41</v>
      </c>
      <c r="N6" s="1" t="str">
        <f t="shared" si="4"/>
        <v>13</v>
      </c>
      <c r="O6" s="1" t="str">
        <f t="shared" si="5"/>
        <v>46</v>
      </c>
      <c r="P6" s="2">
        <f t="shared" si="6"/>
        <v>-2.8894444444444445</v>
      </c>
      <c r="Q6" s="2">
        <f t="shared" si="7"/>
        <v>-41.229444444444447</v>
      </c>
      <c r="R6" s="9" t="s">
        <v>25</v>
      </c>
    </row>
    <row r="7" spans="1:18" ht="16.5" x14ac:dyDescent="0.3">
      <c r="A7" s="1">
        <v>6</v>
      </c>
      <c r="B7" s="1" t="s">
        <v>17</v>
      </c>
      <c r="C7" s="1" t="s">
        <v>26</v>
      </c>
      <c r="D7" s="1" t="s">
        <v>19</v>
      </c>
      <c r="E7" s="7" t="s">
        <v>38</v>
      </c>
      <c r="F7" s="2" t="s">
        <v>39</v>
      </c>
      <c r="G7" s="7" t="s">
        <v>22</v>
      </c>
      <c r="H7" s="1" t="s">
        <v>23</v>
      </c>
      <c r="I7" s="12" t="s">
        <v>37</v>
      </c>
      <c r="J7" s="1" t="str">
        <f t="shared" si="0"/>
        <v>4</v>
      </c>
      <c r="K7" s="1" t="str">
        <f t="shared" si="1"/>
        <v>06</v>
      </c>
      <c r="L7" s="1" t="str">
        <f t="shared" si="2"/>
        <v>06</v>
      </c>
      <c r="M7" s="1" t="str">
        <f t="shared" si="3"/>
        <v>38</v>
      </c>
      <c r="N7" s="1" t="str">
        <f t="shared" si="4"/>
        <v>08</v>
      </c>
      <c r="O7" s="1" t="str">
        <f t="shared" si="5"/>
        <v>56</v>
      </c>
      <c r="P7" s="2">
        <f t="shared" si="6"/>
        <v>-4.1016666666666666</v>
      </c>
      <c r="Q7" s="2">
        <f t="shared" si="7"/>
        <v>-38.148888888888891</v>
      </c>
      <c r="R7" s="9" t="s">
        <v>25</v>
      </c>
    </row>
    <row r="8" spans="1:18" ht="15.75" x14ac:dyDescent="0.25">
      <c r="A8" s="1">
        <v>7</v>
      </c>
      <c r="B8" s="1" t="s">
        <v>40</v>
      </c>
      <c r="C8" s="1" t="s">
        <v>18</v>
      </c>
      <c r="D8" s="1" t="s">
        <v>19</v>
      </c>
      <c r="E8" s="7" t="s">
        <v>20</v>
      </c>
      <c r="F8" s="7" t="s">
        <v>21</v>
      </c>
      <c r="G8" s="7" t="s">
        <v>22</v>
      </c>
      <c r="H8" s="1" t="s">
        <v>23</v>
      </c>
      <c r="I8" s="8" t="s">
        <v>24</v>
      </c>
      <c r="J8" s="1" t="str">
        <f t="shared" si="0"/>
        <v>04</v>
      </c>
      <c r="K8" s="1" t="str">
        <f t="shared" si="1"/>
        <v>26</v>
      </c>
      <c r="L8" s="1" t="e">
        <f t="shared" si="2"/>
        <v>#VALUE!</v>
      </c>
      <c r="M8" s="1" t="str">
        <f t="shared" si="3"/>
        <v>51</v>
      </c>
      <c r="N8" s="1" t="str">
        <f t="shared" si="4"/>
        <v>32</v>
      </c>
      <c r="O8" s="1" t="e">
        <f t="shared" si="5"/>
        <v>#VALUE!</v>
      </c>
      <c r="P8" s="2" t="e">
        <f t="shared" si="6"/>
        <v>#VALUE!</v>
      </c>
      <c r="Q8" s="2" t="e">
        <f t="shared" si="7"/>
        <v>#VALUE!</v>
      </c>
      <c r="R8" s="9" t="s">
        <v>25</v>
      </c>
    </row>
    <row r="9" spans="1:18" ht="15.75" x14ac:dyDescent="0.25">
      <c r="A9" s="1">
        <v>8</v>
      </c>
      <c r="B9" s="1" t="s">
        <v>40</v>
      </c>
      <c r="C9" s="1" t="s">
        <v>26</v>
      </c>
      <c r="D9" s="1" t="s">
        <v>19</v>
      </c>
      <c r="E9" s="10" t="s">
        <v>27</v>
      </c>
      <c r="F9" s="10" t="s">
        <v>28</v>
      </c>
      <c r="G9" s="7" t="s">
        <v>22</v>
      </c>
      <c r="H9" s="1" t="s">
        <v>23</v>
      </c>
      <c r="I9" s="8" t="s">
        <v>29</v>
      </c>
      <c r="J9" s="1" t="str">
        <f t="shared" si="0"/>
        <v>29</v>
      </c>
      <c r="K9" s="1" t="str">
        <f t="shared" si="1"/>
        <v>46</v>
      </c>
      <c r="L9" s="1" t="e">
        <f t="shared" si="2"/>
        <v>#VALUE!</v>
      </c>
      <c r="M9" s="1" t="str">
        <f t="shared" si="3"/>
        <v>53</v>
      </c>
      <c r="N9" s="1" t="str">
        <f t="shared" si="4"/>
        <v>10</v>
      </c>
      <c r="O9" s="1" t="e">
        <f t="shared" si="5"/>
        <v>#VALUE!</v>
      </c>
      <c r="P9" s="2" t="e">
        <f t="shared" si="6"/>
        <v>#VALUE!</v>
      </c>
      <c r="Q9" s="2" t="e">
        <f t="shared" si="7"/>
        <v>#VALUE!</v>
      </c>
      <c r="R9" s="9" t="s">
        <v>25</v>
      </c>
    </row>
    <row r="10" spans="1:18" ht="16.5" x14ac:dyDescent="0.3">
      <c r="A10" s="1">
        <v>9</v>
      </c>
      <c r="B10" s="1" t="s">
        <v>40</v>
      </c>
      <c r="C10" s="1" t="s">
        <v>26</v>
      </c>
      <c r="D10" s="1" t="s">
        <v>19</v>
      </c>
      <c r="E10" s="10" t="s">
        <v>30</v>
      </c>
      <c r="F10" s="10" t="s">
        <v>31</v>
      </c>
      <c r="G10" s="7" t="s">
        <v>22</v>
      </c>
      <c r="H10" s="1" t="s">
        <v>23</v>
      </c>
      <c r="I10" s="12" t="s">
        <v>32</v>
      </c>
      <c r="J10" s="1" t="str">
        <f t="shared" si="0"/>
        <v>21</v>
      </c>
      <c r="K10" s="1" t="e">
        <f t="shared" si="1"/>
        <v>#VALUE!</v>
      </c>
      <c r="L10" s="1" t="e">
        <f t="shared" si="2"/>
        <v>#VALUE!</v>
      </c>
      <c r="M10" s="1" t="str">
        <f t="shared" si="3"/>
        <v>40</v>
      </c>
      <c r="N10" s="1" t="e">
        <f t="shared" si="4"/>
        <v>#VALUE!</v>
      </c>
      <c r="O10" s="1" t="e">
        <f t="shared" si="5"/>
        <v>#VALUE!</v>
      </c>
      <c r="P10" s="2" t="e">
        <f t="shared" si="6"/>
        <v>#VALUE!</v>
      </c>
      <c r="Q10" s="2" t="e">
        <f t="shared" si="7"/>
        <v>#VALUE!</v>
      </c>
      <c r="R10" s="9" t="s">
        <v>25</v>
      </c>
    </row>
    <row r="11" spans="1:18" ht="16.5" x14ac:dyDescent="0.3">
      <c r="A11" s="1">
        <v>10</v>
      </c>
      <c r="B11" s="1" t="s">
        <v>40</v>
      </c>
      <c r="C11" s="1" t="s">
        <v>26</v>
      </c>
      <c r="D11" s="1" t="s">
        <v>19</v>
      </c>
      <c r="E11" s="10" t="s">
        <v>33</v>
      </c>
      <c r="F11" s="10" t="s">
        <v>34</v>
      </c>
      <c r="G11" s="7" t="s">
        <v>22</v>
      </c>
      <c r="H11" s="1" t="s">
        <v>23</v>
      </c>
      <c r="I11" s="12" t="s">
        <v>32</v>
      </c>
      <c r="J11" s="1" t="str">
        <f t="shared" si="0"/>
        <v>9</v>
      </c>
      <c r="K11" s="1" t="e">
        <f t="shared" si="1"/>
        <v>#VALUE!</v>
      </c>
      <c r="L11" s="1" t="e">
        <f t="shared" si="2"/>
        <v>#VALUE!</v>
      </c>
      <c r="M11" s="1" t="str">
        <f t="shared" si="3"/>
        <v>35</v>
      </c>
      <c r="N11" s="1" t="e">
        <f t="shared" si="4"/>
        <v>#VALUE!</v>
      </c>
      <c r="O11" s="1" t="e">
        <f t="shared" si="5"/>
        <v>#VALUE!</v>
      </c>
      <c r="P11" s="2" t="e">
        <f t="shared" si="6"/>
        <v>#VALUE!</v>
      </c>
      <c r="Q11" s="2" t="e">
        <f t="shared" si="7"/>
        <v>#VALUE!</v>
      </c>
      <c r="R11" s="9" t="s">
        <v>25</v>
      </c>
    </row>
    <row r="12" spans="1:18" ht="16.5" x14ac:dyDescent="0.3">
      <c r="A12" s="1">
        <v>11</v>
      </c>
      <c r="B12" s="1" t="s">
        <v>40</v>
      </c>
      <c r="C12" s="1" t="s">
        <v>26</v>
      </c>
      <c r="D12" s="1" t="s">
        <v>19</v>
      </c>
      <c r="E12" s="7" t="s">
        <v>35</v>
      </c>
      <c r="F12" s="7" t="s">
        <v>36</v>
      </c>
      <c r="G12" s="7" t="s">
        <v>22</v>
      </c>
      <c r="H12" s="1" t="s">
        <v>23</v>
      </c>
      <c r="I12" s="12" t="s">
        <v>37</v>
      </c>
      <c r="J12" s="1" t="str">
        <f t="shared" si="0"/>
        <v>2</v>
      </c>
      <c r="K12" s="1" t="str">
        <f t="shared" si="1"/>
        <v>53</v>
      </c>
      <c r="L12" s="1" t="str">
        <f t="shared" si="2"/>
        <v>22</v>
      </c>
      <c r="M12" s="1" t="str">
        <f t="shared" si="3"/>
        <v>41</v>
      </c>
      <c r="N12" s="1" t="str">
        <f t="shared" si="4"/>
        <v>13</v>
      </c>
      <c r="O12" s="1" t="str">
        <f t="shared" si="5"/>
        <v>46</v>
      </c>
      <c r="P12" s="2">
        <f t="shared" si="6"/>
        <v>-2.8894444444444445</v>
      </c>
      <c r="Q12" s="2">
        <f t="shared" si="7"/>
        <v>-41.229444444444447</v>
      </c>
      <c r="R12" s="9" t="s">
        <v>25</v>
      </c>
    </row>
    <row r="13" spans="1:18" ht="16.5" x14ac:dyDescent="0.3">
      <c r="A13" s="1">
        <v>12</v>
      </c>
      <c r="B13" s="1" t="s">
        <v>40</v>
      </c>
      <c r="C13" s="1" t="s">
        <v>26</v>
      </c>
      <c r="D13" s="1" t="s">
        <v>19</v>
      </c>
      <c r="E13" s="7" t="s">
        <v>38</v>
      </c>
      <c r="F13" s="2" t="s">
        <v>39</v>
      </c>
      <c r="G13" s="7" t="s">
        <v>22</v>
      </c>
      <c r="H13" s="1" t="s">
        <v>23</v>
      </c>
      <c r="I13" s="12" t="s">
        <v>37</v>
      </c>
      <c r="J13" s="1" t="str">
        <f t="shared" si="0"/>
        <v>4</v>
      </c>
      <c r="K13" s="1" t="str">
        <f t="shared" si="1"/>
        <v>06</v>
      </c>
      <c r="L13" s="1" t="str">
        <f t="shared" si="2"/>
        <v>06</v>
      </c>
      <c r="M13" s="1" t="str">
        <f t="shared" si="3"/>
        <v>38</v>
      </c>
      <c r="N13" s="1" t="str">
        <f t="shared" si="4"/>
        <v>08</v>
      </c>
      <c r="O13" s="1" t="str">
        <f t="shared" si="5"/>
        <v>56</v>
      </c>
      <c r="P13" s="2">
        <f t="shared" si="6"/>
        <v>-4.1016666666666666</v>
      </c>
      <c r="Q13" s="2">
        <f t="shared" si="7"/>
        <v>-38.148888888888891</v>
      </c>
      <c r="R13" s="9" t="s">
        <v>25</v>
      </c>
    </row>
    <row r="14" spans="1:18" ht="15.75" x14ac:dyDescent="0.25">
      <c r="A14" s="1">
        <v>13</v>
      </c>
      <c r="B14" s="1" t="s">
        <v>41</v>
      </c>
      <c r="C14" s="1" t="s">
        <v>26</v>
      </c>
      <c r="D14" s="1" t="s">
        <v>19</v>
      </c>
      <c r="E14" s="7" t="s">
        <v>42</v>
      </c>
      <c r="F14" s="7" t="s">
        <v>43</v>
      </c>
      <c r="G14" s="1" t="s">
        <v>44</v>
      </c>
      <c r="H14" s="1" t="s">
        <v>23</v>
      </c>
      <c r="I14" s="1" t="s">
        <v>45</v>
      </c>
      <c r="J14" s="1" t="str">
        <f t="shared" si="0"/>
        <v>7</v>
      </c>
      <c r="K14" s="1" t="str">
        <f t="shared" si="1"/>
        <v>54</v>
      </c>
      <c r="L14" s="1" t="str">
        <f t="shared" si="2"/>
        <v>15,6</v>
      </c>
      <c r="M14" s="1" t="str">
        <f t="shared" si="3"/>
        <v>34</v>
      </c>
      <c r="N14" s="1" t="str">
        <f t="shared" si="4"/>
        <v>49</v>
      </c>
      <c r="O14" s="1" t="str">
        <f t="shared" si="5"/>
        <v>14,3</v>
      </c>
      <c r="P14" s="2">
        <f t="shared" si="6"/>
        <v>-7.9043333333333337</v>
      </c>
      <c r="Q14" s="2">
        <f t="shared" si="7"/>
        <v>-34.820638888888887</v>
      </c>
      <c r="R14" s="9" t="s">
        <v>46</v>
      </c>
    </row>
    <row r="15" spans="1:18" ht="15.75" x14ac:dyDescent="0.25">
      <c r="A15" s="1">
        <v>14</v>
      </c>
      <c r="B15" s="1" t="s">
        <v>41</v>
      </c>
      <c r="C15" s="1" t="s">
        <v>26</v>
      </c>
      <c r="D15" s="1" t="s">
        <v>19</v>
      </c>
      <c r="E15" s="2" t="s">
        <v>47</v>
      </c>
      <c r="F15" s="2" t="s">
        <v>48</v>
      </c>
      <c r="G15" s="13" t="s">
        <v>49</v>
      </c>
      <c r="H15" s="1" t="s">
        <v>23</v>
      </c>
      <c r="I15" s="1" t="s">
        <v>50</v>
      </c>
      <c r="J15" s="1" t="str">
        <f t="shared" si="0"/>
        <v>5</v>
      </c>
      <c r="K15" s="1" t="e">
        <f t="shared" si="1"/>
        <v>#VALUE!</v>
      </c>
      <c r="L15" s="1" t="e">
        <f t="shared" si="2"/>
        <v>#VALUE!</v>
      </c>
      <c r="M15" s="1" t="str">
        <f t="shared" si="3"/>
        <v>35</v>
      </c>
      <c r="N15" s="1" t="e">
        <f t="shared" si="4"/>
        <v>#VALUE!</v>
      </c>
      <c r="O15" s="1" t="e">
        <f t="shared" si="5"/>
        <v>#VALUE!</v>
      </c>
      <c r="P15" s="2" t="e">
        <f t="shared" si="6"/>
        <v>#VALUE!</v>
      </c>
      <c r="Q15" s="2" t="e">
        <f t="shared" si="7"/>
        <v>#VALUE!</v>
      </c>
      <c r="R15" s="9" t="s">
        <v>51</v>
      </c>
    </row>
    <row r="16" spans="1:18" ht="15.75" x14ac:dyDescent="0.25">
      <c r="A16" s="1">
        <v>15</v>
      </c>
      <c r="B16" s="1" t="s">
        <v>40</v>
      </c>
      <c r="C16" s="1" t="s">
        <v>26</v>
      </c>
      <c r="D16" s="1" t="s">
        <v>19</v>
      </c>
      <c r="E16" s="2" t="s">
        <v>47</v>
      </c>
      <c r="F16" s="2" t="s">
        <v>48</v>
      </c>
      <c r="G16" s="13" t="s">
        <v>49</v>
      </c>
      <c r="H16" s="1" t="s">
        <v>23</v>
      </c>
      <c r="I16" s="1" t="s">
        <v>50</v>
      </c>
      <c r="J16" s="1" t="str">
        <f t="shared" si="0"/>
        <v>5</v>
      </c>
      <c r="K16" s="1" t="e">
        <f t="shared" si="1"/>
        <v>#VALUE!</v>
      </c>
      <c r="L16" s="1" t="e">
        <f t="shared" si="2"/>
        <v>#VALUE!</v>
      </c>
      <c r="M16" s="1" t="str">
        <f t="shared" si="3"/>
        <v>35</v>
      </c>
      <c r="N16" s="1" t="e">
        <f t="shared" si="4"/>
        <v>#VALUE!</v>
      </c>
      <c r="O16" s="1" t="e">
        <f t="shared" si="5"/>
        <v>#VALUE!</v>
      </c>
      <c r="P16" s="2" t="e">
        <f t="shared" si="6"/>
        <v>#VALUE!</v>
      </c>
      <c r="Q16" s="2" t="e">
        <f t="shared" si="7"/>
        <v>#VALUE!</v>
      </c>
      <c r="R16" s="9" t="s">
        <v>51</v>
      </c>
    </row>
    <row r="17" spans="1:18" ht="15.75" x14ac:dyDescent="0.25">
      <c r="A17" s="1">
        <v>16</v>
      </c>
      <c r="B17" s="1" t="s">
        <v>52</v>
      </c>
      <c r="C17" s="1" t="s">
        <v>26</v>
      </c>
      <c r="D17" s="1" t="s">
        <v>19</v>
      </c>
      <c r="E17" s="7" t="s">
        <v>53</v>
      </c>
      <c r="F17" s="7" t="s">
        <v>54</v>
      </c>
      <c r="G17" s="7" t="s">
        <v>55</v>
      </c>
      <c r="H17" s="1" t="s">
        <v>23</v>
      </c>
      <c r="I17" s="1" t="s">
        <v>56</v>
      </c>
      <c r="J17" s="1" t="str">
        <f t="shared" si="0"/>
        <v>08</v>
      </c>
      <c r="K17" s="1" t="str">
        <f t="shared" si="1"/>
        <v>45</v>
      </c>
      <c r="L17" s="1" t="str">
        <f t="shared" si="2"/>
        <v>31,2</v>
      </c>
      <c r="M17" s="1" t="str">
        <f t="shared" si="3"/>
        <v>35</v>
      </c>
      <c r="N17" s="1" t="str">
        <f t="shared" si="4"/>
        <v>05</v>
      </c>
      <c r="O17" s="1" t="str">
        <f t="shared" si="5"/>
        <v>07,7</v>
      </c>
      <c r="P17" s="2">
        <f t="shared" si="6"/>
        <v>-8.7586666666666666</v>
      </c>
      <c r="Q17" s="2">
        <f t="shared" si="7"/>
        <v>-35.085472222222222</v>
      </c>
      <c r="R17" s="9" t="s">
        <v>57</v>
      </c>
    </row>
    <row r="18" spans="1:18" ht="15.75" x14ac:dyDescent="0.25">
      <c r="A18" s="1">
        <v>17</v>
      </c>
      <c r="B18" s="1" t="s">
        <v>52</v>
      </c>
      <c r="C18" s="1" t="s">
        <v>26</v>
      </c>
      <c r="D18" s="1" t="s">
        <v>19</v>
      </c>
      <c r="E18" s="7" t="s">
        <v>58</v>
      </c>
      <c r="F18" s="14" t="s">
        <v>59</v>
      </c>
      <c r="G18" s="7" t="s">
        <v>55</v>
      </c>
      <c r="H18" s="1" t="s">
        <v>23</v>
      </c>
      <c r="I18" s="1" t="s">
        <v>56</v>
      </c>
      <c r="J18" s="1" t="str">
        <f t="shared" si="0"/>
        <v>08</v>
      </c>
      <c r="K18" s="1" t="str">
        <f t="shared" si="1"/>
        <v>46</v>
      </c>
      <c r="L18" s="1" t="str">
        <f t="shared" si="2"/>
        <v>57,2</v>
      </c>
      <c r="M18" s="1" t="str">
        <f t="shared" si="3"/>
        <v>35</v>
      </c>
      <c r="N18" s="1" t="str">
        <f t="shared" si="4"/>
        <v>05</v>
      </c>
      <c r="O18" s="1" t="str">
        <f t="shared" si="5"/>
        <v>48,9</v>
      </c>
      <c r="P18" s="2">
        <f t="shared" si="6"/>
        <v>-8.7825555555555557</v>
      </c>
      <c r="Q18" s="2">
        <f t="shared" si="7"/>
        <v>-35.096916666666665</v>
      </c>
      <c r="R18" s="9" t="s">
        <v>57</v>
      </c>
    </row>
    <row r="19" spans="1:18" ht="15.75" x14ac:dyDescent="0.25">
      <c r="A19" s="1">
        <v>18</v>
      </c>
      <c r="B19" s="1" t="s">
        <v>52</v>
      </c>
      <c r="C19" s="1" t="s">
        <v>26</v>
      </c>
      <c r="D19" s="1" t="s">
        <v>19</v>
      </c>
      <c r="E19" s="7" t="s">
        <v>60</v>
      </c>
      <c r="F19" s="2" t="s">
        <v>61</v>
      </c>
      <c r="G19" s="7" t="s">
        <v>55</v>
      </c>
      <c r="H19" s="1" t="s">
        <v>23</v>
      </c>
      <c r="I19" s="1" t="s">
        <v>62</v>
      </c>
      <c r="J19" s="1" t="str">
        <f t="shared" si="0"/>
        <v>08</v>
      </c>
      <c r="K19" s="1" t="str">
        <f t="shared" si="1"/>
        <v>45</v>
      </c>
      <c r="L19" s="1" t="str">
        <f t="shared" si="2"/>
        <v>35,0</v>
      </c>
      <c r="M19" s="1" t="str">
        <f t="shared" si="3"/>
        <v xml:space="preserve"> 35</v>
      </c>
      <c r="N19" s="1" t="str">
        <f t="shared" si="4"/>
        <v>04</v>
      </c>
      <c r="O19" s="1" t="str">
        <f t="shared" si="5"/>
        <v>57,5</v>
      </c>
      <c r="P19" s="2">
        <f t="shared" si="6"/>
        <v>-8.7597222222222229</v>
      </c>
      <c r="Q19" s="2">
        <f t="shared" si="7"/>
        <v>-35.082638888888887</v>
      </c>
      <c r="R19" s="9" t="s">
        <v>57</v>
      </c>
    </row>
    <row r="20" spans="1:18" ht="15.75" x14ac:dyDescent="0.25">
      <c r="A20" s="1">
        <v>19</v>
      </c>
      <c r="B20" s="1" t="s">
        <v>52</v>
      </c>
      <c r="C20" s="1" t="s">
        <v>26</v>
      </c>
      <c r="D20" s="1" t="s">
        <v>19</v>
      </c>
      <c r="E20" s="7" t="s">
        <v>63</v>
      </c>
      <c r="F20" s="2" t="s">
        <v>64</v>
      </c>
      <c r="G20" s="7" t="s">
        <v>55</v>
      </c>
      <c r="H20" s="1" t="s">
        <v>23</v>
      </c>
      <c r="I20" s="1" t="s">
        <v>62</v>
      </c>
      <c r="J20" s="1" t="str">
        <f t="shared" si="0"/>
        <v>08</v>
      </c>
      <c r="K20" s="1" t="str">
        <f t="shared" si="1"/>
        <v>47</v>
      </c>
      <c r="L20" s="1" t="str">
        <f t="shared" si="2"/>
        <v>01,2</v>
      </c>
      <c r="M20" s="1" t="str">
        <f t="shared" si="3"/>
        <v>35</v>
      </c>
      <c r="N20" s="1" t="str">
        <f t="shared" si="4"/>
        <v>05</v>
      </c>
      <c r="O20" s="1" t="str">
        <f t="shared" si="5"/>
        <v>42,0</v>
      </c>
      <c r="P20" s="2">
        <f t="shared" si="6"/>
        <v>-8.783666666666667</v>
      </c>
      <c r="Q20" s="2">
        <f t="shared" si="7"/>
        <v>-35.094999999999999</v>
      </c>
      <c r="R20" s="9" t="s">
        <v>57</v>
      </c>
    </row>
    <row r="21" spans="1:18" ht="15.75" x14ac:dyDescent="0.25">
      <c r="A21" s="1">
        <v>20</v>
      </c>
      <c r="B21" s="1" t="s">
        <v>40</v>
      </c>
      <c r="C21" s="1" t="s">
        <v>26</v>
      </c>
      <c r="D21" s="1" t="s">
        <v>19</v>
      </c>
      <c r="E21" s="7" t="s">
        <v>65</v>
      </c>
      <c r="F21" s="7" t="s">
        <v>66</v>
      </c>
      <c r="G21" s="1" t="s">
        <v>67</v>
      </c>
      <c r="H21" s="1" t="s">
        <v>23</v>
      </c>
      <c r="I21" s="15" t="s">
        <v>68</v>
      </c>
      <c r="J21" s="1" t="str">
        <f t="shared" si="0"/>
        <v>8</v>
      </c>
      <c r="K21" s="1" t="str">
        <f t="shared" si="1"/>
        <v>30</v>
      </c>
      <c r="L21" s="1" t="str">
        <f t="shared" si="2"/>
        <v>07</v>
      </c>
      <c r="M21" s="1" t="str">
        <f t="shared" si="3"/>
        <v>35</v>
      </c>
      <c r="N21" s="1" t="str">
        <f t="shared" si="4"/>
        <v>00</v>
      </c>
      <c r="O21" s="1" t="str">
        <f t="shared" si="5"/>
        <v>08</v>
      </c>
      <c r="P21" s="2">
        <f t="shared" si="6"/>
        <v>-8.5019444444444439</v>
      </c>
      <c r="Q21" s="2">
        <f t="shared" si="7"/>
        <v>-35.002222222222223</v>
      </c>
      <c r="R21" s="16" t="s">
        <v>69</v>
      </c>
    </row>
    <row r="22" spans="1:18" ht="15.75" x14ac:dyDescent="0.25">
      <c r="A22" s="1">
        <v>21</v>
      </c>
      <c r="B22" s="1" t="s">
        <v>52</v>
      </c>
      <c r="C22" s="1" t="s">
        <v>26</v>
      </c>
      <c r="D22" s="1" t="s">
        <v>19</v>
      </c>
      <c r="E22" s="7" t="s">
        <v>65</v>
      </c>
      <c r="F22" s="7" t="s">
        <v>66</v>
      </c>
      <c r="G22" s="1" t="s">
        <v>67</v>
      </c>
      <c r="H22" s="1" t="s">
        <v>23</v>
      </c>
      <c r="I22" s="15" t="s">
        <v>68</v>
      </c>
      <c r="J22" s="1" t="str">
        <f t="shared" si="0"/>
        <v>8</v>
      </c>
      <c r="K22" s="1" t="str">
        <f t="shared" si="1"/>
        <v>30</v>
      </c>
      <c r="L22" s="1" t="str">
        <f t="shared" si="2"/>
        <v>07</v>
      </c>
      <c r="M22" s="1" t="str">
        <f t="shared" si="3"/>
        <v>35</v>
      </c>
      <c r="N22" s="1" t="str">
        <f t="shared" si="4"/>
        <v>00</v>
      </c>
      <c r="O22" s="1" t="str">
        <f t="shared" si="5"/>
        <v>08</v>
      </c>
      <c r="P22" s="2">
        <f t="shared" si="6"/>
        <v>-8.5019444444444439</v>
      </c>
      <c r="Q22" s="2">
        <f t="shared" si="7"/>
        <v>-35.002222222222223</v>
      </c>
      <c r="R22" s="16" t="s">
        <v>69</v>
      </c>
    </row>
    <row r="23" spans="1:18" ht="15.75" x14ac:dyDescent="0.25">
      <c r="A23" s="1">
        <v>22</v>
      </c>
      <c r="B23" s="1" t="s">
        <v>41</v>
      </c>
      <c r="C23" s="1" t="s">
        <v>26</v>
      </c>
      <c r="D23" s="1" t="s">
        <v>19</v>
      </c>
      <c r="E23" s="7" t="s">
        <v>65</v>
      </c>
      <c r="F23" s="7" t="s">
        <v>66</v>
      </c>
      <c r="G23" s="1" t="s">
        <v>67</v>
      </c>
      <c r="H23" s="1" t="s">
        <v>23</v>
      </c>
      <c r="I23" s="15" t="s">
        <v>68</v>
      </c>
      <c r="J23" s="1" t="str">
        <f t="shared" si="0"/>
        <v>8</v>
      </c>
      <c r="K23" s="1" t="str">
        <f t="shared" si="1"/>
        <v>30</v>
      </c>
      <c r="L23" s="1" t="str">
        <f t="shared" si="2"/>
        <v>07</v>
      </c>
      <c r="M23" s="1" t="str">
        <f t="shared" si="3"/>
        <v>35</v>
      </c>
      <c r="N23" s="1" t="str">
        <f t="shared" si="4"/>
        <v>00</v>
      </c>
      <c r="O23" s="1" t="str">
        <f t="shared" si="5"/>
        <v>08</v>
      </c>
      <c r="P23" s="2">
        <f t="shared" si="6"/>
        <v>-8.5019444444444439</v>
      </c>
      <c r="Q23" s="2">
        <f t="shared" si="7"/>
        <v>-35.002222222222223</v>
      </c>
      <c r="R23" s="16" t="s">
        <v>69</v>
      </c>
    </row>
    <row r="24" spans="1:18" ht="15.75" x14ac:dyDescent="0.25">
      <c r="A24" s="1">
        <v>23</v>
      </c>
      <c r="B24" s="1" t="s">
        <v>40</v>
      </c>
      <c r="C24" s="1" t="s">
        <v>26</v>
      </c>
      <c r="D24" s="1" t="s">
        <v>19</v>
      </c>
      <c r="E24" s="7" t="s">
        <v>70</v>
      </c>
      <c r="F24" s="7" t="s">
        <v>71</v>
      </c>
      <c r="G24" s="1" t="s">
        <v>67</v>
      </c>
      <c r="H24" s="1" t="s">
        <v>23</v>
      </c>
      <c r="I24" s="1" t="s">
        <v>72</v>
      </c>
      <c r="J24" s="1" t="str">
        <f t="shared" si="0"/>
        <v>08</v>
      </c>
      <c r="K24" s="1" t="str">
        <f t="shared" si="1"/>
        <v>44</v>
      </c>
      <c r="L24" s="1" t="str">
        <f t="shared" si="2"/>
        <v>23</v>
      </c>
      <c r="M24" s="1" t="str">
        <f t="shared" si="3"/>
        <v>35</v>
      </c>
      <c r="N24" s="1" t="str">
        <f t="shared" si="4"/>
        <v>02</v>
      </c>
      <c r="O24" s="1" t="str">
        <f t="shared" si="5"/>
        <v>28</v>
      </c>
      <c r="P24" s="2">
        <f t="shared" si="6"/>
        <v>-8.7397222222222215</v>
      </c>
      <c r="Q24" s="2">
        <f t="shared" si="7"/>
        <v>-35.041111111111114</v>
      </c>
      <c r="R24" s="16" t="s">
        <v>69</v>
      </c>
    </row>
    <row r="25" spans="1:18" ht="15.75" x14ac:dyDescent="0.25">
      <c r="A25" s="1">
        <v>24</v>
      </c>
      <c r="B25" s="1" t="s">
        <v>40</v>
      </c>
      <c r="C25" s="1" t="s">
        <v>26</v>
      </c>
      <c r="D25" s="1" t="s">
        <v>19</v>
      </c>
      <c r="E25" s="7" t="s">
        <v>73</v>
      </c>
      <c r="F25" s="7" t="s">
        <v>74</v>
      </c>
      <c r="G25" s="7" t="s">
        <v>75</v>
      </c>
      <c r="H25" s="1" t="s">
        <v>23</v>
      </c>
      <c r="I25" s="7" t="s">
        <v>76</v>
      </c>
      <c r="J25" s="1" t="str">
        <f t="shared" si="0"/>
        <v>20</v>
      </c>
      <c r="K25" s="1" t="str">
        <f t="shared" si="1"/>
        <v>39</v>
      </c>
      <c r="L25" s="1" t="e">
        <f t="shared" si="2"/>
        <v>#VALUE!</v>
      </c>
      <c r="M25" s="1" t="str">
        <f t="shared" si="3"/>
        <v>40</v>
      </c>
      <c r="N25" s="1" t="str">
        <f t="shared" si="4"/>
        <v>30</v>
      </c>
      <c r="O25" s="1" t="e">
        <f t="shared" si="5"/>
        <v>#VALUE!</v>
      </c>
      <c r="P25" s="2" t="e">
        <f t="shared" si="6"/>
        <v>#VALUE!</v>
      </c>
      <c r="Q25" s="2" t="e">
        <f t="shared" si="7"/>
        <v>#VALUE!</v>
      </c>
      <c r="R25" s="16" t="s">
        <v>77</v>
      </c>
    </row>
    <row r="26" spans="1:18" ht="15.75" x14ac:dyDescent="0.25">
      <c r="A26" s="1">
        <v>25</v>
      </c>
      <c r="B26" s="1" t="s">
        <v>40</v>
      </c>
      <c r="C26" s="1" t="s">
        <v>26</v>
      </c>
      <c r="D26" s="1" t="s">
        <v>19</v>
      </c>
      <c r="E26" s="7" t="s">
        <v>78</v>
      </c>
      <c r="F26" s="7" t="s">
        <v>79</v>
      </c>
      <c r="G26" s="7" t="s">
        <v>75</v>
      </c>
      <c r="H26" s="1" t="s">
        <v>23</v>
      </c>
      <c r="I26" s="7" t="s">
        <v>80</v>
      </c>
      <c r="J26" s="1" t="str">
        <f t="shared" si="0"/>
        <v>20</v>
      </c>
      <c r="K26" s="1" t="str">
        <f t="shared" si="1"/>
        <v>43</v>
      </c>
      <c r="L26" s="1" t="e">
        <f t="shared" si="2"/>
        <v>#VALUE!</v>
      </c>
      <c r="M26" s="1" t="str">
        <f t="shared" si="3"/>
        <v>40</v>
      </c>
      <c r="N26" s="1" t="str">
        <f t="shared" si="4"/>
        <v>46</v>
      </c>
      <c r="O26" s="1" t="e">
        <f t="shared" si="5"/>
        <v>#VALUE!</v>
      </c>
      <c r="P26" s="2" t="e">
        <f t="shared" si="6"/>
        <v>#VALUE!</v>
      </c>
      <c r="Q26" s="2" t="e">
        <f t="shared" si="7"/>
        <v>#VALUE!</v>
      </c>
      <c r="R26" s="16" t="s">
        <v>77</v>
      </c>
    </row>
    <row r="27" spans="1:18" ht="15.75" x14ac:dyDescent="0.25">
      <c r="A27" s="1">
        <v>26</v>
      </c>
      <c r="B27" s="1" t="s">
        <v>40</v>
      </c>
      <c r="C27" s="1" t="s">
        <v>26</v>
      </c>
      <c r="D27" s="1" t="s">
        <v>19</v>
      </c>
      <c r="E27" s="7" t="s">
        <v>81</v>
      </c>
      <c r="F27" s="7" t="s">
        <v>82</v>
      </c>
      <c r="G27" s="7" t="s">
        <v>75</v>
      </c>
      <c r="H27" s="1" t="s">
        <v>23</v>
      </c>
      <c r="I27" s="7" t="s">
        <v>83</v>
      </c>
      <c r="J27" s="1" t="str">
        <f t="shared" si="0"/>
        <v>21</v>
      </c>
      <c r="K27" s="1" t="str">
        <f t="shared" si="1"/>
        <v>02</v>
      </c>
      <c r="L27" s="1" t="e">
        <f t="shared" si="2"/>
        <v>#VALUE!</v>
      </c>
      <c r="M27" s="1" t="str">
        <f t="shared" si="3"/>
        <v>40</v>
      </c>
      <c r="N27" s="1" t="str">
        <f t="shared" si="4"/>
        <v>49</v>
      </c>
      <c r="O27" s="1" t="e">
        <f t="shared" si="5"/>
        <v>#VALUE!</v>
      </c>
      <c r="P27" s="2" t="e">
        <f t="shared" si="6"/>
        <v>#VALUE!</v>
      </c>
      <c r="Q27" s="2" t="e">
        <f t="shared" si="7"/>
        <v>#VALUE!</v>
      </c>
      <c r="R27" s="16" t="s">
        <v>77</v>
      </c>
    </row>
    <row r="28" spans="1:18" ht="15.75" x14ac:dyDescent="0.25">
      <c r="A28" s="1">
        <v>27</v>
      </c>
      <c r="B28" s="1" t="s">
        <v>52</v>
      </c>
      <c r="C28" s="1" t="s">
        <v>18</v>
      </c>
      <c r="D28" s="1" t="s">
        <v>19</v>
      </c>
      <c r="E28" s="7" t="s">
        <v>84</v>
      </c>
      <c r="F28" s="7" t="s">
        <v>85</v>
      </c>
      <c r="G28" s="7" t="s">
        <v>86</v>
      </c>
      <c r="H28" s="1" t="s">
        <v>23</v>
      </c>
      <c r="I28" s="15" t="s">
        <v>87</v>
      </c>
      <c r="J28" s="1" t="str">
        <f t="shared" si="0"/>
        <v>0</v>
      </c>
      <c r="K28" s="1" t="str">
        <f t="shared" si="1"/>
        <v>55</v>
      </c>
      <c r="L28" s="1" t="str">
        <f t="shared" si="2"/>
        <v>10</v>
      </c>
      <c r="M28" s="1" t="str">
        <f t="shared" si="3"/>
        <v>29</v>
      </c>
      <c r="N28" s="1" t="str">
        <f t="shared" si="4"/>
        <v>20</v>
      </c>
      <c r="O28" s="1" t="str">
        <f t="shared" si="5"/>
        <v>33</v>
      </c>
      <c r="P28" s="2">
        <f t="shared" si="6"/>
        <v>0.9194444444444444</v>
      </c>
      <c r="Q28" s="2">
        <f t="shared" si="7"/>
        <v>-29.342500000000001</v>
      </c>
      <c r="R28" s="16" t="s">
        <v>88</v>
      </c>
    </row>
    <row r="29" spans="1:18" ht="15.75" x14ac:dyDescent="0.25">
      <c r="A29" s="1">
        <v>28</v>
      </c>
      <c r="B29" s="1" t="s">
        <v>52</v>
      </c>
      <c r="C29" s="1" t="s">
        <v>18</v>
      </c>
      <c r="D29" s="1" t="s">
        <v>19</v>
      </c>
      <c r="E29" s="7" t="s">
        <v>89</v>
      </c>
      <c r="F29" s="7" t="s">
        <v>90</v>
      </c>
      <c r="G29" s="7" t="s">
        <v>86</v>
      </c>
      <c r="H29" s="1" t="s">
        <v>23</v>
      </c>
      <c r="I29" s="15" t="s">
        <v>87</v>
      </c>
      <c r="J29" s="1" t="str">
        <f t="shared" si="0"/>
        <v>0</v>
      </c>
      <c r="K29" s="1" t="str">
        <f t="shared" si="1"/>
        <v>54.787</v>
      </c>
      <c r="L29" s="1" t="e">
        <f t="shared" si="2"/>
        <v>#VALUE!</v>
      </c>
      <c r="M29" s="1" t="str">
        <f t="shared" si="3"/>
        <v>29</v>
      </c>
      <c r="N29" s="1" t="str">
        <f t="shared" si="4"/>
        <v>21.451</v>
      </c>
      <c r="O29" s="1" t="e">
        <f t="shared" si="5"/>
        <v>#VALUE!</v>
      </c>
      <c r="P29" s="2" t="e">
        <f t="shared" si="6"/>
        <v>#VALUE!</v>
      </c>
      <c r="Q29" s="2" t="e">
        <f t="shared" si="7"/>
        <v>#VALUE!</v>
      </c>
      <c r="R29" s="16" t="s">
        <v>88</v>
      </c>
    </row>
    <row r="30" spans="1:18" ht="15.75" x14ac:dyDescent="0.25">
      <c r="A30" s="1">
        <v>29</v>
      </c>
      <c r="B30" s="1" t="s">
        <v>52</v>
      </c>
      <c r="C30" s="1" t="s">
        <v>18</v>
      </c>
      <c r="D30" s="1" t="s">
        <v>19</v>
      </c>
      <c r="E30" s="7" t="s">
        <v>91</v>
      </c>
      <c r="F30" s="2" t="s">
        <v>92</v>
      </c>
      <c r="G30" s="7" t="s">
        <v>86</v>
      </c>
      <c r="H30" s="1" t="s">
        <v>23</v>
      </c>
      <c r="I30" s="15" t="s">
        <v>87</v>
      </c>
      <c r="J30" s="1" t="str">
        <f t="shared" si="0"/>
        <v>0</v>
      </c>
      <c r="K30" s="1" t="str">
        <f t="shared" si="1"/>
        <v>55.681</v>
      </c>
      <c r="L30" s="1" t="e">
        <f t="shared" si="2"/>
        <v>#VALUE!</v>
      </c>
      <c r="M30" s="1" t="str">
        <f t="shared" si="3"/>
        <v>29</v>
      </c>
      <c r="N30" s="1" t="str">
        <f t="shared" si="4"/>
        <v>19.804</v>
      </c>
      <c r="O30" s="1" t="e">
        <f t="shared" si="5"/>
        <v>#VALUE!</v>
      </c>
      <c r="P30" s="2" t="e">
        <f t="shared" si="6"/>
        <v>#VALUE!</v>
      </c>
      <c r="Q30" s="2" t="e">
        <f t="shared" si="7"/>
        <v>#VALUE!</v>
      </c>
      <c r="R30" s="16" t="s">
        <v>88</v>
      </c>
    </row>
    <row r="31" spans="1:18" ht="15.75" x14ac:dyDescent="0.25">
      <c r="A31" s="1">
        <v>30</v>
      </c>
      <c r="B31" s="1" t="s">
        <v>17</v>
      </c>
      <c r="C31" s="1" t="s">
        <v>18</v>
      </c>
      <c r="D31" s="1" t="s">
        <v>19</v>
      </c>
      <c r="E31" s="7" t="s">
        <v>84</v>
      </c>
      <c r="F31" s="7" t="s">
        <v>85</v>
      </c>
      <c r="G31" s="7" t="s">
        <v>86</v>
      </c>
      <c r="H31" s="1" t="s">
        <v>23</v>
      </c>
      <c r="I31" s="15" t="s">
        <v>87</v>
      </c>
      <c r="J31" s="1" t="str">
        <f t="shared" si="0"/>
        <v>0</v>
      </c>
      <c r="K31" s="1" t="str">
        <f t="shared" si="1"/>
        <v>55</v>
      </c>
      <c r="L31" s="1" t="str">
        <f t="shared" si="2"/>
        <v>10</v>
      </c>
      <c r="M31" s="1" t="str">
        <f t="shared" si="3"/>
        <v>29</v>
      </c>
      <c r="N31" s="1" t="str">
        <f t="shared" si="4"/>
        <v>20</v>
      </c>
      <c r="O31" s="1" t="str">
        <f t="shared" si="5"/>
        <v>33</v>
      </c>
      <c r="P31" s="2">
        <f t="shared" si="6"/>
        <v>0.9194444444444444</v>
      </c>
      <c r="Q31" s="2">
        <f t="shared" si="7"/>
        <v>-29.342500000000001</v>
      </c>
      <c r="R31" s="16" t="s">
        <v>88</v>
      </c>
    </row>
    <row r="32" spans="1:18" ht="15.75" x14ac:dyDescent="0.25">
      <c r="A32" s="1">
        <v>31</v>
      </c>
      <c r="B32" s="1" t="s">
        <v>17</v>
      </c>
      <c r="C32" s="1" t="s">
        <v>18</v>
      </c>
      <c r="D32" s="1" t="s">
        <v>19</v>
      </c>
      <c r="E32" s="7" t="s">
        <v>89</v>
      </c>
      <c r="F32" s="7" t="s">
        <v>90</v>
      </c>
      <c r="G32" s="7" t="s">
        <v>86</v>
      </c>
      <c r="H32" s="1" t="s">
        <v>23</v>
      </c>
      <c r="I32" s="15" t="s">
        <v>87</v>
      </c>
      <c r="J32" s="1" t="str">
        <f t="shared" si="0"/>
        <v>0</v>
      </c>
      <c r="K32" s="1" t="str">
        <f t="shared" si="1"/>
        <v>54.787</v>
      </c>
      <c r="L32" s="1" t="e">
        <f t="shared" si="2"/>
        <v>#VALUE!</v>
      </c>
      <c r="M32" s="1" t="str">
        <f t="shared" si="3"/>
        <v>29</v>
      </c>
      <c r="N32" s="1" t="str">
        <f t="shared" si="4"/>
        <v>21.451</v>
      </c>
      <c r="O32" s="1" t="e">
        <f t="shared" si="5"/>
        <v>#VALUE!</v>
      </c>
      <c r="P32" s="2" t="e">
        <f t="shared" si="6"/>
        <v>#VALUE!</v>
      </c>
      <c r="Q32" s="2" t="e">
        <f t="shared" si="7"/>
        <v>#VALUE!</v>
      </c>
      <c r="R32" s="16" t="s">
        <v>88</v>
      </c>
    </row>
    <row r="33" spans="1:18" ht="15.75" x14ac:dyDescent="0.25">
      <c r="A33" s="1">
        <v>32</v>
      </c>
      <c r="B33" s="1" t="s">
        <v>17</v>
      </c>
      <c r="C33" s="1" t="s">
        <v>18</v>
      </c>
      <c r="D33" s="1" t="s">
        <v>19</v>
      </c>
      <c r="E33" s="7" t="s">
        <v>91</v>
      </c>
      <c r="F33" s="2" t="s">
        <v>92</v>
      </c>
      <c r="G33" s="7" t="s">
        <v>86</v>
      </c>
      <c r="H33" s="1" t="s">
        <v>23</v>
      </c>
      <c r="I33" s="15" t="s">
        <v>87</v>
      </c>
      <c r="J33" s="1" t="str">
        <f t="shared" si="0"/>
        <v>0</v>
      </c>
      <c r="K33" s="1" t="str">
        <f t="shared" si="1"/>
        <v>55.681</v>
      </c>
      <c r="L33" s="1" t="e">
        <f t="shared" si="2"/>
        <v>#VALUE!</v>
      </c>
      <c r="M33" s="1" t="str">
        <f t="shared" si="3"/>
        <v>29</v>
      </c>
      <c r="N33" s="1" t="str">
        <f t="shared" si="4"/>
        <v>19.804</v>
      </c>
      <c r="O33" s="1" t="e">
        <f t="shared" si="5"/>
        <v>#VALUE!</v>
      </c>
      <c r="P33" s="2" t="e">
        <f t="shared" si="6"/>
        <v>#VALUE!</v>
      </c>
      <c r="Q33" s="2" t="e">
        <f t="shared" si="7"/>
        <v>#VALUE!</v>
      </c>
      <c r="R33" s="16" t="s">
        <v>88</v>
      </c>
    </row>
    <row r="34" spans="1:18" ht="15.75" x14ac:dyDescent="0.25">
      <c r="A34" s="1">
        <v>33</v>
      </c>
      <c r="B34" s="1" t="s">
        <v>52</v>
      </c>
      <c r="C34" s="1" t="s">
        <v>26</v>
      </c>
      <c r="D34" s="1" t="s">
        <v>19</v>
      </c>
      <c r="E34" s="7" t="s">
        <v>93</v>
      </c>
      <c r="F34" s="2" t="s">
        <v>94</v>
      </c>
      <c r="G34" s="7" t="s">
        <v>95</v>
      </c>
      <c r="H34" s="1" t="s">
        <v>23</v>
      </c>
      <c r="I34" s="1" t="s">
        <v>96</v>
      </c>
      <c r="J34" s="1" t="str">
        <f t="shared" si="0"/>
        <v>8</v>
      </c>
      <c r="K34" s="1" t="str">
        <f t="shared" si="1"/>
        <v>59</v>
      </c>
      <c r="L34" s="1" t="str">
        <f t="shared" si="2"/>
        <v>57</v>
      </c>
      <c r="M34" s="1" t="str">
        <f t="shared" si="3"/>
        <v>35</v>
      </c>
      <c r="N34" s="1" t="str">
        <f t="shared" si="4"/>
        <v>10</v>
      </c>
      <c r="O34" s="1" t="str">
        <f t="shared" si="5"/>
        <v>49</v>
      </c>
      <c r="P34" s="2">
        <f t="shared" si="6"/>
        <v>-8.9991666666666674</v>
      </c>
      <c r="Q34" s="2">
        <f t="shared" si="7"/>
        <v>-35.180277777777775</v>
      </c>
      <c r="R34" s="16" t="s">
        <v>97</v>
      </c>
    </row>
    <row r="35" spans="1:18" ht="15.75" x14ac:dyDescent="0.25">
      <c r="A35" s="1">
        <v>34</v>
      </c>
      <c r="B35" s="1" t="s">
        <v>41</v>
      </c>
      <c r="C35" s="1" t="s">
        <v>26</v>
      </c>
      <c r="D35" s="1" t="s">
        <v>19</v>
      </c>
      <c r="E35" s="7" t="s">
        <v>98</v>
      </c>
      <c r="F35" s="2" t="s">
        <v>99</v>
      </c>
      <c r="G35" s="7" t="s">
        <v>100</v>
      </c>
      <c r="H35" s="1" t="s">
        <v>23</v>
      </c>
      <c r="I35" s="1" t="s">
        <v>101</v>
      </c>
      <c r="J35" s="1" t="str">
        <f t="shared" si="0"/>
        <v>1</v>
      </c>
      <c r="K35" s="1" t="str">
        <f t="shared" si="1"/>
        <v>03</v>
      </c>
      <c r="L35" s="1" t="str">
        <f t="shared" si="2"/>
        <v>57</v>
      </c>
      <c r="M35" s="1" t="str">
        <f t="shared" si="3"/>
        <v>46</v>
      </c>
      <c r="N35" s="1" t="str">
        <f t="shared" si="4"/>
        <v>47</v>
      </c>
      <c r="O35" s="1" t="str">
        <f t="shared" si="5"/>
        <v>22</v>
      </c>
      <c r="P35" s="2">
        <f t="shared" si="6"/>
        <v>-1.0658333333333334</v>
      </c>
      <c r="Q35" s="2">
        <f t="shared" si="7"/>
        <v>-46.789444444444442</v>
      </c>
      <c r="R35" s="16" t="s">
        <v>102</v>
      </c>
    </row>
    <row r="36" spans="1:18" ht="15.75" x14ac:dyDescent="0.25">
      <c r="A36" s="1">
        <v>35</v>
      </c>
      <c r="B36" s="1" t="s">
        <v>40</v>
      </c>
      <c r="C36" s="1" t="s">
        <v>26</v>
      </c>
      <c r="D36" s="1" t="s">
        <v>19</v>
      </c>
      <c r="E36" s="7" t="s">
        <v>98</v>
      </c>
      <c r="F36" s="2" t="s">
        <v>99</v>
      </c>
      <c r="G36" s="7" t="s">
        <v>100</v>
      </c>
      <c r="H36" s="1" t="s">
        <v>23</v>
      </c>
      <c r="I36" s="1" t="s">
        <v>101</v>
      </c>
      <c r="J36" s="1" t="str">
        <f t="shared" si="0"/>
        <v>1</v>
      </c>
      <c r="K36" s="1" t="str">
        <f t="shared" si="1"/>
        <v>03</v>
      </c>
      <c r="L36" s="1" t="str">
        <f t="shared" si="2"/>
        <v>57</v>
      </c>
      <c r="M36" s="1" t="str">
        <f t="shared" si="3"/>
        <v>46</v>
      </c>
      <c r="N36" s="1" t="str">
        <f t="shared" si="4"/>
        <v>47</v>
      </c>
      <c r="O36" s="1" t="str">
        <f t="shared" si="5"/>
        <v>22</v>
      </c>
      <c r="P36" s="2">
        <f t="shared" si="6"/>
        <v>-1.0658333333333334</v>
      </c>
      <c r="Q36" s="2">
        <f t="shared" si="7"/>
        <v>-46.789444444444442</v>
      </c>
      <c r="R36" s="16" t="s">
        <v>102</v>
      </c>
    </row>
    <row r="37" spans="1:18" ht="15.75" x14ac:dyDescent="0.25">
      <c r="A37" s="1">
        <v>36</v>
      </c>
      <c r="B37" s="1" t="s">
        <v>40</v>
      </c>
      <c r="C37" s="1" t="s">
        <v>26</v>
      </c>
      <c r="D37" s="1" t="s">
        <v>19</v>
      </c>
      <c r="E37" s="7" t="s">
        <v>103</v>
      </c>
      <c r="F37" s="2" t="s">
        <v>104</v>
      </c>
      <c r="G37" s="7" t="s">
        <v>105</v>
      </c>
      <c r="H37" s="1" t="s">
        <v>23</v>
      </c>
      <c r="I37" s="15" t="s">
        <v>106</v>
      </c>
      <c r="J37" s="1" t="str">
        <f t="shared" si="0"/>
        <v>08</v>
      </c>
      <c r="K37" s="1" t="str">
        <f t="shared" si="1"/>
        <v>10</v>
      </c>
      <c r="L37" s="1" t="e">
        <f t="shared" si="2"/>
        <v>#VALUE!</v>
      </c>
      <c r="M37" s="1" t="str">
        <f t="shared" si="3"/>
        <v>34</v>
      </c>
      <c r="N37" s="1" t="str">
        <f t="shared" si="4"/>
        <v>49</v>
      </c>
      <c r="O37" s="1" t="e">
        <f t="shared" si="5"/>
        <v>#VALUE!</v>
      </c>
      <c r="P37" s="2" t="e">
        <f t="shared" si="6"/>
        <v>#VALUE!</v>
      </c>
      <c r="Q37" s="2" t="e">
        <f t="shared" si="7"/>
        <v>#VALUE!</v>
      </c>
      <c r="R37" s="16" t="s">
        <v>107</v>
      </c>
    </row>
    <row r="38" spans="1:18" ht="15.75" x14ac:dyDescent="0.25">
      <c r="A38" s="1">
        <v>37</v>
      </c>
      <c r="B38" s="1" t="s">
        <v>41</v>
      </c>
      <c r="C38" s="1" t="s">
        <v>26</v>
      </c>
      <c r="D38" s="1" t="s">
        <v>19</v>
      </c>
      <c r="E38" s="7" t="s">
        <v>103</v>
      </c>
      <c r="F38" s="2" t="s">
        <v>104</v>
      </c>
      <c r="G38" s="7" t="s">
        <v>105</v>
      </c>
      <c r="H38" s="1" t="s">
        <v>23</v>
      </c>
      <c r="I38" s="15" t="s">
        <v>106</v>
      </c>
      <c r="J38" s="1" t="str">
        <f t="shared" si="0"/>
        <v>08</v>
      </c>
      <c r="K38" s="1" t="str">
        <f t="shared" si="1"/>
        <v>10</v>
      </c>
      <c r="L38" s="1" t="e">
        <f t="shared" si="2"/>
        <v>#VALUE!</v>
      </c>
      <c r="M38" s="1" t="str">
        <f t="shared" si="3"/>
        <v>34</v>
      </c>
      <c r="N38" s="1" t="str">
        <f t="shared" si="4"/>
        <v>49</v>
      </c>
      <c r="O38" s="1" t="e">
        <f t="shared" si="5"/>
        <v>#VALUE!</v>
      </c>
      <c r="P38" s="2" t="e">
        <f t="shared" si="6"/>
        <v>#VALUE!</v>
      </c>
      <c r="Q38" s="2" t="e">
        <f t="shared" si="7"/>
        <v>#VALUE!</v>
      </c>
      <c r="R38" s="16" t="s">
        <v>107</v>
      </c>
    </row>
    <row r="39" spans="1:18" ht="15.75" x14ac:dyDescent="0.25">
      <c r="A39" s="1">
        <v>38</v>
      </c>
      <c r="B39" s="1" t="s">
        <v>52</v>
      </c>
      <c r="C39" s="1" t="s">
        <v>26</v>
      </c>
      <c r="D39" s="1" t="s">
        <v>19</v>
      </c>
      <c r="E39" s="7" t="s">
        <v>108</v>
      </c>
      <c r="F39" s="2" t="s">
        <v>109</v>
      </c>
      <c r="G39" s="1" t="s">
        <v>110</v>
      </c>
      <c r="H39" s="1" t="s">
        <v>23</v>
      </c>
      <c r="I39" s="15" t="s">
        <v>68</v>
      </c>
      <c r="J39" s="1" t="str">
        <f t="shared" si="0"/>
        <v>8</v>
      </c>
      <c r="K39" s="1" t="str">
        <f t="shared" si="1"/>
        <v>30</v>
      </c>
      <c r="L39" s="1" t="str">
        <f t="shared" si="2"/>
        <v>54</v>
      </c>
      <c r="M39" s="1" t="str">
        <f t="shared" si="3"/>
        <v>34</v>
      </c>
      <c r="N39" s="1" t="str">
        <f t="shared" si="4"/>
        <v>59</v>
      </c>
      <c r="O39" s="1" t="str">
        <f t="shared" si="5"/>
        <v>47</v>
      </c>
      <c r="P39" s="2">
        <f t="shared" si="6"/>
        <v>-8.5150000000000006</v>
      </c>
      <c r="Q39" s="2">
        <f t="shared" si="7"/>
        <v>-34.996388888888887</v>
      </c>
      <c r="R39" s="16" t="s">
        <v>111</v>
      </c>
    </row>
    <row r="40" spans="1:18" ht="15.75" x14ac:dyDescent="0.25">
      <c r="A40" s="1">
        <v>39</v>
      </c>
      <c r="B40" s="1" t="s">
        <v>40</v>
      </c>
      <c r="C40" s="1" t="s">
        <v>26</v>
      </c>
      <c r="D40" s="1" t="s">
        <v>19</v>
      </c>
      <c r="E40" s="7" t="s">
        <v>108</v>
      </c>
      <c r="F40" s="2" t="s">
        <v>109</v>
      </c>
      <c r="G40" s="1" t="s">
        <v>110</v>
      </c>
      <c r="H40" s="1" t="s">
        <v>23</v>
      </c>
      <c r="I40" s="15" t="s">
        <v>68</v>
      </c>
      <c r="J40" s="1" t="str">
        <f t="shared" si="0"/>
        <v>8</v>
      </c>
      <c r="K40" s="1" t="str">
        <f t="shared" si="1"/>
        <v>30</v>
      </c>
      <c r="L40" s="1" t="str">
        <f t="shared" si="2"/>
        <v>54</v>
      </c>
      <c r="M40" s="1" t="str">
        <f t="shared" si="3"/>
        <v>34</v>
      </c>
      <c r="N40" s="1" t="str">
        <f t="shared" si="4"/>
        <v>59</v>
      </c>
      <c r="O40" s="1" t="str">
        <f t="shared" si="5"/>
        <v>47</v>
      </c>
      <c r="P40" s="2">
        <f t="shared" si="6"/>
        <v>-8.5150000000000006</v>
      </c>
      <c r="Q40" s="2">
        <f t="shared" si="7"/>
        <v>-34.996388888888887</v>
      </c>
      <c r="R40" s="16" t="s">
        <v>111</v>
      </c>
    </row>
    <row r="41" spans="1:18" ht="15.75" x14ac:dyDescent="0.25">
      <c r="A41" s="1">
        <v>40</v>
      </c>
      <c r="B41" s="1" t="s">
        <v>17</v>
      </c>
      <c r="C41" s="1" t="s">
        <v>26</v>
      </c>
      <c r="D41" s="1" t="s">
        <v>19</v>
      </c>
      <c r="E41" s="7" t="s">
        <v>108</v>
      </c>
      <c r="F41" s="2" t="s">
        <v>109</v>
      </c>
      <c r="G41" s="1" t="s">
        <v>110</v>
      </c>
      <c r="H41" s="1" t="s">
        <v>23</v>
      </c>
      <c r="I41" s="15" t="s">
        <v>68</v>
      </c>
      <c r="J41" s="1" t="str">
        <f t="shared" si="0"/>
        <v>8</v>
      </c>
      <c r="K41" s="1" t="str">
        <f t="shared" si="1"/>
        <v>30</v>
      </c>
      <c r="L41" s="1" t="str">
        <f t="shared" si="2"/>
        <v>54</v>
      </c>
      <c r="M41" s="1" t="str">
        <f t="shared" si="3"/>
        <v>34</v>
      </c>
      <c r="N41" s="1" t="str">
        <f t="shared" si="4"/>
        <v>59</v>
      </c>
      <c r="O41" s="1" t="str">
        <f t="shared" si="5"/>
        <v>47</v>
      </c>
      <c r="P41" s="2">
        <f t="shared" si="6"/>
        <v>-8.5150000000000006</v>
      </c>
      <c r="Q41" s="2">
        <f t="shared" si="7"/>
        <v>-34.996388888888887</v>
      </c>
      <c r="R41" s="16" t="s">
        <v>111</v>
      </c>
    </row>
    <row r="42" spans="1:18" ht="15.75" x14ac:dyDescent="0.25">
      <c r="A42" s="1">
        <v>41</v>
      </c>
      <c r="B42" s="1" t="s">
        <v>52</v>
      </c>
      <c r="C42" s="1" t="s">
        <v>26</v>
      </c>
      <c r="D42" s="1" t="s">
        <v>19</v>
      </c>
      <c r="E42" s="7" t="s">
        <v>112</v>
      </c>
      <c r="F42" s="7" t="s">
        <v>113</v>
      </c>
      <c r="G42" s="7" t="s">
        <v>114</v>
      </c>
      <c r="H42" s="1" t="s">
        <v>23</v>
      </c>
      <c r="I42" s="1" t="s">
        <v>115</v>
      </c>
      <c r="J42" s="1" t="str">
        <f t="shared" si="0"/>
        <v>18</v>
      </c>
      <c r="K42" s="1" t="str">
        <f t="shared" si="1"/>
        <v>01</v>
      </c>
      <c r="L42" s="1" t="str">
        <f t="shared" si="2"/>
        <v>15</v>
      </c>
      <c r="M42" s="1" t="str">
        <f t="shared" si="3"/>
        <v>38</v>
      </c>
      <c r="N42" s="1" t="str">
        <f t="shared" si="4"/>
        <v>43</v>
      </c>
      <c r="O42" s="1" t="str">
        <f t="shared" si="5"/>
        <v>16</v>
      </c>
      <c r="P42" s="2">
        <f t="shared" si="6"/>
        <v>-18.020833333333332</v>
      </c>
      <c r="Q42" s="2">
        <f t="shared" si="7"/>
        <v>-38.721111111111114</v>
      </c>
      <c r="R42" s="16" t="s">
        <v>116</v>
      </c>
    </row>
    <row r="43" spans="1:18" ht="15.75" x14ac:dyDescent="0.25">
      <c r="A43" s="1">
        <v>42</v>
      </c>
      <c r="B43" s="1" t="s">
        <v>40</v>
      </c>
      <c r="C43" s="1" t="s">
        <v>26</v>
      </c>
      <c r="D43" s="1" t="s">
        <v>19</v>
      </c>
      <c r="E43" s="7" t="s">
        <v>112</v>
      </c>
      <c r="F43" s="7" t="s">
        <v>113</v>
      </c>
      <c r="G43" s="7" t="s">
        <v>114</v>
      </c>
      <c r="H43" s="1" t="s">
        <v>23</v>
      </c>
      <c r="I43" s="1" t="s">
        <v>115</v>
      </c>
      <c r="J43" s="1" t="str">
        <f t="shared" si="0"/>
        <v>18</v>
      </c>
      <c r="K43" s="1" t="str">
        <f t="shared" si="1"/>
        <v>01</v>
      </c>
      <c r="L43" s="1" t="str">
        <f t="shared" si="2"/>
        <v>15</v>
      </c>
      <c r="M43" s="1" t="str">
        <f t="shared" si="3"/>
        <v>38</v>
      </c>
      <c r="N43" s="1" t="str">
        <f t="shared" si="4"/>
        <v>43</v>
      </c>
      <c r="O43" s="1" t="str">
        <f t="shared" si="5"/>
        <v>16</v>
      </c>
      <c r="P43" s="2">
        <f t="shared" si="6"/>
        <v>-18.020833333333332</v>
      </c>
      <c r="Q43" s="2">
        <f t="shared" si="7"/>
        <v>-38.721111111111114</v>
      </c>
      <c r="R43" s="16" t="s">
        <v>116</v>
      </c>
    </row>
    <row r="44" spans="1:18" ht="15.75" x14ac:dyDescent="0.25">
      <c r="A44" s="1">
        <v>43</v>
      </c>
      <c r="B44" s="1" t="s">
        <v>17</v>
      </c>
      <c r="C44" s="1" t="s">
        <v>26</v>
      </c>
      <c r="D44" s="1" t="s">
        <v>19</v>
      </c>
      <c r="E44" s="7" t="s">
        <v>112</v>
      </c>
      <c r="F44" s="7" t="s">
        <v>113</v>
      </c>
      <c r="G44" s="7" t="s">
        <v>114</v>
      </c>
      <c r="H44" s="1" t="s">
        <v>23</v>
      </c>
      <c r="I44" s="1" t="s">
        <v>115</v>
      </c>
      <c r="J44" s="1" t="str">
        <f t="shared" si="0"/>
        <v>18</v>
      </c>
      <c r="K44" s="1" t="str">
        <f t="shared" si="1"/>
        <v>01</v>
      </c>
      <c r="L44" s="1" t="str">
        <f t="shared" si="2"/>
        <v>15</v>
      </c>
      <c r="M44" s="1" t="str">
        <f t="shared" si="3"/>
        <v>38</v>
      </c>
      <c r="N44" s="1" t="str">
        <f t="shared" si="4"/>
        <v>43</v>
      </c>
      <c r="O44" s="1" t="str">
        <f t="shared" si="5"/>
        <v>16</v>
      </c>
      <c r="P44" s="2">
        <f t="shared" si="6"/>
        <v>-18.020833333333332</v>
      </c>
      <c r="Q44" s="2">
        <f t="shared" si="7"/>
        <v>-38.721111111111114</v>
      </c>
      <c r="R44" s="16" t="s">
        <v>116</v>
      </c>
    </row>
    <row r="45" spans="1:18" ht="15.75" x14ac:dyDescent="0.25">
      <c r="A45" s="1">
        <v>44</v>
      </c>
      <c r="B45" s="1" t="s">
        <v>40</v>
      </c>
      <c r="C45" s="1" t="s">
        <v>26</v>
      </c>
      <c r="D45" s="1" t="s">
        <v>19</v>
      </c>
      <c r="E45" s="7" t="s">
        <v>117</v>
      </c>
      <c r="F45" s="7" t="s">
        <v>118</v>
      </c>
      <c r="G45" s="7" t="s">
        <v>114</v>
      </c>
      <c r="H45" s="1" t="s">
        <v>23</v>
      </c>
      <c r="I45" s="7" t="s">
        <v>119</v>
      </c>
      <c r="J45" s="1" t="str">
        <f t="shared" si="0"/>
        <v>03</v>
      </c>
      <c r="K45" s="1" t="str">
        <f t="shared" si="1"/>
        <v>50</v>
      </c>
      <c r="L45" s="1" t="e">
        <f t="shared" si="2"/>
        <v>#VALUE!</v>
      </c>
      <c r="M45" s="1" t="str">
        <f t="shared" si="3"/>
        <v>38</v>
      </c>
      <c r="N45" s="1" t="str">
        <f t="shared" si="4"/>
        <v>20</v>
      </c>
      <c r="O45" s="1" t="e">
        <f t="shared" si="5"/>
        <v>#VALUE!</v>
      </c>
      <c r="P45" s="2" t="e">
        <f t="shared" si="6"/>
        <v>#VALUE!</v>
      </c>
      <c r="Q45" s="2" t="e">
        <f t="shared" si="7"/>
        <v>#VALUE!</v>
      </c>
      <c r="R45" s="16" t="s">
        <v>116</v>
      </c>
    </row>
    <row r="46" spans="1:18" ht="15.75" x14ac:dyDescent="0.25">
      <c r="A46" s="1">
        <v>45</v>
      </c>
      <c r="B46" s="1" t="s">
        <v>40</v>
      </c>
      <c r="C46" s="1" t="s">
        <v>26</v>
      </c>
      <c r="D46" s="1" t="s">
        <v>19</v>
      </c>
      <c r="E46" s="7" t="s">
        <v>120</v>
      </c>
      <c r="F46" s="7" t="s">
        <v>121</v>
      </c>
      <c r="G46" s="7" t="s">
        <v>114</v>
      </c>
      <c r="H46" s="1" t="s">
        <v>23</v>
      </c>
      <c r="I46" s="7" t="s">
        <v>122</v>
      </c>
      <c r="J46" s="1" t="str">
        <f t="shared" si="0"/>
        <v>23</v>
      </c>
      <c r="K46" s="1" t="str">
        <f t="shared" si="1"/>
        <v>17</v>
      </c>
      <c r="L46" s="1" t="e">
        <f t="shared" si="2"/>
        <v>#VALUE!</v>
      </c>
      <c r="M46" s="1" t="str">
        <f t="shared" si="3"/>
        <v>44</v>
      </c>
      <c r="N46" s="1" t="str">
        <f t="shared" si="4"/>
        <v>10</v>
      </c>
      <c r="O46" s="1" t="e">
        <f t="shared" si="5"/>
        <v>#VALUE!</v>
      </c>
      <c r="P46" s="2" t="e">
        <f t="shared" si="6"/>
        <v>#VALUE!</v>
      </c>
      <c r="Q46" s="2" t="e">
        <f t="shared" si="7"/>
        <v>#VALUE!</v>
      </c>
      <c r="R46" s="16" t="s">
        <v>116</v>
      </c>
    </row>
    <row r="47" spans="1:18" ht="15.75" x14ac:dyDescent="0.25">
      <c r="A47" s="1">
        <v>46</v>
      </c>
      <c r="B47" s="1" t="s">
        <v>52</v>
      </c>
      <c r="C47" s="1" t="s">
        <v>26</v>
      </c>
      <c r="D47" s="1" t="s">
        <v>19</v>
      </c>
      <c r="E47" s="7" t="s">
        <v>123</v>
      </c>
      <c r="F47" s="7" t="s">
        <v>124</v>
      </c>
      <c r="G47" s="7" t="s">
        <v>114</v>
      </c>
      <c r="H47" s="1" t="s">
        <v>23</v>
      </c>
      <c r="I47" s="7" t="s">
        <v>125</v>
      </c>
      <c r="J47" s="1" t="str">
        <f t="shared" si="0"/>
        <v>4</v>
      </c>
      <c r="K47" s="1" t="str">
        <f t="shared" si="1"/>
        <v>25</v>
      </c>
      <c r="L47" s="1" t="e">
        <f t="shared" si="2"/>
        <v>#VALUE!</v>
      </c>
      <c r="M47" s="1" t="str">
        <f t="shared" si="3"/>
        <v>37</v>
      </c>
      <c r="N47" s="1" t="str">
        <f t="shared" si="4"/>
        <v>16</v>
      </c>
      <c r="O47" s="1" t="e">
        <f t="shared" si="5"/>
        <v>#VALUE!</v>
      </c>
      <c r="P47" s="2" t="e">
        <f t="shared" si="6"/>
        <v>#VALUE!</v>
      </c>
      <c r="Q47" s="2" t="e">
        <f t="shared" si="7"/>
        <v>#VALUE!</v>
      </c>
      <c r="R47" s="16" t="s">
        <v>116</v>
      </c>
    </row>
    <row r="48" spans="1:18" ht="15.75" x14ac:dyDescent="0.25">
      <c r="A48" s="1">
        <v>47</v>
      </c>
      <c r="B48" s="1" t="s">
        <v>52</v>
      </c>
      <c r="C48" s="1" t="s">
        <v>26</v>
      </c>
      <c r="D48" s="1" t="s">
        <v>19</v>
      </c>
      <c r="E48" s="7" t="s">
        <v>126</v>
      </c>
      <c r="F48" s="7" t="s">
        <v>127</v>
      </c>
      <c r="G48" s="7" t="s">
        <v>114</v>
      </c>
      <c r="H48" s="1" t="s">
        <v>23</v>
      </c>
      <c r="I48" s="1" t="s">
        <v>128</v>
      </c>
      <c r="J48" s="1" t="str">
        <f t="shared" si="0"/>
        <v>17</v>
      </c>
      <c r="K48" s="1" t="str">
        <f t="shared" si="1"/>
        <v>57</v>
      </c>
      <c r="L48" s="1" t="str">
        <f t="shared" si="2"/>
        <v>29</v>
      </c>
      <c r="M48" s="1" t="str">
        <f t="shared" si="3"/>
        <v>38</v>
      </c>
      <c r="N48" s="1" t="str">
        <f t="shared" si="4"/>
        <v>42</v>
      </c>
      <c r="O48" s="1" t="str">
        <f t="shared" si="5"/>
        <v>09</v>
      </c>
      <c r="P48" s="2">
        <f t="shared" si="6"/>
        <v>-17.958055555555557</v>
      </c>
      <c r="Q48" s="2">
        <f t="shared" si="7"/>
        <v>-38.702500000000001</v>
      </c>
      <c r="R48" s="16" t="s">
        <v>116</v>
      </c>
    </row>
    <row r="49" spans="1:18" ht="15.75" x14ac:dyDescent="0.25">
      <c r="A49" s="1">
        <v>48</v>
      </c>
      <c r="B49" s="1" t="s">
        <v>52</v>
      </c>
      <c r="C49" s="1" t="s">
        <v>26</v>
      </c>
      <c r="D49" s="1" t="s">
        <v>19</v>
      </c>
      <c r="E49" s="7" t="s">
        <v>129</v>
      </c>
      <c r="F49" s="7" t="s">
        <v>130</v>
      </c>
      <c r="G49" s="7" t="s">
        <v>114</v>
      </c>
      <c r="H49" s="1" t="s">
        <v>23</v>
      </c>
      <c r="I49" s="1" t="s">
        <v>131</v>
      </c>
      <c r="J49" s="1" t="str">
        <f t="shared" si="0"/>
        <v>17</v>
      </c>
      <c r="K49" s="1" t="str">
        <f t="shared" si="1"/>
        <v>57</v>
      </c>
      <c r="L49" s="1" t="str">
        <f t="shared" si="2"/>
        <v>38</v>
      </c>
      <c r="M49" s="1" t="str">
        <f t="shared" si="3"/>
        <v>38</v>
      </c>
      <c r="N49" s="1" t="str">
        <f t="shared" si="4"/>
        <v>42</v>
      </c>
      <c r="O49" s="1" t="str">
        <f t="shared" si="5"/>
        <v>55</v>
      </c>
      <c r="P49" s="2">
        <f t="shared" si="6"/>
        <v>-17.960555555555555</v>
      </c>
      <c r="Q49" s="2">
        <f t="shared" si="7"/>
        <v>-38.715277777777779</v>
      </c>
      <c r="R49" s="16" t="s">
        <v>116</v>
      </c>
    </row>
    <row r="50" spans="1:18" ht="15.75" x14ac:dyDescent="0.25">
      <c r="A50" s="1">
        <v>49</v>
      </c>
      <c r="B50" s="1" t="s">
        <v>52</v>
      </c>
      <c r="C50" s="1" t="s">
        <v>26</v>
      </c>
      <c r="D50" s="1" t="s">
        <v>19</v>
      </c>
      <c r="E50" s="7" t="s">
        <v>132</v>
      </c>
      <c r="F50" s="7" t="s">
        <v>133</v>
      </c>
      <c r="G50" s="7" t="s">
        <v>114</v>
      </c>
      <c r="H50" s="1" t="s">
        <v>23</v>
      </c>
      <c r="I50" s="1" t="s">
        <v>134</v>
      </c>
      <c r="J50" s="1" t="str">
        <f t="shared" si="0"/>
        <v>17</v>
      </c>
      <c r="K50" s="1" t="str">
        <f t="shared" si="1"/>
        <v>57</v>
      </c>
      <c r="L50" s="1" t="str">
        <f t="shared" si="2"/>
        <v>59</v>
      </c>
      <c r="M50" s="1" t="str">
        <f t="shared" si="3"/>
        <v>38</v>
      </c>
      <c r="N50" s="1" t="str">
        <f t="shared" si="4"/>
        <v>42</v>
      </c>
      <c r="O50" s="1" t="str">
        <f t="shared" si="5"/>
        <v>52</v>
      </c>
      <c r="P50" s="2">
        <f t="shared" si="6"/>
        <v>-17.96638888888889</v>
      </c>
      <c r="Q50" s="2">
        <f t="shared" si="7"/>
        <v>-38.714444444444446</v>
      </c>
      <c r="R50" s="16" t="s">
        <v>116</v>
      </c>
    </row>
    <row r="51" spans="1:18" ht="15.75" x14ac:dyDescent="0.25">
      <c r="A51" s="1">
        <v>50</v>
      </c>
      <c r="B51" s="1" t="s">
        <v>17</v>
      </c>
      <c r="C51" s="1" t="s">
        <v>26</v>
      </c>
      <c r="D51" s="1" t="s">
        <v>19</v>
      </c>
      <c r="E51" s="7" t="s">
        <v>117</v>
      </c>
      <c r="F51" s="7" t="s">
        <v>135</v>
      </c>
      <c r="G51" s="7" t="s">
        <v>114</v>
      </c>
      <c r="H51" s="1" t="s">
        <v>23</v>
      </c>
      <c r="I51" s="7" t="s">
        <v>136</v>
      </c>
      <c r="J51" s="1" t="str">
        <f t="shared" si="0"/>
        <v>03</v>
      </c>
      <c r="K51" s="1" t="str">
        <f t="shared" si="1"/>
        <v>50</v>
      </c>
      <c r="L51" s="1" t="e">
        <f t="shared" si="2"/>
        <v>#VALUE!</v>
      </c>
      <c r="M51" s="1" t="str">
        <f t="shared" si="3"/>
        <v>32</v>
      </c>
      <c r="N51" s="1" t="str">
        <f t="shared" si="4"/>
        <v>24</v>
      </c>
      <c r="O51" s="1" t="e">
        <f t="shared" si="5"/>
        <v>#VALUE!</v>
      </c>
      <c r="P51" s="2" t="e">
        <f t="shared" si="6"/>
        <v>#VALUE!</v>
      </c>
      <c r="Q51" s="2" t="e">
        <f t="shared" si="7"/>
        <v>#VALUE!</v>
      </c>
      <c r="R51" s="16" t="s">
        <v>116</v>
      </c>
    </row>
    <row r="52" spans="1:18" ht="15.75" x14ac:dyDescent="0.25">
      <c r="A52" s="1">
        <v>51</v>
      </c>
      <c r="B52" s="1" t="s">
        <v>17</v>
      </c>
      <c r="C52" s="1" t="s">
        <v>26</v>
      </c>
      <c r="D52" s="1" t="s">
        <v>19</v>
      </c>
      <c r="E52" s="17" t="s">
        <v>137</v>
      </c>
      <c r="F52" s="17" t="s">
        <v>138</v>
      </c>
      <c r="G52" s="7" t="s">
        <v>114</v>
      </c>
      <c r="H52" s="1" t="s">
        <v>23</v>
      </c>
      <c r="I52" s="7" t="s">
        <v>139</v>
      </c>
      <c r="J52" s="1" t="str">
        <f t="shared" si="0"/>
        <v>03</v>
      </c>
      <c r="K52" s="1" t="str">
        <f t="shared" si="1"/>
        <v>45</v>
      </c>
      <c r="L52" s="1" t="e">
        <f t="shared" si="2"/>
        <v>#VALUE!</v>
      </c>
      <c r="M52" s="1" t="str">
        <f t="shared" si="3"/>
        <v>32</v>
      </c>
      <c r="N52" s="1" t="str">
        <f t="shared" si="4"/>
        <v>19</v>
      </c>
      <c r="O52" s="1" t="e">
        <f t="shared" si="5"/>
        <v>#VALUE!</v>
      </c>
      <c r="P52" s="2" t="e">
        <f t="shared" si="6"/>
        <v>#VALUE!</v>
      </c>
      <c r="Q52" s="2" t="e">
        <f t="shared" si="7"/>
        <v>#VALUE!</v>
      </c>
      <c r="R52" s="16" t="s">
        <v>116</v>
      </c>
    </row>
    <row r="53" spans="1:18" ht="15.75" x14ac:dyDescent="0.25">
      <c r="A53" s="1">
        <v>52</v>
      </c>
      <c r="B53" s="1" t="s">
        <v>40</v>
      </c>
      <c r="C53" s="1" t="s">
        <v>26</v>
      </c>
      <c r="D53" s="1" t="s">
        <v>19</v>
      </c>
      <c r="E53" s="7" t="s">
        <v>117</v>
      </c>
      <c r="F53" s="7" t="s">
        <v>135</v>
      </c>
      <c r="G53" s="7" t="s">
        <v>114</v>
      </c>
      <c r="H53" s="1" t="s">
        <v>23</v>
      </c>
      <c r="I53" s="7" t="s">
        <v>136</v>
      </c>
      <c r="J53" s="1" t="str">
        <f t="shared" si="0"/>
        <v>03</v>
      </c>
      <c r="K53" s="1" t="str">
        <f t="shared" si="1"/>
        <v>50</v>
      </c>
      <c r="L53" s="1" t="e">
        <f t="shared" si="2"/>
        <v>#VALUE!</v>
      </c>
      <c r="M53" s="1" t="str">
        <f t="shared" si="3"/>
        <v>32</v>
      </c>
      <c r="N53" s="1" t="str">
        <f t="shared" si="4"/>
        <v>24</v>
      </c>
      <c r="O53" s="1" t="e">
        <f t="shared" si="5"/>
        <v>#VALUE!</v>
      </c>
      <c r="P53" s="2" t="e">
        <f t="shared" si="6"/>
        <v>#VALUE!</v>
      </c>
      <c r="Q53" s="2" t="e">
        <f t="shared" si="7"/>
        <v>#VALUE!</v>
      </c>
      <c r="R53" s="16" t="s">
        <v>116</v>
      </c>
    </row>
    <row r="54" spans="1:18" ht="15.75" x14ac:dyDescent="0.25">
      <c r="A54" s="1">
        <v>53</v>
      </c>
      <c r="B54" s="1" t="s">
        <v>52</v>
      </c>
      <c r="C54" s="1" t="s">
        <v>26</v>
      </c>
      <c r="D54" s="1" t="s">
        <v>19</v>
      </c>
      <c r="E54" s="7" t="s">
        <v>108</v>
      </c>
      <c r="F54" s="7" t="s">
        <v>109</v>
      </c>
      <c r="G54" s="1" t="s">
        <v>140</v>
      </c>
      <c r="H54" s="1" t="s">
        <v>23</v>
      </c>
      <c r="I54" s="15" t="s">
        <v>68</v>
      </c>
      <c r="J54" s="1" t="str">
        <f t="shared" si="0"/>
        <v>8</v>
      </c>
      <c r="K54" s="1" t="str">
        <f t="shared" si="1"/>
        <v>30</v>
      </c>
      <c r="L54" s="1" t="str">
        <f t="shared" si="2"/>
        <v>54</v>
      </c>
      <c r="M54" s="1" t="str">
        <f t="shared" si="3"/>
        <v>34</v>
      </c>
      <c r="N54" s="1" t="str">
        <f t="shared" si="4"/>
        <v>59</v>
      </c>
      <c r="O54" s="1" t="str">
        <f t="shared" si="5"/>
        <v>47</v>
      </c>
      <c r="P54" s="2">
        <f t="shared" si="6"/>
        <v>-8.5150000000000006</v>
      </c>
      <c r="Q54" s="2">
        <f t="shared" si="7"/>
        <v>-34.996388888888887</v>
      </c>
      <c r="R54" s="16" t="s">
        <v>141</v>
      </c>
    </row>
    <row r="55" spans="1:18" ht="15.75" x14ac:dyDescent="0.25">
      <c r="A55" s="1">
        <v>54</v>
      </c>
      <c r="B55" s="1" t="s">
        <v>52</v>
      </c>
      <c r="C55" s="1" t="s">
        <v>26</v>
      </c>
      <c r="D55" s="1" t="s">
        <v>19</v>
      </c>
      <c r="E55" s="7" t="s">
        <v>70</v>
      </c>
      <c r="F55" s="7" t="s">
        <v>142</v>
      </c>
      <c r="G55" s="1" t="s">
        <v>143</v>
      </c>
      <c r="H55" s="1" t="s">
        <v>23</v>
      </c>
      <c r="I55" s="7" t="s">
        <v>144</v>
      </c>
      <c r="J55" s="1" t="str">
        <f t="shared" si="0"/>
        <v>08</v>
      </c>
      <c r="K55" s="1" t="str">
        <f t="shared" si="1"/>
        <v>44</v>
      </c>
      <c r="L55" s="1" t="str">
        <f t="shared" si="2"/>
        <v>23</v>
      </c>
      <c r="M55" s="1" t="str">
        <f t="shared" si="3"/>
        <v>35</v>
      </c>
      <c r="N55" s="1" t="str">
        <f t="shared" si="4"/>
        <v>07</v>
      </c>
      <c r="O55" s="1" t="str">
        <f t="shared" si="5"/>
        <v>29</v>
      </c>
      <c r="P55" s="2">
        <f t="shared" si="6"/>
        <v>-8.7397222222222215</v>
      </c>
      <c r="Q55" s="2">
        <f t="shared" si="7"/>
        <v>-35.124722222222225</v>
      </c>
      <c r="R55" s="16" t="s">
        <v>141</v>
      </c>
    </row>
    <row r="56" spans="1:18" ht="15.75" x14ac:dyDescent="0.25">
      <c r="A56" s="1">
        <v>55</v>
      </c>
      <c r="B56" s="1" t="s">
        <v>52</v>
      </c>
      <c r="C56" s="1" t="s">
        <v>26</v>
      </c>
      <c r="D56" s="1" t="s">
        <v>19</v>
      </c>
      <c r="E56" s="7" t="s">
        <v>145</v>
      </c>
      <c r="F56" s="7" t="s">
        <v>71</v>
      </c>
      <c r="G56" s="1" t="s">
        <v>143</v>
      </c>
      <c r="H56" s="1" t="s">
        <v>23</v>
      </c>
      <c r="I56" s="7" t="s">
        <v>144</v>
      </c>
      <c r="J56" s="1" t="str">
        <f t="shared" si="0"/>
        <v>08</v>
      </c>
      <c r="K56" s="1" t="str">
        <f t="shared" si="1"/>
        <v>44</v>
      </c>
      <c r="L56" s="1" t="str">
        <f t="shared" si="2"/>
        <v>41</v>
      </c>
      <c r="M56" s="1" t="str">
        <f t="shared" si="3"/>
        <v>35</v>
      </c>
      <c r="N56" s="1" t="str">
        <f t="shared" si="4"/>
        <v>02</v>
      </c>
      <c r="O56" s="1" t="str">
        <f t="shared" si="5"/>
        <v>28</v>
      </c>
      <c r="P56" s="2">
        <f t="shared" si="6"/>
        <v>-8.7447222222222223</v>
      </c>
      <c r="Q56" s="2">
        <f t="shared" si="7"/>
        <v>-35.041111111111114</v>
      </c>
      <c r="R56" s="16" t="s">
        <v>141</v>
      </c>
    </row>
    <row r="57" spans="1:18" ht="15.75" x14ac:dyDescent="0.25">
      <c r="A57" s="1">
        <v>56</v>
      </c>
      <c r="B57" s="1" t="s">
        <v>17</v>
      </c>
      <c r="C57" s="1" t="s">
        <v>26</v>
      </c>
      <c r="D57" s="1" t="s">
        <v>19</v>
      </c>
      <c r="E57" s="7" t="s">
        <v>108</v>
      </c>
      <c r="F57" s="7" t="s">
        <v>109</v>
      </c>
      <c r="G57" s="1" t="s">
        <v>140</v>
      </c>
      <c r="H57" s="1" t="s">
        <v>23</v>
      </c>
      <c r="I57" s="15" t="s">
        <v>68</v>
      </c>
      <c r="J57" s="1" t="str">
        <f t="shared" si="0"/>
        <v>8</v>
      </c>
      <c r="K57" s="1" t="str">
        <f t="shared" si="1"/>
        <v>30</v>
      </c>
      <c r="L57" s="1" t="str">
        <f t="shared" si="2"/>
        <v>54</v>
      </c>
      <c r="M57" s="1" t="str">
        <f t="shared" si="3"/>
        <v>34</v>
      </c>
      <c r="N57" s="1" t="str">
        <f t="shared" si="4"/>
        <v>59</v>
      </c>
      <c r="O57" s="1" t="str">
        <f t="shared" si="5"/>
        <v>47</v>
      </c>
      <c r="P57" s="2">
        <f t="shared" si="6"/>
        <v>-8.5150000000000006</v>
      </c>
      <c r="Q57" s="2">
        <f t="shared" si="7"/>
        <v>-34.996388888888887</v>
      </c>
      <c r="R57" s="16" t="s">
        <v>141</v>
      </c>
    </row>
    <row r="58" spans="1:18" ht="15.75" x14ac:dyDescent="0.25">
      <c r="A58" s="1">
        <v>57</v>
      </c>
      <c r="B58" s="1" t="s">
        <v>17</v>
      </c>
      <c r="C58" s="1" t="s">
        <v>26</v>
      </c>
      <c r="D58" s="1" t="s">
        <v>19</v>
      </c>
      <c r="E58" s="7" t="s">
        <v>70</v>
      </c>
      <c r="F58" s="7" t="s">
        <v>142</v>
      </c>
      <c r="G58" s="1" t="s">
        <v>140</v>
      </c>
      <c r="H58" s="1" t="s">
        <v>23</v>
      </c>
      <c r="I58" s="7" t="s">
        <v>144</v>
      </c>
      <c r="J58" s="1" t="str">
        <f t="shared" si="0"/>
        <v>08</v>
      </c>
      <c r="K58" s="1" t="str">
        <f t="shared" si="1"/>
        <v>44</v>
      </c>
      <c r="L58" s="1" t="str">
        <f t="shared" si="2"/>
        <v>23</v>
      </c>
      <c r="M58" s="1" t="str">
        <f t="shared" si="3"/>
        <v>35</v>
      </c>
      <c r="N58" s="1" t="str">
        <f t="shared" si="4"/>
        <v>07</v>
      </c>
      <c r="O58" s="1" t="str">
        <f t="shared" si="5"/>
        <v>29</v>
      </c>
      <c r="P58" s="2">
        <f t="shared" si="6"/>
        <v>-8.7397222222222215</v>
      </c>
      <c r="Q58" s="2">
        <f t="shared" si="7"/>
        <v>-35.124722222222225</v>
      </c>
      <c r="R58" s="16" t="s">
        <v>141</v>
      </c>
    </row>
    <row r="59" spans="1:18" ht="15.75" x14ac:dyDescent="0.25">
      <c r="A59" s="1">
        <v>58</v>
      </c>
      <c r="B59" s="1" t="s">
        <v>17</v>
      </c>
      <c r="C59" s="1" t="s">
        <v>26</v>
      </c>
      <c r="D59" s="1" t="s">
        <v>19</v>
      </c>
      <c r="E59" s="7" t="s">
        <v>145</v>
      </c>
      <c r="F59" s="7" t="s">
        <v>71</v>
      </c>
      <c r="G59" s="1" t="s">
        <v>140</v>
      </c>
      <c r="H59" s="1" t="s">
        <v>23</v>
      </c>
      <c r="I59" s="7" t="s">
        <v>144</v>
      </c>
      <c r="J59" s="1" t="str">
        <f t="shared" si="0"/>
        <v>08</v>
      </c>
      <c r="K59" s="1" t="str">
        <f t="shared" si="1"/>
        <v>44</v>
      </c>
      <c r="L59" s="1" t="str">
        <f t="shared" si="2"/>
        <v>41</v>
      </c>
      <c r="M59" s="1" t="str">
        <f t="shared" si="3"/>
        <v>35</v>
      </c>
      <c r="N59" s="1" t="str">
        <f t="shared" si="4"/>
        <v>02</v>
      </c>
      <c r="O59" s="1" t="str">
        <f t="shared" si="5"/>
        <v>28</v>
      </c>
      <c r="P59" s="2">
        <f t="shared" si="6"/>
        <v>-8.7447222222222223</v>
      </c>
      <c r="Q59" s="2">
        <f t="shared" si="7"/>
        <v>-35.041111111111114</v>
      </c>
      <c r="R59" s="16" t="s">
        <v>141</v>
      </c>
    </row>
    <row r="60" spans="1:18" ht="15.75" x14ac:dyDescent="0.25">
      <c r="A60" s="1">
        <v>59</v>
      </c>
      <c r="B60" s="1" t="s">
        <v>40</v>
      </c>
      <c r="C60" s="1" t="s">
        <v>26</v>
      </c>
      <c r="D60" s="1" t="s">
        <v>19</v>
      </c>
      <c r="E60" s="7" t="s">
        <v>108</v>
      </c>
      <c r="F60" s="7" t="s">
        <v>109</v>
      </c>
      <c r="G60" s="1" t="s">
        <v>140</v>
      </c>
      <c r="H60" s="1" t="s">
        <v>23</v>
      </c>
      <c r="I60" s="15" t="s">
        <v>68</v>
      </c>
      <c r="J60" s="1" t="str">
        <f t="shared" si="0"/>
        <v>8</v>
      </c>
      <c r="K60" s="1" t="str">
        <f t="shared" si="1"/>
        <v>30</v>
      </c>
      <c r="L60" s="1" t="str">
        <f t="shared" si="2"/>
        <v>54</v>
      </c>
      <c r="M60" s="1" t="str">
        <f t="shared" si="3"/>
        <v>34</v>
      </c>
      <c r="N60" s="1" t="str">
        <f t="shared" si="4"/>
        <v>59</v>
      </c>
      <c r="O60" s="1" t="str">
        <f t="shared" si="5"/>
        <v>47</v>
      </c>
      <c r="P60" s="2">
        <f t="shared" si="6"/>
        <v>-8.5150000000000006</v>
      </c>
      <c r="Q60" s="2">
        <f t="shared" si="7"/>
        <v>-34.996388888888887</v>
      </c>
      <c r="R60" s="16" t="s">
        <v>141</v>
      </c>
    </row>
    <row r="61" spans="1:18" ht="15.75" x14ac:dyDescent="0.25">
      <c r="A61" s="1">
        <v>60</v>
      </c>
      <c r="B61" s="1" t="s">
        <v>40</v>
      </c>
      <c r="C61" s="1" t="s">
        <v>26</v>
      </c>
      <c r="D61" s="1" t="s">
        <v>19</v>
      </c>
      <c r="E61" s="7" t="s">
        <v>70</v>
      </c>
      <c r="F61" s="7" t="s">
        <v>142</v>
      </c>
      <c r="G61" s="1" t="s">
        <v>140</v>
      </c>
      <c r="H61" s="1" t="s">
        <v>23</v>
      </c>
      <c r="I61" s="7" t="s">
        <v>144</v>
      </c>
      <c r="J61" s="1" t="str">
        <f t="shared" si="0"/>
        <v>08</v>
      </c>
      <c r="K61" s="1" t="str">
        <f t="shared" si="1"/>
        <v>44</v>
      </c>
      <c r="L61" s="1" t="str">
        <f t="shared" si="2"/>
        <v>23</v>
      </c>
      <c r="M61" s="1" t="str">
        <f t="shared" si="3"/>
        <v>35</v>
      </c>
      <c r="N61" s="1" t="str">
        <f t="shared" si="4"/>
        <v>07</v>
      </c>
      <c r="O61" s="1" t="str">
        <f t="shared" si="5"/>
        <v>29</v>
      </c>
      <c r="P61" s="2">
        <f t="shared" si="6"/>
        <v>-8.7397222222222215</v>
      </c>
      <c r="Q61" s="2">
        <f t="shared" si="7"/>
        <v>-35.124722222222225</v>
      </c>
      <c r="R61" s="16" t="s">
        <v>141</v>
      </c>
    </row>
    <row r="62" spans="1:18" ht="15.75" x14ac:dyDescent="0.25">
      <c r="A62" s="1">
        <v>61</v>
      </c>
      <c r="B62" s="1" t="s">
        <v>40</v>
      </c>
      <c r="C62" s="1" t="s">
        <v>26</v>
      </c>
      <c r="D62" s="1" t="s">
        <v>19</v>
      </c>
      <c r="E62" s="7" t="s">
        <v>145</v>
      </c>
      <c r="F62" s="7" t="s">
        <v>71</v>
      </c>
      <c r="G62" s="1" t="s">
        <v>140</v>
      </c>
      <c r="H62" s="1" t="s">
        <v>23</v>
      </c>
      <c r="I62" s="7" t="s">
        <v>144</v>
      </c>
      <c r="J62" s="1" t="str">
        <f t="shared" ref="J62:J123" si="8">MID(E62,1,FIND("°",E62,1)-1)</f>
        <v>08</v>
      </c>
      <c r="K62" s="1" t="str">
        <f t="shared" ref="K62:K123" si="9">MID(E62,FIND("°",E62,1)+1,(FIND("′",E62,1)-FIND("°",E62,1))-1)</f>
        <v>44</v>
      </c>
      <c r="L62" s="1" t="str">
        <f t="shared" ref="L62:L123" si="10">MID(E62,FIND("′",E62,1)+1,(FIND("″",E62,1)-FIND("′",E62,1))-1)</f>
        <v>41</v>
      </c>
      <c r="M62" s="1" t="str">
        <f t="shared" ref="M62:M123" si="11">MID(F62,1,FIND("°",F62,1)-1)</f>
        <v>35</v>
      </c>
      <c r="N62" s="1" t="str">
        <f t="shared" ref="N62:N123" si="12">MID(F62,FIND("°",F62,1)+1,(FIND("′",F62,1)-FIND("°",F62,1))-1)</f>
        <v>02</v>
      </c>
      <c r="O62" s="1" t="str">
        <f t="shared" ref="O62:O123" si="13">MID(F62,FIND("′",F62,1)+1,(FIND("″",F62,1)-FIND("′",F62,1))-1)</f>
        <v>28</v>
      </c>
      <c r="P62" s="2">
        <f t="shared" ref="P62:P123" si="14">((((L62/60)+K62)/60)+J62)*IF(C62="S",-1, 1)</f>
        <v>-8.7447222222222223</v>
      </c>
      <c r="Q62" s="2">
        <f t="shared" ref="Q62:Q123" si="15">((((O62/60)+N62)/60)+M62)*IF(D62="W",-1, 1)</f>
        <v>-35.041111111111114</v>
      </c>
      <c r="R62" s="16" t="s">
        <v>141</v>
      </c>
    </row>
    <row r="63" spans="1:18" ht="15.75" x14ac:dyDescent="0.25">
      <c r="A63" s="1">
        <v>62</v>
      </c>
      <c r="B63" s="1" t="s">
        <v>52</v>
      </c>
      <c r="C63" s="1" t="s">
        <v>26</v>
      </c>
      <c r="D63" s="1" t="s">
        <v>19</v>
      </c>
      <c r="E63" s="7" t="s">
        <v>146</v>
      </c>
      <c r="F63" s="2" t="s">
        <v>147</v>
      </c>
      <c r="G63" s="1" t="s">
        <v>148</v>
      </c>
      <c r="H63" s="1" t="s">
        <v>23</v>
      </c>
      <c r="I63" s="7" t="s">
        <v>139</v>
      </c>
      <c r="J63" s="1" t="str">
        <f t="shared" si="8"/>
        <v>03</v>
      </c>
      <c r="K63" s="1" t="str">
        <f t="shared" si="9"/>
        <v>52</v>
      </c>
      <c r="L63" s="1" t="e">
        <f t="shared" si="10"/>
        <v>#VALUE!</v>
      </c>
      <c r="M63" s="1" t="str">
        <f t="shared" si="11"/>
        <v>33</v>
      </c>
      <c r="N63" s="1" t="str">
        <f t="shared" si="12"/>
        <v>48</v>
      </c>
      <c r="O63" s="1" t="e">
        <f t="shared" si="13"/>
        <v>#VALUE!</v>
      </c>
      <c r="P63" s="2" t="e">
        <f t="shared" si="14"/>
        <v>#VALUE!</v>
      </c>
      <c r="Q63" s="2" t="e">
        <f t="shared" si="15"/>
        <v>#VALUE!</v>
      </c>
      <c r="R63" s="16" t="s">
        <v>149</v>
      </c>
    </row>
    <row r="64" spans="1:18" ht="15.75" x14ac:dyDescent="0.25">
      <c r="A64" s="1">
        <v>63</v>
      </c>
      <c r="B64" s="1" t="s">
        <v>52</v>
      </c>
      <c r="C64" s="1" t="s">
        <v>26</v>
      </c>
      <c r="D64" s="1" t="s">
        <v>19</v>
      </c>
      <c r="E64" s="7" t="s">
        <v>150</v>
      </c>
      <c r="F64" s="2" t="s">
        <v>151</v>
      </c>
      <c r="G64" s="1" t="s">
        <v>148</v>
      </c>
      <c r="H64" s="1" t="s">
        <v>23</v>
      </c>
      <c r="I64" s="7" t="s">
        <v>152</v>
      </c>
      <c r="J64" s="1" t="str">
        <f t="shared" si="8"/>
        <v>03</v>
      </c>
      <c r="K64" s="1" t="str">
        <f t="shared" si="9"/>
        <v>51</v>
      </c>
      <c r="L64" s="1" t="e">
        <f t="shared" si="10"/>
        <v>#VALUE!</v>
      </c>
      <c r="M64" s="1" t="str">
        <f t="shared" si="11"/>
        <v>32</v>
      </c>
      <c r="N64" s="1" t="str">
        <f t="shared" si="12"/>
        <v>25</v>
      </c>
      <c r="O64" s="1" t="e">
        <f t="shared" si="13"/>
        <v>#VALUE!</v>
      </c>
      <c r="P64" s="2" t="e">
        <f t="shared" si="14"/>
        <v>#VALUE!</v>
      </c>
      <c r="Q64" s="2" t="e">
        <f t="shared" si="15"/>
        <v>#VALUE!</v>
      </c>
      <c r="R64" s="16" t="s">
        <v>149</v>
      </c>
    </row>
    <row r="65" spans="1:18" ht="15.75" x14ac:dyDescent="0.25">
      <c r="A65" s="1">
        <v>64</v>
      </c>
      <c r="B65" s="1" t="s">
        <v>52</v>
      </c>
      <c r="C65" s="1" t="s">
        <v>26</v>
      </c>
      <c r="D65" s="1" t="s">
        <v>19</v>
      </c>
      <c r="E65" s="7" t="s">
        <v>153</v>
      </c>
      <c r="F65" s="2" t="s">
        <v>154</v>
      </c>
      <c r="G65" s="1" t="s">
        <v>148</v>
      </c>
      <c r="H65" s="1" t="s">
        <v>23</v>
      </c>
      <c r="I65" s="7" t="s">
        <v>155</v>
      </c>
      <c r="J65" s="1" t="str">
        <f t="shared" si="8"/>
        <v>20</v>
      </c>
      <c r="K65" s="1" t="str">
        <f t="shared" si="9"/>
        <v>28</v>
      </c>
      <c r="L65" s="1" t="e">
        <f t="shared" si="10"/>
        <v>#VALUE!</v>
      </c>
      <c r="M65" s="1" t="str">
        <f t="shared" si="11"/>
        <v>29</v>
      </c>
      <c r="N65" s="1" t="str">
        <f t="shared" si="12"/>
        <v>21</v>
      </c>
      <c r="O65" s="1" t="e">
        <f t="shared" si="13"/>
        <v>#VALUE!</v>
      </c>
      <c r="P65" s="2" t="e">
        <f t="shared" si="14"/>
        <v>#VALUE!</v>
      </c>
      <c r="Q65" s="2" t="e">
        <f t="shared" si="15"/>
        <v>#VALUE!</v>
      </c>
      <c r="R65" s="16" t="s">
        <v>149</v>
      </c>
    </row>
    <row r="66" spans="1:18" ht="15.75" x14ac:dyDescent="0.25">
      <c r="A66" s="1">
        <v>65</v>
      </c>
      <c r="B66" s="1" t="s">
        <v>17</v>
      </c>
      <c r="C66" s="1" t="s">
        <v>26</v>
      </c>
      <c r="D66" s="1" t="s">
        <v>19</v>
      </c>
      <c r="E66" s="7" t="s">
        <v>150</v>
      </c>
      <c r="F66" s="2" t="s">
        <v>147</v>
      </c>
      <c r="G66" s="1" t="s">
        <v>156</v>
      </c>
      <c r="H66" s="1" t="s">
        <v>23</v>
      </c>
      <c r="I66" s="7" t="s">
        <v>139</v>
      </c>
      <c r="J66" s="1" t="str">
        <f t="shared" si="8"/>
        <v>03</v>
      </c>
      <c r="K66" s="1" t="str">
        <f t="shared" si="9"/>
        <v>51</v>
      </c>
      <c r="L66" s="1" t="e">
        <f t="shared" si="10"/>
        <v>#VALUE!</v>
      </c>
      <c r="M66" s="1" t="str">
        <f t="shared" si="11"/>
        <v>33</v>
      </c>
      <c r="N66" s="1" t="str">
        <f t="shared" si="12"/>
        <v>48</v>
      </c>
      <c r="O66" s="1" t="e">
        <f t="shared" si="13"/>
        <v>#VALUE!</v>
      </c>
      <c r="P66" s="2" t="e">
        <f t="shared" si="14"/>
        <v>#VALUE!</v>
      </c>
      <c r="Q66" s="2" t="e">
        <f t="shared" si="15"/>
        <v>#VALUE!</v>
      </c>
      <c r="R66" s="16" t="s">
        <v>157</v>
      </c>
    </row>
    <row r="67" spans="1:18" ht="15.75" x14ac:dyDescent="0.25">
      <c r="A67" s="1">
        <v>66</v>
      </c>
      <c r="B67" s="1" t="s">
        <v>40</v>
      </c>
      <c r="C67" s="1" t="s">
        <v>26</v>
      </c>
      <c r="D67" s="1" t="s">
        <v>19</v>
      </c>
      <c r="E67" s="7" t="s">
        <v>150</v>
      </c>
      <c r="F67" s="2" t="s">
        <v>147</v>
      </c>
      <c r="G67" s="1" t="s">
        <v>156</v>
      </c>
      <c r="H67" s="1" t="s">
        <v>23</v>
      </c>
      <c r="I67" s="7" t="s">
        <v>139</v>
      </c>
      <c r="J67" s="1" t="str">
        <f t="shared" si="8"/>
        <v>03</v>
      </c>
      <c r="K67" s="1" t="str">
        <f t="shared" si="9"/>
        <v>51</v>
      </c>
      <c r="L67" s="1" t="e">
        <f t="shared" si="10"/>
        <v>#VALUE!</v>
      </c>
      <c r="M67" s="1" t="str">
        <f t="shared" si="11"/>
        <v>33</v>
      </c>
      <c r="N67" s="1" t="str">
        <f t="shared" si="12"/>
        <v>48</v>
      </c>
      <c r="O67" s="1" t="e">
        <f t="shared" si="13"/>
        <v>#VALUE!</v>
      </c>
      <c r="P67" s="2" t="e">
        <f t="shared" si="14"/>
        <v>#VALUE!</v>
      </c>
      <c r="Q67" s="2" t="e">
        <f t="shared" si="15"/>
        <v>#VALUE!</v>
      </c>
      <c r="R67" s="16" t="s">
        <v>157</v>
      </c>
    </row>
    <row r="68" spans="1:18" ht="15.75" x14ac:dyDescent="0.25">
      <c r="A68" s="1">
        <v>67</v>
      </c>
      <c r="B68" s="1" t="s">
        <v>52</v>
      </c>
      <c r="C68" s="1" t="s">
        <v>26</v>
      </c>
      <c r="D68" s="1" t="s">
        <v>19</v>
      </c>
      <c r="E68" s="7" t="s">
        <v>150</v>
      </c>
      <c r="F68" s="2" t="s">
        <v>147</v>
      </c>
      <c r="G68" s="1" t="s">
        <v>156</v>
      </c>
      <c r="H68" s="1" t="s">
        <v>23</v>
      </c>
      <c r="I68" s="7" t="s">
        <v>139</v>
      </c>
      <c r="J68" s="1" t="str">
        <f t="shared" si="8"/>
        <v>03</v>
      </c>
      <c r="K68" s="1" t="str">
        <f t="shared" si="9"/>
        <v>51</v>
      </c>
      <c r="L68" s="1" t="e">
        <f t="shared" si="10"/>
        <v>#VALUE!</v>
      </c>
      <c r="M68" s="1" t="str">
        <f t="shared" si="11"/>
        <v>33</v>
      </c>
      <c r="N68" s="1" t="str">
        <f t="shared" si="12"/>
        <v>48</v>
      </c>
      <c r="O68" s="1" t="e">
        <f t="shared" si="13"/>
        <v>#VALUE!</v>
      </c>
      <c r="P68" s="2" t="e">
        <f t="shared" si="14"/>
        <v>#VALUE!</v>
      </c>
      <c r="Q68" s="2" t="e">
        <f t="shared" si="15"/>
        <v>#VALUE!</v>
      </c>
      <c r="R68" s="16" t="s">
        <v>157</v>
      </c>
    </row>
    <row r="69" spans="1:18" ht="15.75" x14ac:dyDescent="0.25">
      <c r="A69" s="1">
        <v>68</v>
      </c>
      <c r="B69" s="1" t="s">
        <v>52</v>
      </c>
      <c r="C69" s="1" t="s">
        <v>26</v>
      </c>
      <c r="D69" s="1" t="s">
        <v>19</v>
      </c>
      <c r="E69" s="7" t="s">
        <v>158</v>
      </c>
      <c r="F69" s="7" t="s">
        <v>159</v>
      </c>
      <c r="G69" s="7" t="s">
        <v>160</v>
      </c>
      <c r="H69" s="1" t="s">
        <v>23</v>
      </c>
      <c r="I69" s="7" t="s">
        <v>161</v>
      </c>
      <c r="J69" s="1" t="str">
        <f t="shared" si="8"/>
        <v>8</v>
      </c>
      <c r="K69" s="1" t="str">
        <f t="shared" si="9"/>
        <v>45</v>
      </c>
      <c r="L69" s="1" t="e">
        <f t="shared" si="10"/>
        <v>#VALUE!</v>
      </c>
      <c r="M69" s="1" t="str">
        <f t="shared" si="11"/>
        <v>34</v>
      </c>
      <c r="N69" s="1" t="str">
        <f t="shared" si="12"/>
        <v>57</v>
      </c>
      <c r="O69" s="1" t="e">
        <f t="shared" si="13"/>
        <v>#VALUE!</v>
      </c>
      <c r="P69" s="2" t="e">
        <f t="shared" si="14"/>
        <v>#VALUE!</v>
      </c>
      <c r="Q69" s="2" t="e">
        <f t="shared" si="15"/>
        <v>#VALUE!</v>
      </c>
      <c r="R69" s="16" t="s">
        <v>162</v>
      </c>
    </row>
    <row r="70" spans="1:18" ht="15.75" x14ac:dyDescent="0.25">
      <c r="A70" s="1">
        <v>69</v>
      </c>
      <c r="B70" s="1" t="s">
        <v>52</v>
      </c>
      <c r="C70" s="1" t="s">
        <v>18</v>
      </c>
      <c r="D70" s="1" t="s">
        <v>19</v>
      </c>
      <c r="E70" s="7" t="s">
        <v>163</v>
      </c>
      <c r="F70" s="7" t="s">
        <v>164</v>
      </c>
      <c r="G70" s="7" t="s">
        <v>165</v>
      </c>
      <c r="H70" s="1" t="s">
        <v>23</v>
      </c>
      <c r="I70" s="7" t="s">
        <v>87</v>
      </c>
      <c r="J70" s="1" t="str">
        <f t="shared" si="8"/>
        <v>00</v>
      </c>
      <c r="K70" s="1" t="str">
        <f t="shared" si="9"/>
        <v>55</v>
      </c>
      <c r="L70" s="1" t="str">
        <f t="shared" si="10"/>
        <v>01</v>
      </c>
      <c r="M70" s="1" t="str">
        <f t="shared" si="11"/>
        <v>29</v>
      </c>
      <c r="N70" s="1" t="str">
        <f t="shared" si="12"/>
        <v>20</v>
      </c>
      <c r="O70" s="1" t="str">
        <f t="shared" si="13"/>
        <v>44</v>
      </c>
      <c r="P70" s="2">
        <f t="shared" si="14"/>
        <v>0.91694444444444445</v>
      </c>
      <c r="Q70" s="2">
        <f t="shared" si="15"/>
        <v>-29.345555555555556</v>
      </c>
      <c r="R70" s="16" t="s">
        <v>166</v>
      </c>
    </row>
    <row r="71" spans="1:18" ht="15.75" x14ac:dyDescent="0.25">
      <c r="A71" s="1">
        <v>70</v>
      </c>
      <c r="B71" s="1" t="s">
        <v>52</v>
      </c>
      <c r="C71" s="1" t="s">
        <v>26</v>
      </c>
      <c r="D71" s="1" t="s">
        <v>19</v>
      </c>
      <c r="E71" s="7" t="s">
        <v>167</v>
      </c>
      <c r="F71" s="7" t="s">
        <v>168</v>
      </c>
      <c r="G71" s="7" t="s">
        <v>169</v>
      </c>
      <c r="H71" s="1" t="s">
        <v>23</v>
      </c>
      <c r="I71" s="7" t="s">
        <v>37</v>
      </c>
      <c r="J71" s="1" t="str">
        <f t="shared" si="8"/>
        <v>04</v>
      </c>
      <c r="K71" s="1" t="str">
        <f t="shared" si="9"/>
        <v>37</v>
      </c>
      <c r="L71" s="1" t="str">
        <f t="shared" si="10"/>
        <v>48,0</v>
      </c>
      <c r="M71" s="1" t="str">
        <f t="shared" si="11"/>
        <v>37</v>
      </c>
      <c r="N71" s="1" t="str">
        <f t="shared" si="12"/>
        <v>30</v>
      </c>
      <c r="O71" s="1" t="str">
        <f t="shared" si="13"/>
        <v>22,9</v>
      </c>
      <c r="P71" s="2">
        <f t="shared" si="14"/>
        <v>-4.63</v>
      </c>
      <c r="Q71" s="2">
        <f t="shared" si="15"/>
        <v>-37.506361111111111</v>
      </c>
      <c r="R71" s="16" t="s">
        <v>170</v>
      </c>
    </row>
    <row r="72" spans="1:18" ht="15.75" x14ac:dyDescent="0.25">
      <c r="A72" s="1">
        <v>71</v>
      </c>
      <c r="B72" s="1" t="s">
        <v>40</v>
      </c>
      <c r="C72" s="1" t="s">
        <v>18</v>
      </c>
      <c r="D72" s="1" t="s">
        <v>19</v>
      </c>
      <c r="E72" s="7" t="s">
        <v>163</v>
      </c>
      <c r="F72" s="7" t="s">
        <v>164</v>
      </c>
      <c r="G72" s="7" t="s">
        <v>171</v>
      </c>
      <c r="H72" s="1" t="s">
        <v>23</v>
      </c>
      <c r="I72" s="15" t="s">
        <v>87</v>
      </c>
      <c r="J72" s="1" t="str">
        <f t="shared" si="8"/>
        <v>00</v>
      </c>
      <c r="K72" s="1" t="str">
        <f t="shared" si="9"/>
        <v>55</v>
      </c>
      <c r="L72" s="1" t="str">
        <f t="shared" si="10"/>
        <v>01</v>
      </c>
      <c r="M72" s="1" t="str">
        <f t="shared" si="11"/>
        <v>29</v>
      </c>
      <c r="N72" s="1" t="str">
        <f t="shared" si="12"/>
        <v>20</v>
      </c>
      <c r="O72" s="1" t="str">
        <f t="shared" si="13"/>
        <v>44</v>
      </c>
      <c r="P72" s="2">
        <f t="shared" si="14"/>
        <v>0.91694444444444445</v>
      </c>
      <c r="Q72" s="2">
        <f t="shared" si="15"/>
        <v>-29.345555555555556</v>
      </c>
      <c r="R72" s="16" t="s">
        <v>172</v>
      </c>
    </row>
    <row r="73" spans="1:18" ht="15.75" x14ac:dyDescent="0.25">
      <c r="A73" s="1">
        <v>72</v>
      </c>
      <c r="B73" s="1" t="s">
        <v>17</v>
      </c>
      <c r="C73" s="1" t="s">
        <v>18</v>
      </c>
      <c r="D73" s="1" t="s">
        <v>19</v>
      </c>
      <c r="E73" s="7" t="s">
        <v>163</v>
      </c>
      <c r="F73" s="7" t="s">
        <v>164</v>
      </c>
      <c r="G73" s="7" t="s">
        <v>171</v>
      </c>
      <c r="H73" s="1" t="s">
        <v>23</v>
      </c>
      <c r="I73" s="15" t="s">
        <v>87</v>
      </c>
      <c r="J73" s="1" t="str">
        <f t="shared" si="8"/>
        <v>00</v>
      </c>
      <c r="K73" s="1" t="str">
        <f t="shared" si="9"/>
        <v>55</v>
      </c>
      <c r="L73" s="1" t="str">
        <f t="shared" si="10"/>
        <v>01</v>
      </c>
      <c r="M73" s="1" t="str">
        <f t="shared" si="11"/>
        <v>29</v>
      </c>
      <c r="N73" s="1" t="str">
        <f t="shared" si="12"/>
        <v>20</v>
      </c>
      <c r="O73" s="1" t="str">
        <f t="shared" si="13"/>
        <v>44</v>
      </c>
      <c r="P73" s="2">
        <f t="shared" si="14"/>
        <v>0.91694444444444445</v>
      </c>
      <c r="Q73" s="2">
        <f t="shared" si="15"/>
        <v>-29.345555555555556</v>
      </c>
      <c r="R73" s="16" t="s">
        <v>172</v>
      </c>
    </row>
    <row r="74" spans="1:18" ht="15.75" x14ac:dyDescent="0.25">
      <c r="A74" s="1">
        <v>73</v>
      </c>
      <c r="B74" s="1" t="s">
        <v>40</v>
      </c>
      <c r="C74" s="1" t="s">
        <v>26</v>
      </c>
      <c r="D74" s="1" t="s">
        <v>19</v>
      </c>
      <c r="E74" s="7" t="s">
        <v>137</v>
      </c>
      <c r="F74" s="2" t="s">
        <v>173</v>
      </c>
      <c r="G74" s="7" t="s">
        <v>174</v>
      </c>
      <c r="H74" s="1" t="s">
        <v>23</v>
      </c>
      <c r="I74" s="1" t="s">
        <v>175</v>
      </c>
      <c r="J74" s="1" t="str">
        <f t="shared" si="8"/>
        <v>03</v>
      </c>
      <c r="K74" s="1" t="str">
        <f t="shared" si="9"/>
        <v>45</v>
      </c>
      <c r="L74" s="1" t="e">
        <f t="shared" si="10"/>
        <v>#VALUE!</v>
      </c>
      <c r="M74" s="1" t="str">
        <f t="shared" si="11"/>
        <v xml:space="preserve"> 38</v>
      </c>
      <c r="N74" s="1" t="str">
        <f t="shared" si="12"/>
        <v>13</v>
      </c>
      <c r="O74" s="1" t="e">
        <f t="shared" ref="O74" si="16">MID(F74,FIND("′",F74,1)+1,(FIND("″",F74,1)-FIND("′",F74,1))-1)</f>
        <v>#VALUE!</v>
      </c>
      <c r="P74" s="2" t="e">
        <f t="shared" ref="P74" si="17">((((L74/60)+K74)/60)+J74)*IF(C74="S",-1, 1)</f>
        <v>#VALUE!</v>
      </c>
      <c r="Q74" s="2" t="e">
        <f t="shared" ref="Q74" si="18">((((O74/60)+N74)/60)+M74)*IF(D74="W",-1, 1)</f>
        <v>#VALUE!</v>
      </c>
      <c r="R74" s="16" t="s">
        <v>176</v>
      </c>
    </row>
    <row r="75" spans="1:18" ht="15.75" x14ac:dyDescent="0.25">
      <c r="A75" s="1">
        <v>74</v>
      </c>
      <c r="B75" s="1" t="s">
        <v>40</v>
      </c>
      <c r="C75" s="1" t="s">
        <v>26</v>
      </c>
      <c r="D75" s="1" t="s">
        <v>19</v>
      </c>
      <c r="E75" s="7" t="s">
        <v>137</v>
      </c>
      <c r="F75" s="2" t="s">
        <v>173</v>
      </c>
      <c r="G75" s="7" t="s">
        <v>177</v>
      </c>
      <c r="H75" s="1" t="s">
        <v>23</v>
      </c>
      <c r="I75" s="1" t="s">
        <v>178</v>
      </c>
      <c r="J75" s="1" t="str">
        <f t="shared" si="8"/>
        <v>03</v>
      </c>
      <c r="K75" s="1" t="str">
        <f t="shared" si="9"/>
        <v>45</v>
      </c>
      <c r="L75" s="1" t="e">
        <f t="shared" si="10"/>
        <v>#VALUE!</v>
      </c>
      <c r="M75" s="1" t="str">
        <f t="shared" si="11"/>
        <v xml:space="preserve"> 38</v>
      </c>
      <c r="N75" s="1" t="str">
        <f t="shared" si="12"/>
        <v>13</v>
      </c>
      <c r="O75" s="1" t="e">
        <f t="shared" si="13"/>
        <v>#VALUE!</v>
      </c>
      <c r="P75" s="2" t="e">
        <f t="shared" si="14"/>
        <v>#VALUE!</v>
      </c>
      <c r="Q75" s="2" t="e">
        <f t="shared" si="15"/>
        <v>#VALUE!</v>
      </c>
      <c r="R75" s="16" t="s">
        <v>179</v>
      </c>
    </row>
    <row r="76" spans="1:18" ht="15.75" x14ac:dyDescent="0.25">
      <c r="A76" s="1">
        <v>75</v>
      </c>
      <c r="B76" s="1" t="s">
        <v>40</v>
      </c>
      <c r="C76" s="1" t="s">
        <v>26</v>
      </c>
      <c r="D76" s="1" t="s">
        <v>19</v>
      </c>
      <c r="E76" s="7" t="s">
        <v>180</v>
      </c>
      <c r="F76" s="2" t="s">
        <v>181</v>
      </c>
      <c r="G76" s="7" t="s">
        <v>177</v>
      </c>
      <c r="H76" s="1" t="s">
        <v>23</v>
      </c>
      <c r="I76" s="1" t="s">
        <v>178</v>
      </c>
      <c r="J76" s="1" t="str">
        <f t="shared" si="8"/>
        <v>03</v>
      </c>
      <c r="K76" s="1" t="str">
        <f t="shared" si="9"/>
        <v>38</v>
      </c>
      <c r="L76" s="1" t="e">
        <f t="shared" si="10"/>
        <v>#VALUE!</v>
      </c>
      <c r="M76" s="1" t="str">
        <f t="shared" si="11"/>
        <v>38</v>
      </c>
      <c r="N76" s="1" t="str">
        <f t="shared" si="12"/>
        <v>13</v>
      </c>
      <c r="O76" s="1" t="e">
        <f t="shared" si="13"/>
        <v>#VALUE!</v>
      </c>
      <c r="P76" s="2" t="e">
        <f t="shared" si="14"/>
        <v>#VALUE!</v>
      </c>
      <c r="Q76" s="2" t="e">
        <f t="shared" si="15"/>
        <v>#VALUE!</v>
      </c>
      <c r="R76" s="16" t="s">
        <v>179</v>
      </c>
    </row>
    <row r="77" spans="1:18" ht="15.75" x14ac:dyDescent="0.25">
      <c r="A77" s="1">
        <v>76</v>
      </c>
      <c r="B77" s="1" t="s">
        <v>40</v>
      </c>
      <c r="C77" s="1" t="s">
        <v>26</v>
      </c>
      <c r="D77" s="1" t="s">
        <v>19</v>
      </c>
      <c r="E77" s="7" t="s">
        <v>182</v>
      </c>
      <c r="F77" s="2" t="s">
        <v>183</v>
      </c>
      <c r="G77" s="7" t="s">
        <v>177</v>
      </c>
      <c r="H77" s="1" t="s">
        <v>23</v>
      </c>
      <c r="I77" s="1" t="s">
        <v>178</v>
      </c>
      <c r="J77" s="1" t="str">
        <f t="shared" si="8"/>
        <v>03</v>
      </c>
      <c r="K77" s="1" t="str">
        <f t="shared" si="9"/>
        <v>31</v>
      </c>
      <c r="L77" s="1" t="e">
        <f t="shared" si="10"/>
        <v>#VALUE!</v>
      </c>
      <c r="M77" s="1" t="str">
        <f t="shared" si="11"/>
        <v xml:space="preserve"> 38</v>
      </c>
      <c r="N77" s="1" t="str">
        <f t="shared" si="12"/>
        <v>12</v>
      </c>
      <c r="O77" s="1" t="e">
        <f t="shared" si="13"/>
        <v>#VALUE!</v>
      </c>
      <c r="P77" s="2" t="e">
        <f t="shared" si="14"/>
        <v>#VALUE!</v>
      </c>
      <c r="Q77" s="2" t="e">
        <f t="shared" si="15"/>
        <v>#VALUE!</v>
      </c>
      <c r="R77" s="16" t="s">
        <v>179</v>
      </c>
    </row>
    <row r="78" spans="1:18" ht="15.75" x14ac:dyDescent="0.25">
      <c r="A78" s="1">
        <v>77</v>
      </c>
      <c r="B78" s="1" t="s">
        <v>17</v>
      </c>
      <c r="C78" s="1" t="s">
        <v>26</v>
      </c>
      <c r="D78" s="1" t="s">
        <v>19</v>
      </c>
      <c r="E78" s="7" t="s">
        <v>137</v>
      </c>
      <c r="F78" s="2" t="s">
        <v>173</v>
      </c>
      <c r="G78" s="7" t="s">
        <v>177</v>
      </c>
      <c r="H78" s="1" t="s">
        <v>23</v>
      </c>
      <c r="I78" s="1" t="s">
        <v>178</v>
      </c>
      <c r="J78" s="1" t="str">
        <f t="shared" si="8"/>
        <v>03</v>
      </c>
      <c r="K78" s="1" t="str">
        <f t="shared" si="9"/>
        <v>45</v>
      </c>
      <c r="L78" s="1" t="e">
        <f t="shared" si="10"/>
        <v>#VALUE!</v>
      </c>
      <c r="M78" s="1" t="str">
        <f t="shared" si="11"/>
        <v xml:space="preserve"> 38</v>
      </c>
      <c r="N78" s="1" t="str">
        <f t="shared" si="12"/>
        <v>13</v>
      </c>
      <c r="O78" s="1" t="e">
        <f t="shared" si="13"/>
        <v>#VALUE!</v>
      </c>
      <c r="P78" s="2" t="e">
        <f t="shared" si="14"/>
        <v>#VALUE!</v>
      </c>
      <c r="Q78" s="2" t="e">
        <f t="shared" si="15"/>
        <v>#VALUE!</v>
      </c>
      <c r="R78" s="16" t="s">
        <v>179</v>
      </c>
    </row>
    <row r="79" spans="1:18" ht="15.75" x14ac:dyDescent="0.25">
      <c r="A79" s="1">
        <v>78</v>
      </c>
      <c r="B79" s="1" t="s">
        <v>17</v>
      </c>
      <c r="C79" s="1" t="s">
        <v>26</v>
      </c>
      <c r="D79" s="1" t="s">
        <v>19</v>
      </c>
      <c r="E79" s="7" t="s">
        <v>180</v>
      </c>
      <c r="F79" s="2" t="s">
        <v>181</v>
      </c>
      <c r="G79" s="7" t="s">
        <v>177</v>
      </c>
      <c r="H79" s="1" t="s">
        <v>23</v>
      </c>
      <c r="I79" s="1" t="s">
        <v>178</v>
      </c>
      <c r="J79" s="1" t="str">
        <f t="shared" si="8"/>
        <v>03</v>
      </c>
      <c r="K79" s="1" t="str">
        <f t="shared" si="9"/>
        <v>38</v>
      </c>
      <c r="L79" s="1" t="e">
        <f t="shared" si="10"/>
        <v>#VALUE!</v>
      </c>
      <c r="M79" s="1" t="str">
        <f t="shared" si="11"/>
        <v>38</v>
      </c>
      <c r="N79" s="1" t="str">
        <f t="shared" si="12"/>
        <v>13</v>
      </c>
      <c r="O79" s="1" t="e">
        <f t="shared" si="13"/>
        <v>#VALUE!</v>
      </c>
      <c r="P79" s="2" t="e">
        <f t="shared" si="14"/>
        <v>#VALUE!</v>
      </c>
      <c r="Q79" s="2" t="e">
        <f t="shared" si="15"/>
        <v>#VALUE!</v>
      </c>
      <c r="R79" s="16" t="s">
        <v>179</v>
      </c>
    </row>
    <row r="80" spans="1:18" ht="15.75" x14ac:dyDescent="0.25">
      <c r="A80" s="1">
        <v>79</v>
      </c>
      <c r="B80" s="1" t="s">
        <v>17</v>
      </c>
      <c r="C80" s="1" t="s">
        <v>26</v>
      </c>
      <c r="D80" s="1" t="s">
        <v>19</v>
      </c>
      <c r="E80" s="7" t="s">
        <v>182</v>
      </c>
      <c r="F80" s="2" t="s">
        <v>183</v>
      </c>
      <c r="G80" s="7" t="s">
        <v>177</v>
      </c>
      <c r="H80" s="1" t="s">
        <v>23</v>
      </c>
      <c r="I80" s="1" t="s">
        <v>178</v>
      </c>
      <c r="J80" s="1" t="str">
        <f t="shared" si="8"/>
        <v>03</v>
      </c>
      <c r="K80" s="1" t="str">
        <f t="shared" si="9"/>
        <v>31</v>
      </c>
      <c r="L80" s="1" t="e">
        <f t="shared" si="10"/>
        <v>#VALUE!</v>
      </c>
      <c r="M80" s="1" t="str">
        <f t="shared" si="11"/>
        <v xml:space="preserve"> 38</v>
      </c>
      <c r="N80" s="1" t="str">
        <f t="shared" si="12"/>
        <v>12</v>
      </c>
      <c r="O80" s="1" t="e">
        <f t="shared" si="13"/>
        <v>#VALUE!</v>
      </c>
      <c r="P80" s="2" t="e">
        <f t="shared" si="14"/>
        <v>#VALUE!</v>
      </c>
      <c r="Q80" s="2" t="e">
        <f t="shared" si="15"/>
        <v>#VALUE!</v>
      </c>
      <c r="R80" s="16" t="s">
        <v>179</v>
      </c>
    </row>
    <row r="81" spans="1:18" ht="15.75" x14ac:dyDescent="0.25">
      <c r="A81" s="1">
        <v>80</v>
      </c>
      <c r="B81" s="1" t="s">
        <v>17</v>
      </c>
      <c r="C81" s="1" t="s">
        <v>18</v>
      </c>
      <c r="D81" s="1" t="s">
        <v>19</v>
      </c>
      <c r="E81" s="7" t="s">
        <v>184</v>
      </c>
      <c r="F81" s="7" t="s">
        <v>185</v>
      </c>
      <c r="G81" s="7" t="s">
        <v>186</v>
      </c>
      <c r="H81" s="1" t="s">
        <v>23</v>
      </c>
      <c r="I81" s="7" t="s">
        <v>187</v>
      </c>
      <c r="J81" s="1" t="str">
        <f t="shared" si="8"/>
        <v>24</v>
      </c>
      <c r="K81" s="1" t="str">
        <f t="shared" si="9"/>
        <v>49</v>
      </c>
      <c r="L81" s="1" t="str">
        <f t="shared" si="10"/>
        <v>13</v>
      </c>
      <c r="M81" s="1" t="str">
        <f t="shared" si="11"/>
        <v>80</v>
      </c>
      <c r="N81" s="1" t="str">
        <f t="shared" si="12"/>
        <v>48</v>
      </c>
      <c r="O81" s="1" t="str">
        <f t="shared" si="13"/>
        <v>48</v>
      </c>
      <c r="P81" s="2">
        <f t="shared" si="14"/>
        <v>24.820277777777779</v>
      </c>
      <c r="Q81" s="2">
        <f t="shared" si="15"/>
        <v>-80.813333333333333</v>
      </c>
      <c r="R81" s="9" t="s">
        <v>188</v>
      </c>
    </row>
    <row r="82" spans="1:18" ht="15.75" x14ac:dyDescent="0.25">
      <c r="A82" s="1">
        <v>81</v>
      </c>
      <c r="B82" s="1" t="s">
        <v>17</v>
      </c>
      <c r="C82" s="1" t="s">
        <v>18</v>
      </c>
      <c r="D82" s="1" t="s">
        <v>19</v>
      </c>
      <c r="E82" s="7" t="s">
        <v>189</v>
      </c>
      <c r="F82" s="7" t="s">
        <v>190</v>
      </c>
      <c r="G82" s="7" t="s">
        <v>186</v>
      </c>
      <c r="H82" s="1" t="s">
        <v>23</v>
      </c>
      <c r="I82" s="7" t="s">
        <v>191</v>
      </c>
      <c r="J82" s="1" t="str">
        <f t="shared" si="8"/>
        <v>24</v>
      </c>
      <c r="K82" s="1" t="str">
        <f t="shared" si="9"/>
        <v>50</v>
      </c>
      <c r="L82" s="1" t="str">
        <f t="shared" si="10"/>
        <v>55</v>
      </c>
      <c r="M82" s="1" t="str">
        <f t="shared" si="11"/>
        <v>80</v>
      </c>
      <c r="N82" s="1" t="str">
        <f t="shared" si="12"/>
        <v>48</v>
      </c>
      <c r="O82" s="1" t="str">
        <f t="shared" si="13"/>
        <v>03</v>
      </c>
      <c r="P82" s="2">
        <f t="shared" si="14"/>
        <v>24.848611111111111</v>
      </c>
      <c r="Q82" s="2">
        <f t="shared" si="15"/>
        <v>-80.80083333333333</v>
      </c>
      <c r="R82" s="9" t="s">
        <v>188</v>
      </c>
    </row>
    <row r="83" spans="1:18" ht="15.75" x14ac:dyDescent="0.25">
      <c r="A83" s="1">
        <v>82</v>
      </c>
      <c r="B83" s="1" t="s">
        <v>17</v>
      </c>
      <c r="C83" s="1" t="s">
        <v>26</v>
      </c>
      <c r="D83" s="1" t="s">
        <v>19</v>
      </c>
      <c r="E83" s="7" t="s">
        <v>192</v>
      </c>
      <c r="F83" s="2" t="s">
        <v>193</v>
      </c>
      <c r="G83" s="7" t="s">
        <v>194</v>
      </c>
      <c r="H83" s="1" t="s">
        <v>23</v>
      </c>
      <c r="I83" s="1" t="s">
        <v>195</v>
      </c>
      <c r="J83" s="1" t="str">
        <f t="shared" si="8"/>
        <v>05</v>
      </c>
      <c r="K83" s="1" t="str">
        <f t="shared" si="9"/>
        <v>13</v>
      </c>
      <c r="L83" s="1" t="e">
        <f t="shared" si="10"/>
        <v>#VALUE!</v>
      </c>
      <c r="M83" s="1" t="str">
        <f t="shared" si="11"/>
        <v>35</v>
      </c>
      <c r="N83" s="1" t="str">
        <f t="shared" si="12"/>
        <v>10</v>
      </c>
      <c r="O83" s="1" t="e">
        <f t="shared" si="13"/>
        <v>#VALUE!</v>
      </c>
      <c r="P83" s="2" t="e">
        <f t="shared" si="14"/>
        <v>#VALUE!</v>
      </c>
      <c r="Q83" s="2" t="e">
        <f t="shared" si="15"/>
        <v>#VALUE!</v>
      </c>
      <c r="R83" s="16" t="s">
        <v>196</v>
      </c>
    </row>
    <row r="84" spans="1:18" ht="15.75" x14ac:dyDescent="0.25">
      <c r="A84" s="1">
        <v>83</v>
      </c>
      <c r="B84" s="1" t="s">
        <v>17</v>
      </c>
      <c r="C84" s="1" t="s">
        <v>18</v>
      </c>
      <c r="D84" s="1" t="s">
        <v>19</v>
      </c>
      <c r="E84" s="7" t="s">
        <v>197</v>
      </c>
      <c r="F84" s="2" t="s">
        <v>198</v>
      </c>
      <c r="G84" s="7" t="s">
        <v>199</v>
      </c>
      <c r="H84" s="1" t="s">
        <v>23</v>
      </c>
      <c r="I84" s="7" t="s">
        <v>200</v>
      </c>
      <c r="J84" s="1" t="str">
        <f t="shared" si="8"/>
        <v>24</v>
      </c>
      <c r="K84" s="1" t="e">
        <f t="shared" si="9"/>
        <v>#VALUE!</v>
      </c>
      <c r="L84" s="1" t="e">
        <f t="shared" si="10"/>
        <v>#VALUE!</v>
      </c>
      <c r="M84" s="1" t="str">
        <f t="shared" si="11"/>
        <v>80</v>
      </c>
      <c r="N84" s="1" t="e">
        <f t="shared" si="12"/>
        <v>#VALUE!</v>
      </c>
      <c r="O84" s="1" t="e">
        <f t="shared" si="13"/>
        <v>#VALUE!</v>
      </c>
      <c r="P84" s="2" t="e">
        <f t="shared" si="14"/>
        <v>#VALUE!</v>
      </c>
      <c r="Q84" s="2" t="e">
        <f t="shared" si="15"/>
        <v>#VALUE!</v>
      </c>
      <c r="R84" s="16" t="s">
        <v>201</v>
      </c>
    </row>
    <row r="85" spans="1:18" ht="15.75" x14ac:dyDescent="0.25">
      <c r="A85" s="1">
        <v>84</v>
      </c>
      <c r="B85" s="1" t="s">
        <v>17</v>
      </c>
      <c r="C85" s="1" t="s">
        <v>18</v>
      </c>
      <c r="D85" s="1" t="s">
        <v>19</v>
      </c>
      <c r="E85" s="7" t="s">
        <v>202</v>
      </c>
      <c r="F85" s="2" t="s">
        <v>203</v>
      </c>
      <c r="G85" s="7" t="s">
        <v>204</v>
      </c>
      <c r="H85" s="1" t="s">
        <v>23</v>
      </c>
      <c r="I85" s="7" t="s">
        <v>205</v>
      </c>
      <c r="J85" s="1" t="str">
        <f t="shared" si="8"/>
        <v>19</v>
      </c>
      <c r="K85" s="1" t="str">
        <f t="shared" si="9"/>
        <v>27</v>
      </c>
      <c r="L85" s="1" t="str">
        <f t="shared" si="10"/>
        <v>00</v>
      </c>
      <c r="M85" s="1" t="str">
        <f t="shared" si="11"/>
        <v xml:space="preserve"> 87</v>
      </c>
      <c r="N85" s="1" t="str">
        <f t="shared" si="12"/>
        <v>17</v>
      </c>
      <c r="O85" s="1" t="str">
        <f t="shared" si="13"/>
        <v>24</v>
      </c>
      <c r="P85" s="2">
        <f t="shared" si="14"/>
        <v>19.45</v>
      </c>
      <c r="Q85" s="2">
        <f t="shared" si="15"/>
        <v>-87.29</v>
      </c>
      <c r="R85" s="16" t="s">
        <v>206</v>
      </c>
    </row>
    <row r="86" spans="1:18" ht="15.75" x14ac:dyDescent="0.25">
      <c r="A86" s="1">
        <v>85</v>
      </c>
      <c r="B86" s="1" t="s">
        <v>17</v>
      </c>
      <c r="C86" s="1" t="s">
        <v>18</v>
      </c>
      <c r="D86" s="1" t="s">
        <v>19</v>
      </c>
      <c r="E86" s="7" t="s">
        <v>207</v>
      </c>
      <c r="F86" s="2" t="s">
        <v>208</v>
      </c>
      <c r="G86" s="7" t="s">
        <v>209</v>
      </c>
      <c r="H86" s="1" t="s">
        <v>23</v>
      </c>
      <c r="I86" s="7" t="s">
        <v>210</v>
      </c>
      <c r="J86" s="1" t="str">
        <f t="shared" si="8"/>
        <v>25</v>
      </c>
      <c r="K86" s="1" t="str">
        <f t="shared" si="9"/>
        <v>01</v>
      </c>
      <c r="L86" s="1" t="str">
        <f t="shared" si="10"/>
        <v>46</v>
      </c>
      <c r="M86" s="1" t="str">
        <f t="shared" si="11"/>
        <v xml:space="preserve"> 80</v>
      </c>
      <c r="N86" s="1" t="str">
        <f t="shared" si="12"/>
        <v>23</v>
      </c>
      <c r="O86" s="1" t="str">
        <f t="shared" si="13"/>
        <v>53</v>
      </c>
      <c r="P86" s="2">
        <f t="shared" si="14"/>
        <v>25.029444444444444</v>
      </c>
      <c r="Q86" s="2">
        <f t="shared" si="15"/>
        <v>-80.398055555555558</v>
      </c>
      <c r="R86" s="16" t="s">
        <v>211</v>
      </c>
    </row>
    <row r="87" spans="1:18" ht="15.75" x14ac:dyDescent="0.25">
      <c r="A87" s="1">
        <v>86</v>
      </c>
      <c r="B87" s="1" t="s">
        <v>17</v>
      </c>
      <c r="C87" s="1" t="s">
        <v>18</v>
      </c>
      <c r="D87" s="1" t="s">
        <v>19</v>
      </c>
      <c r="E87" s="7" t="s">
        <v>212</v>
      </c>
      <c r="F87" s="2" t="s">
        <v>213</v>
      </c>
      <c r="G87" s="1" t="s">
        <v>214</v>
      </c>
      <c r="H87" s="1" t="s">
        <v>23</v>
      </c>
      <c r="I87" s="7" t="s">
        <v>215</v>
      </c>
      <c r="J87" s="1" t="str">
        <f t="shared" si="8"/>
        <v>25</v>
      </c>
      <c r="K87" s="1" t="str">
        <f t="shared" si="9"/>
        <v>35</v>
      </c>
      <c r="L87" s="1" t="str">
        <f t="shared" si="10"/>
        <v>28</v>
      </c>
      <c r="M87" s="1" t="str">
        <f t="shared" si="11"/>
        <v>80</v>
      </c>
      <c r="N87" s="1" t="str">
        <f t="shared" si="12"/>
        <v>05</v>
      </c>
      <c r="O87" s="1" t="str">
        <f t="shared" si="13"/>
        <v>49</v>
      </c>
      <c r="P87" s="2">
        <f t="shared" si="14"/>
        <v>25.591111111111111</v>
      </c>
      <c r="Q87" s="2">
        <f t="shared" si="15"/>
        <v>-80.096944444444446</v>
      </c>
      <c r="R87" s="16" t="s">
        <v>216</v>
      </c>
    </row>
    <row r="88" spans="1:18" ht="15.75" x14ac:dyDescent="0.25">
      <c r="A88" s="1">
        <v>87</v>
      </c>
      <c r="B88" s="1" t="s">
        <v>17</v>
      </c>
      <c r="C88" s="1" t="s">
        <v>18</v>
      </c>
      <c r="D88" s="1" t="s">
        <v>19</v>
      </c>
      <c r="E88" s="7" t="s">
        <v>217</v>
      </c>
      <c r="F88" s="2" t="s">
        <v>218</v>
      </c>
      <c r="G88" s="7" t="s">
        <v>219</v>
      </c>
      <c r="H88" s="1" t="s">
        <v>23</v>
      </c>
      <c r="I88" s="1" t="s">
        <v>220</v>
      </c>
      <c r="J88" s="1" t="str">
        <f t="shared" si="8"/>
        <v>24</v>
      </c>
      <c r="K88" s="1" t="str">
        <f t="shared" si="9"/>
        <v>50</v>
      </c>
      <c r="L88" s="1" t="str">
        <f t="shared" si="10"/>
        <v>30</v>
      </c>
      <c r="M88" s="1" t="str">
        <f t="shared" si="11"/>
        <v>80</v>
      </c>
      <c r="N88" s="1" t="str">
        <f t="shared" si="12"/>
        <v>47</v>
      </c>
      <c r="O88" s="1" t="str">
        <f t="shared" si="13"/>
        <v>48</v>
      </c>
      <c r="P88" s="2">
        <f t="shared" si="14"/>
        <v>24.841666666666665</v>
      </c>
      <c r="Q88" s="2">
        <f t="shared" si="15"/>
        <v>-80.796666666666667</v>
      </c>
      <c r="R88" s="16" t="s">
        <v>221</v>
      </c>
    </row>
    <row r="89" spans="1:18" ht="15.75" x14ac:dyDescent="0.25">
      <c r="A89" s="1">
        <v>88</v>
      </c>
      <c r="B89" s="1" t="s">
        <v>17</v>
      </c>
      <c r="C89" s="1" t="s">
        <v>18</v>
      </c>
      <c r="D89" s="1" t="s">
        <v>19</v>
      </c>
      <c r="E89" s="7" t="s">
        <v>222</v>
      </c>
      <c r="F89" s="2" t="s">
        <v>223</v>
      </c>
      <c r="G89" s="7" t="s">
        <v>224</v>
      </c>
      <c r="H89" s="1" t="s">
        <v>23</v>
      </c>
      <c r="I89" s="7" t="s">
        <v>225</v>
      </c>
      <c r="J89" s="1" t="str">
        <f t="shared" si="8"/>
        <v>20</v>
      </c>
      <c r="K89" s="1" t="str">
        <f t="shared" si="9"/>
        <v>51</v>
      </c>
      <c r="L89" s="1" t="str">
        <f t="shared" si="10"/>
        <v>00</v>
      </c>
      <c r="M89" s="1" t="str">
        <f t="shared" si="11"/>
        <v>86</v>
      </c>
      <c r="N89" s="1" t="str">
        <f t="shared" si="12"/>
        <v>55</v>
      </c>
      <c r="O89" s="1" t="str">
        <f t="shared" si="13"/>
        <v>00</v>
      </c>
      <c r="P89" s="2">
        <f t="shared" si="14"/>
        <v>20.85</v>
      </c>
      <c r="Q89" s="2">
        <f t="shared" si="15"/>
        <v>-86.916666666666671</v>
      </c>
      <c r="R89" s="16" t="s">
        <v>226</v>
      </c>
    </row>
    <row r="90" spans="1:18" ht="15.75" x14ac:dyDescent="0.25">
      <c r="A90" s="1">
        <v>89</v>
      </c>
      <c r="B90" s="1" t="s">
        <v>17</v>
      </c>
      <c r="C90" s="1" t="s">
        <v>18</v>
      </c>
      <c r="D90" s="1" t="s">
        <v>19</v>
      </c>
      <c r="E90" s="7" t="s">
        <v>227</v>
      </c>
      <c r="F90" s="2" t="s">
        <v>228</v>
      </c>
      <c r="G90" s="7" t="s">
        <v>229</v>
      </c>
      <c r="H90" s="1" t="s">
        <v>23</v>
      </c>
      <c r="I90" s="7" t="s">
        <v>230</v>
      </c>
      <c r="J90" s="1" t="str">
        <f t="shared" si="8"/>
        <v>25</v>
      </c>
      <c r="K90" s="1" t="str">
        <f t="shared" si="9"/>
        <v>36</v>
      </c>
      <c r="L90" s="1" t="str">
        <f t="shared" si="10"/>
        <v>11</v>
      </c>
      <c r="M90" s="1" t="str">
        <f t="shared" si="11"/>
        <v>81</v>
      </c>
      <c r="N90" s="1" t="str">
        <f t="shared" si="12"/>
        <v>24</v>
      </c>
      <c r="O90" s="1" t="str">
        <f t="shared" si="13"/>
        <v>10</v>
      </c>
      <c r="P90" s="2">
        <f t="shared" si="14"/>
        <v>25.603055555555557</v>
      </c>
      <c r="Q90" s="2">
        <f t="shared" si="15"/>
        <v>-81.402777777777771</v>
      </c>
      <c r="R90" s="16" t="s">
        <v>231</v>
      </c>
    </row>
    <row r="91" spans="1:18" ht="15.75" x14ac:dyDescent="0.25">
      <c r="A91" s="1">
        <v>90</v>
      </c>
      <c r="B91" s="1" t="s">
        <v>17</v>
      </c>
      <c r="C91" s="1" t="s">
        <v>18</v>
      </c>
      <c r="D91" s="1" t="s">
        <v>19</v>
      </c>
      <c r="E91" s="7" t="s">
        <v>20</v>
      </c>
      <c r="F91" s="2" t="s">
        <v>232</v>
      </c>
      <c r="G91" s="7" t="s">
        <v>233</v>
      </c>
      <c r="H91" s="1" t="s">
        <v>23</v>
      </c>
      <c r="I91" s="7" t="s">
        <v>234</v>
      </c>
      <c r="J91" s="1" t="str">
        <f t="shared" si="8"/>
        <v>04</v>
      </c>
      <c r="K91" s="1" t="str">
        <f t="shared" si="9"/>
        <v>26</v>
      </c>
      <c r="L91" s="1" t="e">
        <f t="shared" si="10"/>
        <v>#VALUE!</v>
      </c>
      <c r="M91" s="1" t="str">
        <f t="shared" si="11"/>
        <v xml:space="preserve"> 51</v>
      </c>
      <c r="N91" s="1" t="str">
        <f t="shared" si="12"/>
        <v>32</v>
      </c>
      <c r="O91" s="1" t="e">
        <f t="shared" si="13"/>
        <v>#VALUE!</v>
      </c>
      <c r="P91" s="2" t="e">
        <f t="shared" si="14"/>
        <v>#VALUE!</v>
      </c>
      <c r="Q91" s="2" t="e">
        <f t="shared" si="15"/>
        <v>#VALUE!</v>
      </c>
      <c r="R91" s="16" t="s">
        <v>235</v>
      </c>
    </row>
    <row r="92" spans="1:18" ht="15.75" x14ac:dyDescent="0.25">
      <c r="A92" s="1">
        <v>91</v>
      </c>
      <c r="B92" s="1" t="s">
        <v>17</v>
      </c>
      <c r="C92" s="1" t="s">
        <v>26</v>
      </c>
      <c r="D92" s="1" t="s">
        <v>19</v>
      </c>
      <c r="E92" s="7" t="s">
        <v>236</v>
      </c>
      <c r="F92" s="2" t="s">
        <v>237</v>
      </c>
      <c r="G92" s="7" t="s">
        <v>233</v>
      </c>
      <c r="H92" s="1" t="s">
        <v>23</v>
      </c>
      <c r="I92" s="7" t="s">
        <v>238</v>
      </c>
      <c r="J92" s="1" t="str">
        <f t="shared" si="8"/>
        <v>21</v>
      </c>
      <c r="K92" s="1" t="str">
        <f t="shared" si="9"/>
        <v>17</v>
      </c>
      <c r="L92" s="1" t="e">
        <f t="shared" si="10"/>
        <v>#VALUE!</v>
      </c>
      <c r="M92" s="1" t="str">
        <f t="shared" si="11"/>
        <v>40</v>
      </c>
      <c r="N92" s="1" t="str">
        <f t="shared" si="12"/>
        <v>56</v>
      </c>
      <c r="O92" s="1" t="e">
        <f t="shared" si="13"/>
        <v>#VALUE!</v>
      </c>
      <c r="P92" s="2" t="e">
        <f t="shared" si="14"/>
        <v>#VALUE!</v>
      </c>
      <c r="Q92" s="2" t="e">
        <f t="shared" si="15"/>
        <v>#VALUE!</v>
      </c>
      <c r="R92" s="16" t="s">
        <v>235</v>
      </c>
    </row>
    <row r="93" spans="1:18" ht="15.75" x14ac:dyDescent="0.25">
      <c r="A93" s="1">
        <v>92</v>
      </c>
      <c r="B93" s="1" t="s">
        <v>40</v>
      </c>
      <c r="C93" s="1" t="s">
        <v>18</v>
      </c>
      <c r="D93" s="1" t="s">
        <v>19</v>
      </c>
      <c r="E93" s="7" t="s">
        <v>20</v>
      </c>
      <c r="F93" s="2" t="s">
        <v>232</v>
      </c>
      <c r="G93" s="7" t="s">
        <v>233</v>
      </c>
      <c r="H93" s="1" t="s">
        <v>23</v>
      </c>
      <c r="I93" s="7" t="s">
        <v>234</v>
      </c>
      <c r="J93" s="1" t="str">
        <f t="shared" si="8"/>
        <v>04</v>
      </c>
      <c r="K93" s="1" t="str">
        <f t="shared" si="9"/>
        <v>26</v>
      </c>
      <c r="L93" s="1" t="e">
        <f t="shared" si="10"/>
        <v>#VALUE!</v>
      </c>
      <c r="M93" s="1" t="str">
        <f t="shared" si="11"/>
        <v xml:space="preserve"> 51</v>
      </c>
      <c r="N93" s="1" t="str">
        <f t="shared" si="12"/>
        <v>32</v>
      </c>
      <c r="O93" s="1" t="e">
        <f t="shared" si="13"/>
        <v>#VALUE!</v>
      </c>
      <c r="P93" s="2" t="e">
        <f t="shared" si="14"/>
        <v>#VALUE!</v>
      </c>
      <c r="Q93" s="2" t="e">
        <f t="shared" si="15"/>
        <v>#VALUE!</v>
      </c>
      <c r="R93" s="16" t="s">
        <v>235</v>
      </c>
    </row>
    <row r="94" spans="1:18" ht="15.75" x14ac:dyDescent="0.25">
      <c r="A94" s="1">
        <v>93</v>
      </c>
      <c r="B94" s="1" t="s">
        <v>40</v>
      </c>
      <c r="C94" s="1" t="s">
        <v>26</v>
      </c>
      <c r="D94" s="1" t="s">
        <v>19</v>
      </c>
      <c r="E94" s="7" t="s">
        <v>236</v>
      </c>
      <c r="F94" s="2" t="s">
        <v>237</v>
      </c>
      <c r="G94" s="7" t="s">
        <v>233</v>
      </c>
      <c r="H94" s="1" t="s">
        <v>23</v>
      </c>
      <c r="I94" s="7" t="s">
        <v>238</v>
      </c>
      <c r="J94" s="1" t="str">
        <f t="shared" si="8"/>
        <v>21</v>
      </c>
      <c r="K94" s="1" t="str">
        <f t="shared" si="9"/>
        <v>17</v>
      </c>
      <c r="L94" s="1" t="e">
        <f t="shared" si="10"/>
        <v>#VALUE!</v>
      </c>
      <c r="M94" s="1" t="str">
        <f t="shared" si="11"/>
        <v>40</v>
      </c>
      <c r="N94" s="1" t="str">
        <f t="shared" si="12"/>
        <v>56</v>
      </c>
      <c r="O94" s="1" t="e">
        <f t="shared" si="13"/>
        <v>#VALUE!</v>
      </c>
      <c r="P94" s="2" t="e">
        <f t="shared" si="14"/>
        <v>#VALUE!</v>
      </c>
      <c r="Q94" s="2" t="e">
        <f t="shared" si="15"/>
        <v>#VALUE!</v>
      </c>
      <c r="R94" s="16" t="s">
        <v>235</v>
      </c>
    </row>
    <row r="95" spans="1:18" ht="15.75" x14ac:dyDescent="0.25">
      <c r="A95" s="1">
        <v>94</v>
      </c>
      <c r="B95" s="1" t="s">
        <v>17</v>
      </c>
      <c r="C95" s="1" t="s">
        <v>18</v>
      </c>
      <c r="D95" s="1" t="s">
        <v>19</v>
      </c>
      <c r="E95" s="7" t="s">
        <v>222</v>
      </c>
      <c r="F95" s="2" t="s">
        <v>223</v>
      </c>
      <c r="G95" s="7" t="s">
        <v>239</v>
      </c>
      <c r="H95" s="1" t="s">
        <v>23</v>
      </c>
      <c r="I95" s="7" t="s">
        <v>240</v>
      </c>
      <c r="J95" s="1" t="str">
        <f t="shared" si="8"/>
        <v>20</v>
      </c>
      <c r="K95" s="1" t="str">
        <f t="shared" si="9"/>
        <v>51</v>
      </c>
      <c r="L95" s="1" t="str">
        <f t="shared" si="10"/>
        <v>00</v>
      </c>
      <c r="M95" s="1" t="str">
        <f t="shared" si="11"/>
        <v>86</v>
      </c>
      <c r="N95" s="1" t="str">
        <f t="shared" si="12"/>
        <v>55</v>
      </c>
      <c r="O95" s="1" t="str">
        <f t="shared" si="13"/>
        <v>00</v>
      </c>
      <c r="P95" s="2">
        <f t="shared" si="14"/>
        <v>20.85</v>
      </c>
      <c r="Q95" s="2">
        <f t="shared" si="15"/>
        <v>-86.916666666666671</v>
      </c>
      <c r="R95" s="16" t="s">
        <v>241</v>
      </c>
    </row>
    <row r="96" spans="1:18" ht="15.75" x14ac:dyDescent="0.25">
      <c r="A96" s="1">
        <v>95</v>
      </c>
      <c r="B96" s="1" t="s">
        <v>17</v>
      </c>
      <c r="C96" s="1" t="s">
        <v>26</v>
      </c>
      <c r="D96" s="1" t="s">
        <v>19</v>
      </c>
      <c r="E96" s="7" t="s">
        <v>242</v>
      </c>
      <c r="F96" s="7" t="s">
        <v>243</v>
      </c>
      <c r="G96" s="7" t="s">
        <v>244</v>
      </c>
      <c r="H96" s="1" t="s">
        <v>23</v>
      </c>
      <c r="I96" s="7" t="s">
        <v>245</v>
      </c>
      <c r="J96" s="1" t="str">
        <f t="shared" si="8"/>
        <v>2</v>
      </c>
      <c r="K96" s="1" t="str">
        <f t="shared" si="9"/>
        <v>46</v>
      </c>
      <c r="L96" s="1" t="e">
        <f t="shared" si="10"/>
        <v>#VALUE!</v>
      </c>
      <c r="M96" s="1" t="str">
        <f t="shared" si="11"/>
        <v>40</v>
      </c>
      <c r="N96" s="1" t="str">
        <f t="shared" si="12"/>
        <v>05</v>
      </c>
      <c r="O96" s="1" t="e">
        <f t="shared" si="13"/>
        <v>#VALUE!</v>
      </c>
      <c r="P96" s="2" t="e">
        <f t="shared" si="14"/>
        <v>#VALUE!</v>
      </c>
      <c r="Q96" s="2" t="e">
        <f t="shared" si="15"/>
        <v>#VALUE!</v>
      </c>
      <c r="R96" s="16" t="s">
        <v>246</v>
      </c>
    </row>
    <row r="97" spans="1:18" ht="15" customHeight="1" x14ac:dyDescent="0.25">
      <c r="A97" s="1">
        <v>96</v>
      </c>
      <c r="B97" s="1" t="s">
        <v>17</v>
      </c>
      <c r="C97" s="1" t="s">
        <v>26</v>
      </c>
      <c r="D97" s="1" t="s">
        <v>19</v>
      </c>
      <c r="E97" s="10" t="s">
        <v>247</v>
      </c>
      <c r="F97" s="2" t="s">
        <v>248</v>
      </c>
      <c r="G97" s="7" t="s">
        <v>244</v>
      </c>
      <c r="H97" s="1" t="s">
        <v>23</v>
      </c>
      <c r="I97" s="7" t="s">
        <v>249</v>
      </c>
      <c r="J97" s="1" t="str">
        <f t="shared" si="8"/>
        <v>3</v>
      </c>
      <c r="K97" s="1" t="str">
        <f t="shared" si="9"/>
        <v>14</v>
      </c>
      <c r="L97" s="1" t="str">
        <f t="shared" si="10"/>
        <v>30</v>
      </c>
      <c r="M97" s="1" t="str">
        <f t="shared" si="11"/>
        <v>39</v>
      </c>
      <c r="N97" s="1" t="str">
        <f t="shared" si="12"/>
        <v>13</v>
      </c>
      <c r="O97" s="1" t="str">
        <f t="shared" si="13"/>
        <v>30</v>
      </c>
      <c r="P97" s="2">
        <f t="shared" si="14"/>
        <v>-3.2416666666666667</v>
      </c>
      <c r="Q97" s="2">
        <f t="shared" si="15"/>
        <v>-39.225000000000001</v>
      </c>
      <c r="R97" s="16" t="s">
        <v>246</v>
      </c>
    </row>
    <row r="98" spans="1:18" ht="15.75" x14ac:dyDescent="0.25">
      <c r="A98" s="1">
        <v>97</v>
      </c>
      <c r="B98" s="1" t="s">
        <v>17</v>
      </c>
      <c r="C98" s="1" t="s">
        <v>18</v>
      </c>
      <c r="D98" s="1" t="s">
        <v>19</v>
      </c>
      <c r="E98" s="7" t="s">
        <v>250</v>
      </c>
      <c r="F98" s="7" t="s">
        <v>251</v>
      </c>
      <c r="G98" s="7" t="s">
        <v>244</v>
      </c>
      <c r="H98" s="1" t="s">
        <v>23</v>
      </c>
      <c r="I98" s="7" t="s">
        <v>252</v>
      </c>
      <c r="J98" s="1" t="str">
        <f t="shared" si="8"/>
        <v>03</v>
      </c>
      <c r="K98" s="1" t="str">
        <f t="shared" si="9"/>
        <v>18</v>
      </c>
      <c r="L98" s="1" t="str">
        <f t="shared" si="10"/>
        <v>00</v>
      </c>
      <c r="M98" s="1" t="str">
        <f t="shared" si="11"/>
        <v>50</v>
      </c>
      <c r="N98" s="1" t="str">
        <f t="shared" si="12"/>
        <v>35</v>
      </c>
      <c r="O98" s="1" t="str">
        <f t="shared" si="13"/>
        <v>24</v>
      </c>
      <c r="P98" s="2">
        <f t="shared" si="14"/>
        <v>3.3</v>
      </c>
      <c r="Q98" s="2">
        <f t="shared" si="15"/>
        <v>-50.59</v>
      </c>
      <c r="R98" s="16" t="s">
        <v>246</v>
      </c>
    </row>
    <row r="99" spans="1:18" ht="15.75" x14ac:dyDescent="0.25">
      <c r="A99" s="1">
        <v>98</v>
      </c>
      <c r="B99" s="1" t="s">
        <v>17</v>
      </c>
      <c r="C99" s="1" t="s">
        <v>18</v>
      </c>
      <c r="D99" s="1" t="s">
        <v>19</v>
      </c>
      <c r="E99" s="7" t="s">
        <v>253</v>
      </c>
      <c r="F99" s="7" t="s">
        <v>254</v>
      </c>
      <c r="G99" s="7" t="s">
        <v>244</v>
      </c>
      <c r="H99" s="1" t="s">
        <v>23</v>
      </c>
      <c r="I99" s="7" t="s">
        <v>255</v>
      </c>
      <c r="J99" s="1" t="str">
        <f t="shared" si="8"/>
        <v>05</v>
      </c>
      <c r="K99" s="1" t="str">
        <f t="shared" si="9"/>
        <v>40</v>
      </c>
      <c r="L99" s="1" t="str">
        <f t="shared" si="10"/>
        <v>48</v>
      </c>
      <c r="M99" s="1" t="str">
        <f t="shared" si="11"/>
        <v>46</v>
      </c>
      <c r="N99" s="1" t="str">
        <f t="shared" si="12"/>
        <v>38</v>
      </c>
      <c r="O99" s="1" t="str">
        <f t="shared" si="13"/>
        <v>24</v>
      </c>
      <c r="P99" s="2">
        <f t="shared" si="14"/>
        <v>5.68</v>
      </c>
      <c r="Q99" s="2">
        <f t="shared" si="15"/>
        <v>-46.64</v>
      </c>
      <c r="R99" s="16" t="s">
        <v>246</v>
      </c>
    </row>
    <row r="100" spans="1:18" ht="15.75" x14ac:dyDescent="0.25">
      <c r="A100" s="1">
        <v>99</v>
      </c>
      <c r="B100" s="1" t="s">
        <v>17</v>
      </c>
      <c r="C100" s="1" t="s">
        <v>26</v>
      </c>
      <c r="D100" s="1" t="s">
        <v>19</v>
      </c>
      <c r="E100" s="7" t="s">
        <v>256</v>
      </c>
      <c r="F100" s="7" t="s">
        <v>257</v>
      </c>
      <c r="G100" s="7" t="s">
        <v>244</v>
      </c>
      <c r="H100" s="1" t="s">
        <v>23</v>
      </c>
      <c r="I100" s="7" t="s">
        <v>258</v>
      </c>
      <c r="J100" s="1" t="str">
        <f t="shared" si="8"/>
        <v>01</v>
      </c>
      <c r="K100" s="1" t="str">
        <f t="shared" si="9"/>
        <v>13</v>
      </c>
      <c r="L100" s="1" t="str">
        <f t="shared" si="10"/>
        <v>12</v>
      </c>
      <c r="M100" s="1" t="str">
        <f t="shared" si="11"/>
        <v>44</v>
      </c>
      <c r="N100" s="1" t="str">
        <f t="shared" si="12"/>
        <v>38</v>
      </c>
      <c r="O100" s="1" t="str">
        <f t="shared" si="13"/>
        <v>24</v>
      </c>
      <c r="P100" s="2">
        <f t="shared" si="14"/>
        <v>-1.22</v>
      </c>
      <c r="Q100" s="2">
        <f t="shared" si="15"/>
        <v>-44.64</v>
      </c>
      <c r="R100" s="16" t="s">
        <v>246</v>
      </c>
    </row>
    <row r="101" spans="1:18" ht="15.75" x14ac:dyDescent="0.25">
      <c r="A101" s="1">
        <v>100</v>
      </c>
      <c r="B101" s="1" t="s">
        <v>17</v>
      </c>
      <c r="C101" s="1" t="s">
        <v>18</v>
      </c>
      <c r="D101" s="1" t="s">
        <v>19</v>
      </c>
      <c r="E101" s="7" t="s">
        <v>259</v>
      </c>
      <c r="F101" s="7" t="s">
        <v>260</v>
      </c>
      <c r="G101" s="7" t="s">
        <v>244</v>
      </c>
      <c r="H101" s="1" t="s">
        <v>23</v>
      </c>
      <c r="I101" s="7" t="s">
        <v>261</v>
      </c>
      <c r="J101" s="1" t="str">
        <f t="shared" si="8"/>
        <v>01</v>
      </c>
      <c r="K101" s="1" t="str">
        <f t="shared" si="9"/>
        <v>58</v>
      </c>
      <c r="L101" s="1" t="str">
        <f t="shared" si="10"/>
        <v>12</v>
      </c>
      <c r="M101" s="1" t="str">
        <f t="shared" si="11"/>
        <v>40</v>
      </c>
      <c r="N101" s="1" t="str">
        <f t="shared" si="12"/>
        <v>35</v>
      </c>
      <c r="O101" s="1" t="str">
        <f t="shared" si="13"/>
        <v>24</v>
      </c>
      <c r="P101" s="2">
        <f t="shared" si="14"/>
        <v>1.9700000000000002</v>
      </c>
      <c r="Q101" s="2">
        <f t="shared" si="15"/>
        <v>-40.590000000000003</v>
      </c>
      <c r="R101" s="16" t="s">
        <v>246</v>
      </c>
    </row>
    <row r="102" spans="1:18" ht="15.75" x14ac:dyDescent="0.25">
      <c r="A102" s="1">
        <v>101</v>
      </c>
      <c r="B102" s="1" t="s">
        <v>17</v>
      </c>
      <c r="C102" s="1" t="s">
        <v>26</v>
      </c>
      <c r="D102" s="1" t="s">
        <v>19</v>
      </c>
      <c r="E102" s="2" t="s">
        <v>262</v>
      </c>
      <c r="F102" s="7" t="s">
        <v>263</v>
      </c>
      <c r="G102" s="7" t="s">
        <v>244</v>
      </c>
      <c r="H102" s="1" t="s">
        <v>23</v>
      </c>
      <c r="I102" s="7" t="s">
        <v>264</v>
      </c>
      <c r="J102" s="1" t="str">
        <f t="shared" si="8"/>
        <v>03</v>
      </c>
      <c r="K102" s="1" t="str">
        <f t="shared" si="9"/>
        <v>30</v>
      </c>
      <c r="L102" s="1" t="str">
        <f t="shared" si="10"/>
        <v>00</v>
      </c>
      <c r="M102" s="1" t="str">
        <f t="shared" si="11"/>
        <v>38</v>
      </c>
      <c r="N102" s="1" t="str">
        <f t="shared" si="12"/>
        <v>44</v>
      </c>
      <c r="O102" s="1" t="str">
        <f t="shared" si="13"/>
        <v>24</v>
      </c>
      <c r="P102" s="2">
        <f t="shared" si="14"/>
        <v>-3.5</v>
      </c>
      <c r="Q102" s="2">
        <f t="shared" si="15"/>
        <v>-38.74</v>
      </c>
      <c r="R102" s="16" t="s">
        <v>246</v>
      </c>
    </row>
    <row r="103" spans="1:18" ht="15.75" x14ac:dyDescent="0.25">
      <c r="A103" s="1">
        <v>102</v>
      </c>
      <c r="B103" s="1" t="s">
        <v>17</v>
      </c>
      <c r="C103" s="1" t="s">
        <v>26</v>
      </c>
      <c r="D103" s="1" t="s">
        <v>19</v>
      </c>
      <c r="E103" s="7" t="s">
        <v>265</v>
      </c>
      <c r="F103" s="7" t="s">
        <v>266</v>
      </c>
      <c r="G103" s="7" t="s">
        <v>244</v>
      </c>
      <c r="H103" s="1" t="s">
        <v>23</v>
      </c>
      <c r="I103" s="7" t="s">
        <v>267</v>
      </c>
      <c r="J103" s="1" t="str">
        <f t="shared" si="8"/>
        <v>00</v>
      </c>
      <c r="K103" s="1" t="str">
        <f t="shared" si="9"/>
        <v>38</v>
      </c>
      <c r="L103" s="1" t="str">
        <f t="shared" si="10"/>
        <v>24</v>
      </c>
      <c r="M103" s="1" t="str">
        <f t="shared" si="11"/>
        <v>35</v>
      </c>
      <c r="N103" s="1" t="str">
        <f t="shared" si="12"/>
        <v>00</v>
      </c>
      <c r="O103" s="1" t="str">
        <f t="shared" si="13"/>
        <v>00</v>
      </c>
      <c r="P103" s="2">
        <f t="shared" si="14"/>
        <v>-0.64</v>
      </c>
      <c r="Q103" s="2">
        <f t="shared" si="15"/>
        <v>-35</v>
      </c>
      <c r="R103" s="16" t="s">
        <v>246</v>
      </c>
    </row>
    <row r="104" spans="1:18" ht="15.75" x14ac:dyDescent="0.25">
      <c r="A104" s="1">
        <v>103</v>
      </c>
      <c r="B104" s="1" t="s">
        <v>17</v>
      </c>
      <c r="C104" s="1" t="s">
        <v>26</v>
      </c>
      <c r="D104" s="1" t="s">
        <v>19</v>
      </c>
      <c r="E104" s="7" t="s">
        <v>268</v>
      </c>
      <c r="F104" s="7" t="s">
        <v>269</v>
      </c>
      <c r="G104" s="7" t="s">
        <v>244</v>
      </c>
      <c r="H104" s="1" t="s">
        <v>23</v>
      </c>
      <c r="I104" s="7" t="s">
        <v>270</v>
      </c>
      <c r="J104" s="1" t="str">
        <f t="shared" si="8"/>
        <v>05</v>
      </c>
      <c r="K104" s="1" t="str">
        <f t="shared" si="9"/>
        <v>01</v>
      </c>
      <c r="L104" s="1" t="str">
        <f t="shared" si="10"/>
        <v>12</v>
      </c>
      <c r="M104" s="1" t="str">
        <f t="shared" si="11"/>
        <v>35</v>
      </c>
      <c r="N104" s="1" t="str">
        <f t="shared" si="12"/>
        <v>25</v>
      </c>
      <c r="O104" s="1" t="str">
        <f t="shared" si="13"/>
        <v>48</v>
      </c>
      <c r="P104" s="2">
        <f t="shared" si="14"/>
        <v>-5.0199999999999996</v>
      </c>
      <c r="Q104" s="2">
        <f t="shared" si="15"/>
        <v>-35.43</v>
      </c>
      <c r="R104" s="16" t="s">
        <v>246</v>
      </c>
    </row>
    <row r="105" spans="1:18" ht="15.75" x14ac:dyDescent="0.25">
      <c r="A105" s="1">
        <v>104</v>
      </c>
      <c r="B105" s="1" t="s">
        <v>17</v>
      </c>
      <c r="C105" s="1" t="s">
        <v>26</v>
      </c>
      <c r="D105" s="1" t="s">
        <v>19</v>
      </c>
      <c r="E105" s="7" t="s">
        <v>271</v>
      </c>
      <c r="F105" s="7" t="s">
        <v>272</v>
      </c>
      <c r="G105" s="7" t="s">
        <v>244</v>
      </c>
      <c r="H105" s="1" t="s">
        <v>23</v>
      </c>
      <c r="I105" s="7" t="s">
        <v>273</v>
      </c>
      <c r="J105" s="1" t="str">
        <f t="shared" si="8"/>
        <v>02</v>
      </c>
      <c r="K105" s="1" t="str">
        <f t="shared" si="9"/>
        <v>54</v>
      </c>
      <c r="L105" s="1" t="str">
        <f t="shared" si="10"/>
        <v>00</v>
      </c>
      <c r="M105" s="1" t="str">
        <f t="shared" si="11"/>
        <v>31</v>
      </c>
      <c r="N105" s="1" t="str">
        <f t="shared" si="12"/>
        <v>38</v>
      </c>
      <c r="O105" s="1" t="str">
        <f t="shared" si="13"/>
        <v>24</v>
      </c>
      <c r="P105" s="2">
        <f t="shared" si="14"/>
        <v>-2.9</v>
      </c>
      <c r="Q105" s="2">
        <f t="shared" si="15"/>
        <v>-31.64</v>
      </c>
      <c r="R105" s="16" t="s">
        <v>246</v>
      </c>
    </row>
    <row r="106" spans="1:18" ht="15.75" x14ac:dyDescent="0.25">
      <c r="A106" s="1">
        <v>105</v>
      </c>
      <c r="B106" s="1" t="s">
        <v>17</v>
      </c>
      <c r="C106" s="1" t="s">
        <v>26</v>
      </c>
      <c r="D106" s="1" t="s">
        <v>19</v>
      </c>
      <c r="E106" s="7" t="s">
        <v>274</v>
      </c>
      <c r="F106" s="7" t="s">
        <v>275</v>
      </c>
      <c r="G106" s="7" t="s">
        <v>244</v>
      </c>
      <c r="H106" s="1" t="s">
        <v>23</v>
      </c>
      <c r="I106" s="7" t="s">
        <v>276</v>
      </c>
      <c r="J106" s="1" t="str">
        <f t="shared" si="8"/>
        <v>09</v>
      </c>
      <c r="K106" s="1" t="str">
        <f t="shared" si="9"/>
        <v>44</v>
      </c>
      <c r="L106" s="1" t="str">
        <f t="shared" si="10"/>
        <v>24</v>
      </c>
      <c r="M106" s="1" t="str">
        <f t="shared" si="11"/>
        <v>35</v>
      </c>
      <c r="N106" s="1" t="str">
        <f t="shared" si="12"/>
        <v>34</v>
      </c>
      <c r="O106" s="1" t="str">
        <f t="shared" si="13"/>
        <v>12</v>
      </c>
      <c r="P106" s="2">
        <f t="shared" si="14"/>
        <v>-9.74</v>
      </c>
      <c r="Q106" s="2">
        <f t="shared" si="15"/>
        <v>-35.57</v>
      </c>
      <c r="R106" s="16" t="s">
        <v>246</v>
      </c>
    </row>
    <row r="107" spans="1:18" ht="15.75" x14ac:dyDescent="0.25">
      <c r="A107" s="1">
        <v>106</v>
      </c>
      <c r="B107" s="1" t="s">
        <v>17</v>
      </c>
      <c r="C107" s="1" t="s">
        <v>26</v>
      </c>
      <c r="D107" s="1" t="s">
        <v>19</v>
      </c>
      <c r="E107" s="7" t="s">
        <v>277</v>
      </c>
      <c r="F107" s="7" t="s">
        <v>278</v>
      </c>
      <c r="G107" s="7" t="s">
        <v>244</v>
      </c>
      <c r="H107" s="1" t="s">
        <v>23</v>
      </c>
      <c r="I107" s="7" t="s">
        <v>279</v>
      </c>
      <c r="J107" s="1" t="str">
        <f t="shared" si="8"/>
        <v>09</v>
      </c>
      <c r="K107" s="1" t="str">
        <f t="shared" si="9"/>
        <v>42</v>
      </c>
      <c r="L107" s="1" t="str">
        <f t="shared" si="10"/>
        <v>00</v>
      </c>
      <c r="M107" s="1" t="str">
        <f t="shared" si="11"/>
        <v>31</v>
      </c>
      <c r="N107" s="1" t="str">
        <f t="shared" si="12"/>
        <v>02</v>
      </c>
      <c r="O107" s="1" t="str">
        <f t="shared" si="13"/>
        <v>24</v>
      </c>
      <c r="P107" s="2">
        <f t="shared" si="14"/>
        <v>-9.6999999999999993</v>
      </c>
      <c r="Q107" s="2">
        <f t="shared" si="15"/>
        <v>-31.04</v>
      </c>
      <c r="R107" s="16" t="s">
        <v>246</v>
      </c>
    </row>
    <row r="108" spans="1:18" ht="15.75" x14ac:dyDescent="0.25">
      <c r="A108" s="1">
        <v>107</v>
      </c>
      <c r="B108" s="1" t="s">
        <v>17</v>
      </c>
      <c r="C108" s="1" t="s">
        <v>26</v>
      </c>
      <c r="D108" s="1" t="s">
        <v>19</v>
      </c>
      <c r="E108" s="7" t="s">
        <v>280</v>
      </c>
      <c r="F108" s="7" t="s">
        <v>281</v>
      </c>
      <c r="G108" s="7" t="s">
        <v>244</v>
      </c>
      <c r="H108" s="1" t="s">
        <v>23</v>
      </c>
      <c r="I108" s="7" t="s">
        <v>282</v>
      </c>
      <c r="J108" s="1" t="str">
        <f t="shared" si="8"/>
        <v>18</v>
      </c>
      <c r="K108" s="1" t="str">
        <f t="shared" si="9"/>
        <v>42</v>
      </c>
      <c r="L108" s="1" t="str">
        <f t="shared" si="10"/>
        <v>00</v>
      </c>
      <c r="M108" s="1" t="str">
        <f t="shared" si="11"/>
        <v>38</v>
      </c>
      <c r="N108" s="1" t="str">
        <f t="shared" si="12"/>
        <v>46</v>
      </c>
      <c r="O108" s="1" t="str">
        <f t="shared" si="13"/>
        <v>12</v>
      </c>
      <c r="P108" s="2">
        <f t="shared" si="14"/>
        <v>-18.7</v>
      </c>
      <c r="Q108" s="2">
        <f t="shared" si="15"/>
        <v>-38.770000000000003</v>
      </c>
      <c r="R108" s="16" t="s">
        <v>246</v>
      </c>
    </row>
    <row r="109" spans="1:18" ht="15.75" x14ac:dyDescent="0.25">
      <c r="A109" s="1">
        <v>108</v>
      </c>
      <c r="B109" s="1" t="s">
        <v>17</v>
      </c>
      <c r="C109" s="1" t="s">
        <v>26</v>
      </c>
      <c r="D109" s="1" t="s">
        <v>19</v>
      </c>
      <c r="E109" s="7" t="s">
        <v>283</v>
      </c>
      <c r="F109" s="7" t="s">
        <v>284</v>
      </c>
      <c r="G109" s="7" t="s">
        <v>244</v>
      </c>
      <c r="H109" s="1" t="s">
        <v>23</v>
      </c>
      <c r="I109" s="7" t="s">
        <v>285</v>
      </c>
      <c r="J109" s="1" t="str">
        <f t="shared" si="8"/>
        <v>18</v>
      </c>
      <c r="K109" s="1" t="str">
        <f t="shared" si="9"/>
        <v>18</v>
      </c>
      <c r="L109" s="1" t="str">
        <f t="shared" si="10"/>
        <v>00</v>
      </c>
      <c r="M109" s="1" t="str">
        <f t="shared" si="11"/>
        <v>33</v>
      </c>
      <c r="N109" s="1" t="str">
        <f t="shared" si="12"/>
        <v>54</v>
      </c>
      <c r="O109" s="1" t="str">
        <f t="shared" si="13"/>
        <v>36</v>
      </c>
      <c r="P109" s="2">
        <f t="shared" si="14"/>
        <v>-18.3</v>
      </c>
      <c r="Q109" s="2">
        <f t="shared" si="15"/>
        <v>-33.909999999999997</v>
      </c>
      <c r="R109" s="16" t="s">
        <v>246</v>
      </c>
    </row>
    <row r="110" spans="1:18" ht="15.75" x14ac:dyDescent="0.25">
      <c r="A110" s="1">
        <v>109</v>
      </c>
      <c r="B110" s="1" t="s">
        <v>17</v>
      </c>
      <c r="C110" s="1" t="s">
        <v>18</v>
      </c>
      <c r="D110" s="1" t="s">
        <v>19</v>
      </c>
      <c r="E110" s="7" t="s">
        <v>286</v>
      </c>
      <c r="F110" s="7" t="s">
        <v>287</v>
      </c>
      <c r="G110" s="7" t="s">
        <v>244</v>
      </c>
      <c r="H110" s="1" t="s">
        <v>23</v>
      </c>
      <c r="I110" s="7" t="s">
        <v>288</v>
      </c>
      <c r="J110" s="1" t="str">
        <f t="shared" si="8"/>
        <v>21</v>
      </c>
      <c r="K110" s="1" t="str">
        <f t="shared" si="9"/>
        <v>31</v>
      </c>
      <c r="L110" s="1" t="str">
        <f t="shared" si="10"/>
        <v>12</v>
      </c>
      <c r="M110" s="1" t="str">
        <f t="shared" si="11"/>
        <v>80</v>
      </c>
      <c r="N110" s="1" t="str">
        <f t="shared" si="12"/>
        <v>39</v>
      </c>
      <c r="O110" s="1" t="str">
        <f t="shared" si="13"/>
        <v>00</v>
      </c>
      <c r="P110" s="2">
        <f t="shared" si="14"/>
        <v>21.52</v>
      </c>
      <c r="Q110" s="2">
        <f t="shared" si="15"/>
        <v>-80.650000000000006</v>
      </c>
      <c r="R110" s="16" t="s">
        <v>246</v>
      </c>
    </row>
    <row r="111" spans="1:18" ht="15.75" x14ac:dyDescent="0.25">
      <c r="A111" s="1">
        <v>110</v>
      </c>
      <c r="B111" s="1" t="s">
        <v>17</v>
      </c>
      <c r="C111" s="1" t="s">
        <v>18</v>
      </c>
      <c r="D111" s="1" t="s">
        <v>19</v>
      </c>
      <c r="E111" s="7" t="s">
        <v>289</v>
      </c>
      <c r="F111" s="7" t="s">
        <v>290</v>
      </c>
      <c r="G111" s="7" t="s">
        <v>244</v>
      </c>
      <c r="H111" s="1" t="s">
        <v>23</v>
      </c>
      <c r="I111" s="7" t="s">
        <v>288</v>
      </c>
      <c r="J111" s="1" t="str">
        <f t="shared" si="8"/>
        <v>21</v>
      </c>
      <c r="K111" s="1" t="str">
        <f t="shared" si="9"/>
        <v>24</v>
      </c>
      <c r="L111" s="1" t="str">
        <f t="shared" si="10"/>
        <v>36</v>
      </c>
      <c r="M111" s="1" t="str">
        <f t="shared" si="11"/>
        <v>, 82</v>
      </c>
      <c r="N111" s="1" t="str">
        <f t="shared" si="12"/>
        <v>19</v>
      </c>
      <c r="O111" s="1" t="str">
        <f t="shared" si="13"/>
        <v>12</v>
      </c>
      <c r="P111" s="2">
        <f t="shared" si="14"/>
        <v>21.41</v>
      </c>
      <c r="Q111" s="2" t="e">
        <f t="shared" si="15"/>
        <v>#VALUE!</v>
      </c>
      <c r="R111" s="16" t="s">
        <v>246</v>
      </c>
    </row>
    <row r="112" spans="1:18" ht="15.75" x14ac:dyDescent="0.25">
      <c r="A112" s="1">
        <v>111</v>
      </c>
      <c r="B112" s="1" t="s">
        <v>17</v>
      </c>
      <c r="C112" s="1" t="s">
        <v>18</v>
      </c>
      <c r="D112" s="1" t="s">
        <v>19</v>
      </c>
      <c r="E112" s="7" t="s">
        <v>291</v>
      </c>
      <c r="F112" s="7" t="s">
        <v>292</v>
      </c>
      <c r="G112" s="7" t="s">
        <v>244</v>
      </c>
      <c r="H112" s="1" t="s">
        <v>23</v>
      </c>
      <c r="I112" s="7" t="s">
        <v>288</v>
      </c>
      <c r="J112" s="1" t="str">
        <f t="shared" si="8"/>
        <v>21</v>
      </c>
      <c r="K112" s="1" t="str">
        <f t="shared" si="9"/>
        <v>10</v>
      </c>
      <c r="L112" s="1" t="str">
        <f t="shared" si="10"/>
        <v>48</v>
      </c>
      <c r="M112" s="1" t="str">
        <f t="shared" si="11"/>
        <v>84</v>
      </c>
      <c r="N112" s="1" t="str">
        <f t="shared" si="12"/>
        <v>51</v>
      </c>
      <c r="O112" s="1" t="str">
        <f t="shared" si="13"/>
        <v>36</v>
      </c>
      <c r="P112" s="2">
        <f t="shared" si="14"/>
        <v>21.18</v>
      </c>
      <c r="Q112" s="2">
        <f t="shared" si="15"/>
        <v>-84.86</v>
      </c>
      <c r="R112" s="16" t="s">
        <v>246</v>
      </c>
    </row>
    <row r="113" spans="1:18" ht="15.75" x14ac:dyDescent="0.25">
      <c r="A113" s="1">
        <v>112</v>
      </c>
      <c r="B113" s="1" t="s">
        <v>17</v>
      </c>
      <c r="C113" s="1" t="s">
        <v>18</v>
      </c>
      <c r="D113" s="1" t="s">
        <v>19</v>
      </c>
      <c r="E113" s="7" t="s">
        <v>293</v>
      </c>
      <c r="F113" s="7" t="s">
        <v>294</v>
      </c>
      <c r="G113" s="7" t="s">
        <v>244</v>
      </c>
      <c r="H113" s="1" t="s">
        <v>23</v>
      </c>
      <c r="I113" s="7" t="s">
        <v>288</v>
      </c>
      <c r="J113" s="1" t="str">
        <f t="shared" si="8"/>
        <v>20</v>
      </c>
      <c r="K113" s="1" t="str">
        <f t="shared" si="9"/>
        <v>00</v>
      </c>
      <c r="L113" s="1" t="str">
        <f t="shared" si="10"/>
        <v>00</v>
      </c>
      <c r="M113" s="1" t="str">
        <f t="shared" si="11"/>
        <v>84</v>
      </c>
      <c r="N113" s="1" t="str">
        <f t="shared" si="12"/>
        <v>53</v>
      </c>
      <c r="O113" s="1" t="str">
        <f t="shared" si="13"/>
        <v>24</v>
      </c>
      <c r="P113" s="2">
        <f t="shared" si="14"/>
        <v>20</v>
      </c>
      <c r="Q113" s="2">
        <f t="shared" si="15"/>
        <v>-84.89</v>
      </c>
      <c r="R113" s="16" t="s">
        <v>246</v>
      </c>
    </row>
    <row r="114" spans="1:18" ht="15.75" x14ac:dyDescent="0.25">
      <c r="A114" s="1">
        <v>113</v>
      </c>
      <c r="B114" s="1" t="s">
        <v>17</v>
      </c>
      <c r="C114" s="1" t="s">
        <v>18</v>
      </c>
      <c r="D114" s="1" t="s">
        <v>19</v>
      </c>
      <c r="E114" s="7" t="s">
        <v>295</v>
      </c>
      <c r="F114" s="7" t="s">
        <v>296</v>
      </c>
      <c r="G114" s="7" t="s">
        <v>244</v>
      </c>
      <c r="H114" s="1" t="s">
        <v>23</v>
      </c>
      <c r="I114" s="7" t="s">
        <v>288</v>
      </c>
      <c r="J114" s="1" t="str">
        <f t="shared" si="8"/>
        <v>19</v>
      </c>
      <c r="K114" s="1" t="str">
        <f t="shared" si="9"/>
        <v>16</v>
      </c>
      <c r="L114" s="1" t="str">
        <f t="shared" si="10"/>
        <v>12</v>
      </c>
      <c r="M114" s="1" t="str">
        <f t="shared" si="11"/>
        <v>82</v>
      </c>
      <c r="N114" s="1" t="str">
        <f t="shared" si="12"/>
        <v>25</v>
      </c>
      <c r="O114" s="1" t="str">
        <f t="shared" si="13"/>
        <v>12</v>
      </c>
      <c r="P114" s="2">
        <f t="shared" si="14"/>
        <v>19.27</v>
      </c>
      <c r="Q114" s="2">
        <f t="shared" si="15"/>
        <v>-82.42</v>
      </c>
      <c r="R114" s="16" t="s">
        <v>246</v>
      </c>
    </row>
    <row r="115" spans="1:18" ht="15.75" x14ac:dyDescent="0.25">
      <c r="A115" s="1">
        <v>114</v>
      </c>
      <c r="B115" s="1" t="s">
        <v>17</v>
      </c>
      <c r="C115" s="1" t="s">
        <v>18</v>
      </c>
      <c r="D115" s="1" t="s">
        <v>19</v>
      </c>
      <c r="E115" s="7" t="s">
        <v>297</v>
      </c>
      <c r="F115" s="7" t="s">
        <v>298</v>
      </c>
      <c r="G115" s="7" t="s">
        <v>244</v>
      </c>
      <c r="H115" s="1" t="s">
        <v>23</v>
      </c>
      <c r="I115" s="7" t="s">
        <v>288</v>
      </c>
      <c r="J115" s="1" t="str">
        <f t="shared" si="8"/>
        <v>20</v>
      </c>
      <c r="K115" s="1" t="str">
        <f t="shared" si="9"/>
        <v>10</v>
      </c>
      <c r="L115" s="1" t="str">
        <f t="shared" si="10"/>
        <v>12</v>
      </c>
      <c r="M115" s="1" t="str">
        <f t="shared" si="11"/>
        <v>79</v>
      </c>
      <c r="N115" s="1" t="str">
        <f t="shared" si="12"/>
        <v>54</v>
      </c>
      <c r="O115" s="1" t="str">
        <f t="shared" si="13"/>
        <v>00</v>
      </c>
      <c r="P115" s="2">
        <f t="shared" si="14"/>
        <v>20.170000000000002</v>
      </c>
      <c r="Q115" s="2">
        <f t="shared" si="15"/>
        <v>-79.900000000000006</v>
      </c>
      <c r="R115" s="16" t="s">
        <v>246</v>
      </c>
    </row>
    <row r="116" spans="1:18" ht="15.75" x14ac:dyDescent="0.25">
      <c r="A116" s="1">
        <v>115</v>
      </c>
      <c r="B116" s="1" t="s">
        <v>17</v>
      </c>
      <c r="C116" s="1" t="s">
        <v>18</v>
      </c>
      <c r="D116" s="1" t="s">
        <v>19</v>
      </c>
      <c r="E116" s="7" t="s">
        <v>299</v>
      </c>
      <c r="F116" s="7" t="s">
        <v>300</v>
      </c>
      <c r="G116" s="7" t="s">
        <v>244</v>
      </c>
      <c r="H116" s="1" t="s">
        <v>23</v>
      </c>
      <c r="I116" s="1" t="s">
        <v>301</v>
      </c>
      <c r="J116" s="1" t="str">
        <f t="shared" si="8"/>
        <v>21</v>
      </c>
      <c r="K116" s="1" t="str">
        <f t="shared" si="9"/>
        <v>34</v>
      </c>
      <c r="L116" s="1" t="e">
        <f t="shared" si="10"/>
        <v>#VALUE!</v>
      </c>
      <c r="M116" s="1" t="str">
        <f t="shared" si="11"/>
        <v>83</v>
      </c>
      <c r="N116" s="1" t="str">
        <f t="shared" si="12"/>
        <v>31</v>
      </c>
      <c r="O116" s="1" t="e">
        <f t="shared" si="13"/>
        <v>#VALUE!</v>
      </c>
      <c r="P116" s="2" t="e">
        <f t="shared" si="14"/>
        <v>#VALUE!</v>
      </c>
      <c r="Q116" s="2" t="e">
        <f t="shared" si="15"/>
        <v>#VALUE!</v>
      </c>
      <c r="R116" s="16" t="s">
        <v>246</v>
      </c>
    </row>
    <row r="117" spans="1:18" ht="15.75" x14ac:dyDescent="0.25">
      <c r="A117" s="1">
        <v>116</v>
      </c>
      <c r="B117" s="1" t="s">
        <v>40</v>
      </c>
      <c r="C117" s="1" t="s">
        <v>26</v>
      </c>
      <c r="D117" s="1" t="s">
        <v>19</v>
      </c>
      <c r="E117" s="7" t="s">
        <v>302</v>
      </c>
      <c r="F117" s="7" t="s">
        <v>36</v>
      </c>
      <c r="G117" s="7" t="s">
        <v>303</v>
      </c>
      <c r="H117" s="1" t="s">
        <v>23</v>
      </c>
      <c r="I117" s="1" t="s">
        <v>37</v>
      </c>
      <c r="J117" s="1" t="str">
        <f t="shared" si="8"/>
        <v>02</v>
      </c>
      <c r="K117" s="1" t="str">
        <f t="shared" si="9"/>
        <v>53</v>
      </c>
      <c r="L117" s="1" t="str">
        <f t="shared" si="10"/>
        <v>22</v>
      </c>
      <c r="M117" s="1" t="str">
        <f t="shared" si="11"/>
        <v>41</v>
      </c>
      <c r="N117" s="1" t="str">
        <f t="shared" si="12"/>
        <v>13</v>
      </c>
      <c r="O117" s="1" t="str">
        <f t="shared" si="13"/>
        <v>46</v>
      </c>
      <c r="P117" s="2">
        <f t="shared" si="14"/>
        <v>-2.8894444444444445</v>
      </c>
      <c r="Q117" s="2">
        <f t="shared" si="15"/>
        <v>-41.229444444444447</v>
      </c>
      <c r="R117" s="16" t="s">
        <v>304</v>
      </c>
    </row>
    <row r="118" spans="1:18" ht="15.75" x14ac:dyDescent="0.25">
      <c r="A118" s="1">
        <v>117</v>
      </c>
      <c r="B118" s="1" t="s">
        <v>40</v>
      </c>
      <c r="C118" s="1" t="s">
        <v>26</v>
      </c>
      <c r="D118" s="1" t="s">
        <v>19</v>
      </c>
      <c r="E118" s="7" t="s">
        <v>305</v>
      </c>
      <c r="F118" s="7" t="s">
        <v>39</v>
      </c>
      <c r="G118" s="7" t="s">
        <v>303</v>
      </c>
      <c r="H118" s="1" t="s">
        <v>23</v>
      </c>
      <c r="I118" s="1" t="s">
        <v>37</v>
      </c>
      <c r="J118" s="1" t="str">
        <f t="shared" si="8"/>
        <v>04</v>
      </c>
      <c r="K118" s="1" t="str">
        <f t="shared" si="9"/>
        <v>06</v>
      </c>
      <c r="L118" s="1" t="str">
        <f t="shared" si="10"/>
        <v>06</v>
      </c>
      <c r="M118" s="1" t="str">
        <f t="shared" si="11"/>
        <v>38</v>
      </c>
      <c r="N118" s="1" t="str">
        <f t="shared" si="12"/>
        <v>08</v>
      </c>
      <c r="O118" s="1" t="str">
        <f t="shared" si="13"/>
        <v>56</v>
      </c>
      <c r="P118" s="2">
        <f t="shared" si="14"/>
        <v>-4.1016666666666666</v>
      </c>
      <c r="Q118" s="2">
        <f t="shared" si="15"/>
        <v>-38.148888888888891</v>
      </c>
      <c r="R118" s="16" t="s">
        <v>304</v>
      </c>
    </row>
    <row r="119" spans="1:18" ht="15.75" x14ac:dyDescent="0.25">
      <c r="A119" s="1">
        <v>118</v>
      </c>
      <c r="B119" s="1" t="s">
        <v>40</v>
      </c>
      <c r="C119" s="1" t="s">
        <v>26</v>
      </c>
      <c r="D119" s="1" t="s">
        <v>19</v>
      </c>
      <c r="E119" s="7" t="s">
        <v>306</v>
      </c>
      <c r="F119" s="7" t="s">
        <v>307</v>
      </c>
      <c r="G119" s="7" t="s">
        <v>303</v>
      </c>
      <c r="H119" s="1" t="s">
        <v>23</v>
      </c>
      <c r="I119" s="1" t="s">
        <v>308</v>
      </c>
      <c r="J119" s="1" t="str">
        <f t="shared" si="8"/>
        <v>04</v>
      </c>
      <c r="K119" s="1" t="str">
        <f t="shared" si="9"/>
        <v>53</v>
      </c>
      <c r="L119" s="1" t="str">
        <f t="shared" si="10"/>
        <v>26</v>
      </c>
      <c r="M119" s="1" t="str">
        <f t="shared" si="11"/>
        <v>37</v>
      </c>
      <c r="N119" s="1" t="str">
        <f t="shared" si="12"/>
        <v>14</v>
      </c>
      <c r="O119" s="1" t="str">
        <f t="shared" si="13"/>
        <v>37</v>
      </c>
      <c r="P119" s="2">
        <f t="shared" si="14"/>
        <v>-4.8905555555555553</v>
      </c>
      <c r="Q119" s="2">
        <f t="shared" si="15"/>
        <v>-37.243611111111115</v>
      </c>
      <c r="R119" s="16" t="s">
        <v>304</v>
      </c>
    </row>
    <row r="120" spans="1:18" ht="15.75" x14ac:dyDescent="0.25">
      <c r="A120" s="1">
        <v>119</v>
      </c>
      <c r="B120" s="1" t="s">
        <v>40</v>
      </c>
      <c r="C120" s="1" t="s">
        <v>26</v>
      </c>
      <c r="D120" s="1" t="s">
        <v>19</v>
      </c>
      <c r="E120" s="7" t="s">
        <v>309</v>
      </c>
      <c r="F120" s="7" t="s">
        <v>310</v>
      </c>
      <c r="G120" s="7" t="s">
        <v>303</v>
      </c>
      <c r="H120" s="1" t="s">
        <v>23</v>
      </c>
      <c r="I120" s="1" t="s">
        <v>308</v>
      </c>
      <c r="J120" s="1" t="str">
        <f t="shared" si="8"/>
        <v>05</v>
      </c>
      <c r="K120" s="1" t="str">
        <f t="shared" si="9"/>
        <v>12</v>
      </c>
      <c r="L120" s="1" t="str">
        <f t="shared" si="10"/>
        <v>06</v>
      </c>
      <c r="M120" s="1" t="str">
        <f t="shared" si="11"/>
        <v>35</v>
      </c>
      <c r="N120" s="1" t="str">
        <f t="shared" si="12"/>
        <v>27</v>
      </c>
      <c r="O120" s="1" t="str">
        <f t="shared" si="13"/>
        <v>27</v>
      </c>
      <c r="P120" s="2">
        <f t="shared" si="14"/>
        <v>-5.2016666666666662</v>
      </c>
      <c r="Q120" s="2">
        <f t="shared" si="15"/>
        <v>-35.457500000000003</v>
      </c>
      <c r="R120" s="16" t="s">
        <v>304</v>
      </c>
    </row>
    <row r="121" spans="1:18" ht="15.75" x14ac:dyDescent="0.25">
      <c r="A121" s="1">
        <v>120</v>
      </c>
      <c r="B121" s="1" t="s">
        <v>40</v>
      </c>
      <c r="C121" s="1" t="s">
        <v>26</v>
      </c>
      <c r="D121" s="1" t="s">
        <v>19</v>
      </c>
      <c r="E121" s="7" t="s">
        <v>311</v>
      </c>
      <c r="F121" s="7" t="s">
        <v>312</v>
      </c>
      <c r="G121" s="7" t="s">
        <v>303</v>
      </c>
      <c r="H121" s="1" t="s">
        <v>23</v>
      </c>
      <c r="I121" s="1" t="s">
        <v>313</v>
      </c>
      <c r="J121" s="1" t="str">
        <f t="shared" si="8"/>
        <v>06</v>
      </c>
      <c r="K121" s="1" t="str">
        <f t="shared" si="9"/>
        <v>30</v>
      </c>
      <c r="L121" s="1" t="str">
        <f t="shared" si="10"/>
        <v>11</v>
      </c>
      <c r="M121" s="1" t="str">
        <f t="shared" si="11"/>
        <v>34</v>
      </c>
      <c r="N121" s="1" t="str">
        <f t="shared" si="12"/>
        <v>57</v>
      </c>
      <c r="O121" s="1" t="str">
        <f t="shared" si="13"/>
        <v>30</v>
      </c>
      <c r="P121" s="2">
        <f t="shared" si="14"/>
        <v>-6.5030555555555551</v>
      </c>
      <c r="Q121" s="2">
        <f t="shared" si="15"/>
        <v>-34.958333333333336</v>
      </c>
      <c r="R121" s="16" t="s">
        <v>304</v>
      </c>
    </row>
    <row r="122" spans="1:18" ht="15.75" x14ac:dyDescent="0.25">
      <c r="A122" s="1">
        <v>121</v>
      </c>
      <c r="B122" s="1" t="s">
        <v>40</v>
      </c>
      <c r="C122" s="1" t="s">
        <v>26</v>
      </c>
      <c r="D122" s="1" t="s">
        <v>19</v>
      </c>
      <c r="E122" s="7" t="s">
        <v>314</v>
      </c>
      <c r="F122" s="7" t="s">
        <v>315</v>
      </c>
      <c r="G122" s="7" t="s">
        <v>303</v>
      </c>
      <c r="H122" s="1" t="s">
        <v>23</v>
      </c>
      <c r="I122" s="1" t="s">
        <v>313</v>
      </c>
      <c r="J122" s="1" t="str">
        <f t="shared" si="8"/>
        <v>06</v>
      </c>
      <c r="K122" s="1" t="str">
        <f t="shared" si="9"/>
        <v>57</v>
      </c>
      <c r="L122" s="1" t="str">
        <f t="shared" si="10"/>
        <v>57</v>
      </c>
      <c r="M122" s="1" t="str">
        <f t="shared" si="11"/>
        <v>34</v>
      </c>
      <c r="N122" s="1" t="str">
        <f t="shared" si="12"/>
        <v>51</v>
      </c>
      <c r="O122" s="1" t="str">
        <f t="shared" si="13"/>
        <v>22</v>
      </c>
      <c r="P122" s="2">
        <f t="shared" si="14"/>
        <v>-6.9658333333333333</v>
      </c>
      <c r="Q122" s="2">
        <f t="shared" si="15"/>
        <v>-34.856111111111112</v>
      </c>
      <c r="R122" s="16" t="s">
        <v>304</v>
      </c>
    </row>
    <row r="123" spans="1:18" ht="15.75" x14ac:dyDescent="0.25">
      <c r="A123" s="1">
        <v>122</v>
      </c>
      <c r="B123" s="1" t="s">
        <v>40</v>
      </c>
      <c r="C123" s="1" t="s">
        <v>26</v>
      </c>
      <c r="D123" s="1" t="s">
        <v>19</v>
      </c>
      <c r="E123" s="7" t="s">
        <v>316</v>
      </c>
      <c r="F123" s="7" t="s">
        <v>317</v>
      </c>
      <c r="G123" s="7" t="s">
        <v>303</v>
      </c>
      <c r="H123" s="1" t="s">
        <v>23</v>
      </c>
      <c r="I123" s="1" t="s">
        <v>318</v>
      </c>
      <c r="J123" s="1" t="str">
        <f t="shared" si="8"/>
        <v>07</v>
      </c>
      <c r="K123" s="1" t="str">
        <f t="shared" si="9"/>
        <v>33</v>
      </c>
      <c r="L123" s="1" t="str">
        <f t="shared" si="10"/>
        <v>07</v>
      </c>
      <c r="M123" s="1" t="str">
        <f t="shared" si="11"/>
        <v>34</v>
      </c>
      <c r="N123" s="1" t="str">
        <f t="shared" si="12"/>
        <v>50</v>
      </c>
      <c r="O123" s="1" t="str">
        <f t="shared" si="13"/>
        <v>39</v>
      </c>
      <c r="P123" s="2">
        <f t="shared" si="14"/>
        <v>-7.5519444444444446</v>
      </c>
      <c r="Q123" s="2">
        <f t="shared" si="15"/>
        <v>-34.844166666666666</v>
      </c>
      <c r="R123" s="16" t="s">
        <v>304</v>
      </c>
    </row>
    <row r="124" spans="1:18" ht="15.75" x14ac:dyDescent="0.25">
      <c r="A124" s="1">
        <v>123</v>
      </c>
      <c r="B124" s="1" t="s">
        <v>40</v>
      </c>
      <c r="C124" s="1" t="s">
        <v>26</v>
      </c>
      <c r="D124" s="1" t="s">
        <v>19</v>
      </c>
      <c r="E124" s="7" t="s">
        <v>319</v>
      </c>
      <c r="F124" s="7" t="s">
        <v>320</v>
      </c>
      <c r="G124" s="7" t="s">
        <v>303</v>
      </c>
      <c r="H124" s="1" t="s">
        <v>23</v>
      </c>
      <c r="I124" s="1" t="s">
        <v>318</v>
      </c>
      <c r="J124" s="1" t="str">
        <f t="shared" ref="J124:J187" si="19">MID(E124,1,FIND("°",E124,1)-1)</f>
        <v>08</v>
      </c>
      <c r="K124" s="1" t="str">
        <f t="shared" ref="K124:K187" si="20">MID(E124,FIND("°",E124,1)+1,(FIND("′",E124,1)-FIND("°",E124,1))-1)</f>
        <v>02</v>
      </c>
      <c r="L124" s="1" t="str">
        <f t="shared" ref="L124:L187" si="21">MID(E124,FIND("′",E124,1)+1,(FIND("″",E124,1)-FIND("′",E124,1))-1)</f>
        <v>54</v>
      </c>
      <c r="M124" s="1" t="str">
        <f t="shared" ref="M124:M187" si="22">MID(F124,1,FIND("°",F124,1)-1)</f>
        <v>34</v>
      </c>
      <c r="N124" s="1" t="str">
        <f t="shared" ref="N124:N187" si="23">MID(F124,FIND("°",F124,1)+1,(FIND("′",F124,1)-FIND("°",F124,1))-1)</f>
        <v>52</v>
      </c>
      <c r="O124" s="1" t="str">
        <f t="shared" ref="O124:O187" si="24">MID(F124,FIND("′",F124,1)+1,(FIND("″",F124,1)-FIND("′",F124,1))-1)</f>
        <v>42</v>
      </c>
      <c r="P124" s="2">
        <f t="shared" ref="P124:P187" si="25">((((L124/60)+K124)/60)+J124)*IF(C124="S",-1, 1)</f>
        <v>-8.0483333333333338</v>
      </c>
      <c r="Q124" s="2">
        <f t="shared" ref="Q124:Q187" si="26">((((O124/60)+N124)/60)+M124)*IF(D124="W",-1, 1)</f>
        <v>-34.87833333333333</v>
      </c>
      <c r="R124" s="16" t="s">
        <v>304</v>
      </c>
    </row>
    <row r="125" spans="1:18" ht="15.75" x14ac:dyDescent="0.25">
      <c r="A125" s="1">
        <v>124</v>
      </c>
      <c r="B125" s="1" t="s">
        <v>17</v>
      </c>
      <c r="C125" s="1" t="s">
        <v>26</v>
      </c>
      <c r="D125" s="1" t="s">
        <v>19</v>
      </c>
      <c r="E125" s="7" t="s">
        <v>302</v>
      </c>
      <c r="F125" s="7" t="s">
        <v>36</v>
      </c>
      <c r="G125" s="7" t="s">
        <v>303</v>
      </c>
      <c r="H125" s="1" t="s">
        <v>23</v>
      </c>
      <c r="I125" s="1" t="s">
        <v>37</v>
      </c>
      <c r="J125" s="1" t="str">
        <f t="shared" si="19"/>
        <v>02</v>
      </c>
      <c r="K125" s="1" t="str">
        <f t="shared" si="20"/>
        <v>53</v>
      </c>
      <c r="L125" s="1" t="str">
        <f t="shared" si="21"/>
        <v>22</v>
      </c>
      <c r="M125" s="1" t="str">
        <f t="shared" si="22"/>
        <v>41</v>
      </c>
      <c r="N125" s="1" t="str">
        <f t="shared" si="23"/>
        <v>13</v>
      </c>
      <c r="O125" s="1" t="str">
        <f t="shared" si="24"/>
        <v>46</v>
      </c>
      <c r="P125" s="2">
        <f t="shared" si="25"/>
        <v>-2.8894444444444445</v>
      </c>
      <c r="Q125" s="2">
        <f t="shared" si="26"/>
        <v>-41.229444444444447</v>
      </c>
      <c r="R125" s="16" t="s">
        <v>304</v>
      </c>
    </row>
    <row r="126" spans="1:18" ht="15.75" x14ac:dyDescent="0.25">
      <c r="A126" s="1">
        <v>125</v>
      </c>
      <c r="B126" s="1" t="s">
        <v>17</v>
      </c>
      <c r="C126" s="1" t="s">
        <v>26</v>
      </c>
      <c r="D126" s="1" t="s">
        <v>19</v>
      </c>
      <c r="E126" s="7" t="s">
        <v>305</v>
      </c>
      <c r="F126" s="7" t="s">
        <v>39</v>
      </c>
      <c r="G126" s="7" t="s">
        <v>303</v>
      </c>
      <c r="H126" s="1" t="s">
        <v>23</v>
      </c>
      <c r="I126" s="1" t="s">
        <v>37</v>
      </c>
      <c r="J126" s="1" t="str">
        <f t="shared" si="19"/>
        <v>04</v>
      </c>
      <c r="K126" s="1" t="str">
        <f t="shared" si="20"/>
        <v>06</v>
      </c>
      <c r="L126" s="1" t="str">
        <f t="shared" si="21"/>
        <v>06</v>
      </c>
      <c r="M126" s="1" t="str">
        <f t="shared" si="22"/>
        <v>38</v>
      </c>
      <c r="N126" s="1" t="str">
        <f t="shared" si="23"/>
        <v>08</v>
      </c>
      <c r="O126" s="1" t="str">
        <f t="shared" si="24"/>
        <v>56</v>
      </c>
      <c r="P126" s="2">
        <f t="shared" si="25"/>
        <v>-4.1016666666666666</v>
      </c>
      <c r="Q126" s="2">
        <f t="shared" si="26"/>
        <v>-38.148888888888891</v>
      </c>
      <c r="R126" s="16" t="s">
        <v>304</v>
      </c>
    </row>
    <row r="127" spans="1:18" ht="15.75" x14ac:dyDescent="0.25">
      <c r="A127" s="1">
        <v>126</v>
      </c>
      <c r="B127" s="1" t="s">
        <v>17</v>
      </c>
      <c r="C127" s="1" t="s">
        <v>26</v>
      </c>
      <c r="D127" s="1" t="s">
        <v>19</v>
      </c>
      <c r="E127" s="7" t="s">
        <v>306</v>
      </c>
      <c r="F127" s="7" t="s">
        <v>307</v>
      </c>
      <c r="G127" s="7" t="s">
        <v>303</v>
      </c>
      <c r="H127" s="1" t="s">
        <v>23</v>
      </c>
      <c r="I127" s="1" t="s">
        <v>308</v>
      </c>
      <c r="J127" s="1" t="str">
        <f t="shared" si="19"/>
        <v>04</v>
      </c>
      <c r="K127" s="1" t="str">
        <f t="shared" si="20"/>
        <v>53</v>
      </c>
      <c r="L127" s="1" t="str">
        <f t="shared" si="21"/>
        <v>26</v>
      </c>
      <c r="M127" s="1" t="str">
        <f t="shared" si="22"/>
        <v>37</v>
      </c>
      <c r="N127" s="1" t="str">
        <f t="shared" si="23"/>
        <v>14</v>
      </c>
      <c r="O127" s="1" t="str">
        <f t="shared" si="24"/>
        <v>37</v>
      </c>
      <c r="P127" s="2">
        <f t="shared" si="25"/>
        <v>-4.8905555555555553</v>
      </c>
      <c r="Q127" s="2">
        <f t="shared" si="26"/>
        <v>-37.243611111111115</v>
      </c>
      <c r="R127" s="16" t="s">
        <v>304</v>
      </c>
    </row>
    <row r="128" spans="1:18" ht="15.75" x14ac:dyDescent="0.25">
      <c r="A128" s="1">
        <v>127</v>
      </c>
      <c r="B128" s="1" t="s">
        <v>17</v>
      </c>
      <c r="C128" s="1" t="s">
        <v>26</v>
      </c>
      <c r="D128" s="1" t="s">
        <v>19</v>
      </c>
      <c r="E128" s="7" t="s">
        <v>309</v>
      </c>
      <c r="F128" s="7" t="s">
        <v>310</v>
      </c>
      <c r="G128" s="7" t="s">
        <v>303</v>
      </c>
      <c r="H128" s="1" t="s">
        <v>23</v>
      </c>
      <c r="I128" s="1" t="s">
        <v>308</v>
      </c>
      <c r="J128" s="1" t="str">
        <f t="shared" si="19"/>
        <v>05</v>
      </c>
      <c r="K128" s="1" t="str">
        <f t="shared" si="20"/>
        <v>12</v>
      </c>
      <c r="L128" s="1" t="str">
        <f t="shared" si="21"/>
        <v>06</v>
      </c>
      <c r="M128" s="1" t="str">
        <f t="shared" si="22"/>
        <v>35</v>
      </c>
      <c r="N128" s="1" t="str">
        <f t="shared" si="23"/>
        <v>27</v>
      </c>
      <c r="O128" s="1" t="str">
        <f t="shared" si="24"/>
        <v>27</v>
      </c>
      <c r="P128" s="2">
        <f t="shared" si="25"/>
        <v>-5.2016666666666662</v>
      </c>
      <c r="Q128" s="2">
        <f t="shared" si="26"/>
        <v>-35.457500000000003</v>
      </c>
      <c r="R128" s="16" t="s">
        <v>304</v>
      </c>
    </row>
    <row r="129" spans="1:18" ht="15.75" x14ac:dyDescent="0.25">
      <c r="A129" s="1">
        <v>128</v>
      </c>
      <c r="B129" s="1" t="s">
        <v>17</v>
      </c>
      <c r="C129" s="1" t="s">
        <v>26</v>
      </c>
      <c r="D129" s="1" t="s">
        <v>19</v>
      </c>
      <c r="E129" s="7" t="s">
        <v>311</v>
      </c>
      <c r="F129" s="7" t="s">
        <v>312</v>
      </c>
      <c r="G129" s="7" t="s">
        <v>303</v>
      </c>
      <c r="H129" s="1" t="s">
        <v>23</v>
      </c>
      <c r="I129" s="1" t="s">
        <v>313</v>
      </c>
      <c r="J129" s="1" t="str">
        <f t="shared" si="19"/>
        <v>06</v>
      </c>
      <c r="K129" s="1" t="str">
        <f t="shared" si="20"/>
        <v>30</v>
      </c>
      <c r="L129" s="1" t="str">
        <f t="shared" si="21"/>
        <v>11</v>
      </c>
      <c r="M129" s="1" t="str">
        <f t="shared" si="22"/>
        <v>34</v>
      </c>
      <c r="N129" s="1" t="str">
        <f t="shared" si="23"/>
        <v>57</v>
      </c>
      <c r="O129" s="1" t="str">
        <f t="shared" si="24"/>
        <v>30</v>
      </c>
      <c r="P129" s="2">
        <f t="shared" si="25"/>
        <v>-6.5030555555555551</v>
      </c>
      <c r="Q129" s="2">
        <f t="shared" si="26"/>
        <v>-34.958333333333336</v>
      </c>
      <c r="R129" s="16" t="s">
        <v>304</v>
      </c>
    </row>
    <row r="130" spans="1:18" ht="15.75" x14ac:dyDescent="0.25">
      <c r="A130" s="1">
        <v>129</v>
      </c>
      <c r="B130" s="1" t="s">
        <v>17</v>
      </c>
      <c r="C130" s="1" t="s">
        <v>26</v>
      </c>
      <c r="D130" s="1" t="s">
        <v>19</v>
      </c>
      <c r="E130" s="7" t="s">
        <v>314</v>
      </c>
      <c r="F130" s="7" t="s">
        <v>315</v>
      </c>
      <c r="G130" s="7" t="s">
        <v>303</v>
      </c>
      <c r="H130" s="1" t="s">
        <v>23</v>
      </c>
      <c r="I130" s="1" t="s">
        <v>313</v>
      </c>
      <c r="J130" s="1" t="str">
        <f t="shared" si="19"/>
        <v>06</v>
      </c>
      <c r="K130" s="1" t="str">
        <f t="shared" si="20"/>
        <v>57</v>
      </c>
      <c r="L130" s="1" t="str">
        <f t="shared" si="21"/>
        <v>57</v>
      </c>
      <c r="M130" s="1" t="str">
        <f t="shared" si="22"/>
        <v>34</v>
      </c>
      <c r="N130" s="1" t="str">
        <f t="shared" si="23"/>
        <v>51</v>
      </c>
      <c r="O130" s="1" t="str">
        <f t="shared" si="24"/>
        <v>22</v>
      </c>
      <c r="P130" s="2">
        <f t="shared" si="25"/>
        <v>-6.9658333333333333</v>
      </c>
      <c r="Q130" s="2">
        <f t="shared" si="26"/>
        <v>-34.856111111111112</v>
      </c>
      <c r="R130" s="16" t="s">
        <v>304</v>
      </c>
    </row>
    <row r="131" spans="1:18" ht="15.75" x14ac:dyDescent="0.25">
      <c r="A131" s="1">
        <v>130</v>
      </c>
      <c r="B131" s="1" t="s">
        <v>17</v>
      </c>
      <c r="C131" s="1" t="s">
        <v>26</v>
      </c>
      <c r="D131" s="1" t="s">
        <v>19</v>
      </c>
      <c r="E131" s="7" t="s">
        <v>316</v>
      </c>
      <c r="F131" s="7" t="s">
        <v>317</v>
      </c>
      <c r="G131" s="7" t="s">
        <v>303</v>
      </c>
      <c r="H131" s="1" t="s">
        <v>23</v>
      </c>
      <c r="I131" s="1" t="s">
        <v>318</v>
      </c>
      <c r="J131" s="1" t="str">
        <f t="shared" si="19"/>
        <v>07</v>
      </c>
      <c r="K131" s="1" t="str">
        <f t="shared" si="20"/>
        <v>33</v>
      </c>
      <c r="L131" s="1" t="str">
        <f t="shared" si="21"/>
        <v>07</v>
      </c>
      <c r="M131" s="1" t="str">
        <f t="shared" si="22"/>
        <v>34</v>
      </c>
      <c r="N131" s="1" t="str">
        <f t="shared" si="23"/>
        <v>50</v>
      </c>
      <c r="O131" s="1" t="str">
        <f t="shared" si="24"/>
        <v>39</v>
      </c>
      <c r="P131" s="2">
        <f t="shared" si="25"/>
        <v>-7.5519444444444446</v>
      </c>
      <c r="Q131" s="2">
        <f t="shared" si="26"/>
        <v>-34.844166666666666</v>
      </c>
      <c r="R131" s="16" t="s">
        <v>304</v>
      </c>
    </row>
    <row r="132" spans="1:18" ht="15.75" x14ac:dyDescent="0.25">
      <c r="A132" s="1">
        <v>131</v>
      </c>
      <c r="B132" s="1" t="s">
        <v>17</v>
      </c>
      <c r="C132" s="1" t="s">
        <v>26</v>
      </c>
      <c r="D132" s="1" t="s">
        <v>19</v>
      </c>
      <c r="E132" s="7" t="s">
        <v>319</v>
      </c>
      <c r="F132" s="7" t="s">
        <v>320</v>
      </c>
      <c r="G132" s="7" t="s">
        <v>303</v>
      </c>
      <c r="H132" s="1" t="s">
        <v>23</v>
      </c>
      <c r="I132" s="1" t="s">
        <v>318</v>
      </c>
      <c r="J132" s="1" t="str">
        <f t="shared" si="19"/>
        <v>08</v>
      </c>
      <c r="K132" s="1" t="str">
        <f t="shared" si="20"/>
        <v>02</v>
      </c>
      <c r="L132" s="1" t="str">
        <f t="shared" si="21"/>
        <v>54</v>
      </c>
      <c r="M132" s="1" t="str">
        <f t="shared" si="22"/>
        <v>34</v>
      </c>
      <c r="N132" s="1" t="str">
        <f t="shared" si="23"/>
        <v>52</v>
      </c>
      <c r="O132" s="1" t="str">
        <f t="shared" si="24"/>
        <v>42</v>
      </c>
      <c r="P132" s="2">
        <f t="shared" si="25"/>
        <v>-8.0483333333333338</v>
      </c>
      <c r="Q132" s="2">
        <f t="shared" si="26"/>
        <v>-34.87833333333333</v>
      </c>
      <c r="R132" s="16" t="s">
        <v>304</v>
      </c>
    </row>
    <row r="133" spans="1:18" ht="15.75" x14ac:dyDescent="0.25">
      <c r="A133" s="1">
        <v>132</v>
      </c>
      <c r="B133" s="1" t="s">
        <v>41</v>
      </c>
      <c r="C133" s="1" t="s">
        <v>18</v>
      </c>
      <c r="D133" s="1" t="s">
        <v>19</v>
      </c>
      <c r="E133" s="7" t="s">
        <v>321</v>
      </c>
      <c r="F133" s="7" t="s">
        <v>322</v>
      </c>
      <c r="G133" s="1" t="s">
        <v>323</v>
      </c>
      <c r="H133" s="1" t="s">
        <v>324</v>
      </c>
      <c r="I133" s="1" t="s">
        <v>325</v>
      </c>
      <c r="J133" s="1" t="str">
        <f t="shared" si="19"/>
        <v>01</v>
      </c>
      <c r="K133" s="1" t="str">
        <f t="shared" si="20"/>
        <v>45</v>
      </c>
      <c r="L133" s="1" t="str">
        <f t="shared" si="21"/>
        <v>10</v>
      </c>
      <c r="M133" s="1" t="str">
        <f t="shared" si="22"/>
        <v>48</v>
      </c>
      <c r="N133" s="1" t="str">
        <f t="shared" si="23"/>
        <v>12</v>
      </c>
      <c r="O133" s="1" t="str">
        <f t="shared" si="24"/>
        <v>56</v>
      </c>
      <c r="P133" s="2">
        <f t="shared" si="25"/>
        <v>1.7527777777777778</v>
      </c>
      <c r="Q133" s="2">
        <f t="shared" si="26"/>
        <v>-48.215555555555554</v>
      </c>
      <c r="R133" s="16" t="s">
        <v>326</v>
      </c>
    </row>
    <row r="134" spans="1:18" ht="15.75" x14ac:dyDescent="0.25">
      <c r="A134" s="1">
        <v>133</v>
      </c>
      <c r="B134" s="1" t="s">
        <v>41</v>
      </c>
      <c r="C134" s="1" t="s">
        <v>18</v>
      </c>
      <c r="D134" s="1" t="s">
        <v>19</v>
      </c>
      <c r="E134" s="7" t="s">
        <v>327</v>
      </c>
      <c r="F134" s="7" t="s">
        <v>328</v>
      </c>
      <c r="G134" s="1" t="s">
        <v>323</v>
      </c>
      <c r="H134" s="1" t="s">
        <v>324</v>
      </c>
      <c r="I134" s="1" t="s">
        <v>325</v>
      </c>
      <c r="J134" s="1" t="str">
        <f t="shared" si="19"/>
        <v>01</v>
      </c>
      <c r="K134" s="1" t="str">
        <f t="shared" si="20"/>
        <v>43</v>
      </c>
      <c r="L134" s="1" t="str">
        <f t="shared" si="21"/>
        <v>38</v>
      </c>
      <c r="M134" s="1" t="str">
        <f t="shared" si="22"/>
        <v>48</v>
      </c>
      <c r="N134" s="1" t="str">
        <f t="shared" si="23"/>
        <v>26</v>
      </c>
      <c r="O134" s="1" t="str">
        <f t="shared" si="24"/>
        <v>22</v>
      </c>
      <c r="P134" s="2">
        <f t="shared" si="25"/>
        <v>1.7272222222222222</v>
      </c>
      <c r="Q134" s="2">
        <f t="shared" si="26"/>
        <v>-48.439444444444447</v>
      </c>
      <c r="R134" s="16" t="s">
        <v>326</v>
      </c>
    </row>
    <row r="135" spans="1:18" ht="15.75" x14ac:dyDescent="0.25">
      <c r="A135" s="1">
        <v>134</v>
      </c>
      <c r="B135" s="1" t="s">
        <v>41</v>
      </c>
      <c r="C135" s="1" t="s">
        <v>18</v>
      </c>
      <c r="D135" s="1" t="s">
        <v>19</v>
      </c>
      <c r="E135" s="7" t="s">
        <v>329</v>
      </c>
      <c r="F135" s="7" t="s">
        <v>330</v>
      </c>
      <c r="G135" s="1" t="s">
        <v>323</v>
      </c>
      <c r="H135" s="1" t="s">
        <v>324</v>
      </c>
      <c r="I135" s="1" t="s">
        <v>325</v>
      </c>
      <c r="J135" s="1" t="str">
        <f t="shared" si="19"/>
        <v>02</v>
      </c>
      <c r="K135" s="1" t="str">
        <f t="shared" si="20"/>
        <v>00</v>
      </c>
      <c r="L135" s="1" t="str">
        <f t="shared" si="21"/>
        <v>35</v>
      </c>
      <c r="M135" s="1" t="str">
        <f t="shared" si="22"/>
        <v>48</v>
      </c>
      <c r="N135" s="1" t="str">
        <f t="shared" si="23"/>
        <v>12</v>
      </c>
      <c r="O135" s="1" t="str">
        <f t="shared" si="24"/>
        <v>39</v>
      </c>
      <c r="P135" s="2">
        <f t="shared" si="25"/>
        <v>2.0097222222222224</v>
      </c>
      <c r="Q135" s="2">
        <f t="shared" si="26"/>
        <v>-48.210833333333333</v>
      </c>
      <c r="R135" s="16" t="s">
        <v>326</v>
      </c>
    </row>
    <row r="136" spans="1:18" ht="15.75" x14ac:dyDescent="0.25">
      <c r="A136" s="1">
        <v>135</v>
      </c>
      <c r="B136" s="1" t="s">
        <v>41</v>
      </c>
      <c r="C136" s="1" t="s">
        <v>18</v>
      </c>
      <c r="D136" s="1" t="s">
        <v>19</v>
      </c>
      <c r="E136" s="7" t="s">
        <v>331</v>
      </c>
      <c r="F136" s="7" t="s">
        <v>332</v>
      </c>
      <c r="G136" s="1" t="s">
        <v>323</v>
      </c>
      <c r="H136" s="1" t="s">
        <v>324</v>
      </c>
      <c r="I136" s="1" t="s">
        <v>325</v>
      </c>
      <c r="J136" s="1" t="str">
        <f t="shared" si="19"/>
        <v>02</v>
      </c>
      <c r="K136" s="1" t="str">
        <f t="shared" si="20"/>
        <v>39</v>
      </c>
      <c r="L136" s="1" t="str">
        <f t="shared" si="21"/>
        <v>44</v>
      </c>
      <c r="M136" s="1" t="str">
        <f t="shared" si="22"/>
        <v>49</v>
      </c>
      <c r="N136" s="1" t="str">
        <f t="shared" si="23"/>
        <v>08</v>
      </c>
      <c r="O136" s="1" t="str">
        <f t="shared" si="24"/>
        <v>56</v>
      </c>
      <c r="P136" s="2">
        <f t="shared" si="25"/>
        <v>2.6622222222222223</v>
      </c>
      <c r="Q136" s="2">
        <f t="shared" si="26"/>
        <v>-49.148888888888891</v>
      </c>
      <c r="R136" s="16" t="s">
        <v>326</v>
      </c>
    </row>
    <row r="137" spans="1:18" ht="15.75" x14ac:dyDescent="0.25">
      <c r="A137" s="1">
        <v>136</v>
      </c>
      <c r="B137" s="1" t="s">
        <v>41</v>
      </c>
      <c r="C137" s="1" t="s">
        <v>18</v>
      </c>
      <c r="D137" s="1" t="s">
        <v>19</v>
      </c>
      <c r="E137" s="7" t="s">
        <v>333</v>
      </c>
      <c r="F137" s="7" t="s">
        <v>334</v>
      </c>
      <c r="G137" s="1" t="s">
        <v>323</v>
      </c>
      <c r="H137" s="1" t="s">
        <v>324</v>
      </c>
      <c r="I137" s="1" t="s">
        <v>325</v>
      </c>
      <c r="J137" s="1" t="str">
        <f t="shared" si="19"/>
        <v>03</v>
      </c>
      <c r="K137" s="1" t="str">
        <f t="shared" si="20"/>
        <v>29</v>
      </c>
      <c r="L137" s="1" t="str">
        <f t="shared" si="21"/>
        <v>13</v>
      </c>
      <c r="M137" s="1" t="str">
        <f t="shared" si="22"/>
        <v>49</v>
      </c>
      <c r="N137" s="1" t="str">
        <f t="shared" si="23"/>
        <v>47</v>
      </c>
      <c r="O137" s="1" t="str">
        <f t="shared" si="24"/>
        <v>04</v>
      </c>
      <c r="P137" s="2">
        <f t="shared" si="25"/>
        <v>3.4869444444444442</v>
      </c>
      <c r="Q137" s="2">
        <f t="shared" si="26"/>
        <v>-49.784444444444446</v>
      </c>
      <c r="R137" s="16" t="s">
        <v>326</v>
      </c>
    </row>
    <row r="138" spans="1:18" ht="15.75" x14ac:dyDescent="0.25">
      <c r="A138" s="1">
        <v>137</v>
      </c>
      <c r="B138" s="1" t="s">
        <v>40</v>
      </c>
      <c r="C138" s="1" t="s">
        <v>26</v>
      </c>
      <c r="D138" s="1" t="s">
        <v>19</v>
      </c>
      <c r="E138" s="7" t="s">
        <v>335</v>
      </c>
      <c r="F138" s="7" t="s">
        <v>336</v>
      </c>
      <c r="G138" s="1" t="s">
        <v>337</v>
      </c>
      <c r="H138" s="1" t="s">
        <v>324</v>
      </c>
      <c r="I138" s="1" t="s">
        <v>338</v>
      </c>
      <c r="J138" s="1" t="str">
        <f t="shared" si="19"/>
        <v>07</v>
      </c>
      <c r="K138" s="1" t="str">
        <f t="shared" si="20"/>
        <v>09</v>
      </c>
      <c r="L138" s="1" t="str">
        <f t="shared" si="21"/>
        <v>33</v>
      </c>
      <c r="M138" s="1" t="str">
        <f t="shared" si="22"/>
        <v>34</v>
      </c>
      <c r="N138" s="1" t="str">
        <f t="shared" si="23"/>
        <v>47</v>
      </c>
      <c r="O138" s="1" t="str">
        <f t="shared" si="24"/>
        <v>08</v>
      </c>
      <c r="P138" s="2">
        <f t="shared" si="25"/>
        <v>-7.1591666666666667</v>
      </c>
      <c r="Q138" s="2">
        <f t="shared" si="26"/>
        <v>-34.785555555555554</v>
      </c>
      <c r="R138" s="16" t="s">
        <v>339</v>
      </c>
    </row>
    <row r="139" spans="1:18" ht="15.75" x14ac:dyDescent="0.25">
      <c r="A139" s="1">
        <v>138</v>
      </c>
      <c r="B139" s="1" t="s">
        <v>40</v>
      </c>
      <c r="C139" s="1" t="s">
        <v>26</v>
      </c>
      <c r="D139" s="1" t="s">
        <v>19</v>
      </c>
      <c r="E139" s="7" t="s">
        <v>340</v>
      </c>
      <c r="F139" s="7" t="s">
        <v>341</v>
      </c>
      <c r="G139" s="1" t="s">
        <v>337</v>
      </c>
      <c r="H139" s="1" t="s">
        <v>324</v>
      </c>
      <c r="I139" s="1" t="s">
        <v>342</v>
      </c>
      <c r="J139" s="1" t="str">
        <f t="shared" si="19"/>
        <v>07</v>
      </c>
      <c r="K139" s="1" t="str">
        <f t="shared" si="20"/>
        <v>10</v>
      </c>
      <c r="L139" s="1" t="str">
        <f t="shared" si="21"/>
        <v>47</v>
      </c>
      <c r="M139" s="1" t="str">
        <f t="shared" si="22"/>
        <v>34</v>
      </c>
      <c r="N139" s="1" t="str">
        <f t="shared" si="23"/>
        <v>46</v>
      </c>
      <c r="O139" s="1" t="str">
        <f t="shared" si="24"/>
        <v>56</v>
      </c>
      <c r="P139" s="2">
        <f t="shared" si="25"/>
        <v>-7.1797222222222219</v>
      </c>
      <c r="Q139" s="2">
        <f t="shared" si="26"/>
        <v>-34.782222222222224</v>
      </c>
      <c r="R139" s="16" t="s">
        <v>339</v>
      </c>
    </row>
    <row r="140" spans="1:18" ht="15.75" x14ac:dyDescent="0.25">
      <c r="A140" s="1">
        <v>139</v>
      </c>
      <c r="B140" s="1" t="s">
        <v>17</v>
      </c>
      <c r="C140" s="1" t="s">
        <v>26</v>
      </c>
      <c r="D140" s="1" t="s">
        <v>19</v>
      </c>
      <c r="E140" s="7" t="s">
        <v>335</v>
      </c>
      <c r="F140" s="7" t="s">
        <v>336</v>
      </c>
      <c r="G140" s="1" t="s">
        <v>337</v>
      </c>
      <c r="H140" s="1" t="s">
        <v>324</v>
      </c>
      <c r="I140" s="1" t="s">
        <v>338</v>
      </c>
      <c r="J140" s="1" t="str">
        <f t="shared" si="19"/>
        <v>07</v>
      </c>
      <c r="K140" s="1" t="str">
        <f t="shared" si="20"/>
        <v>09</v>
      </c>
      <c r="L140" s="1" t="str">
        <f t="shared" si="21"/>
        <v>33</v>
      </c>
      <c r="M140" s="1" t="str">
        <f t="shared" si="22"/>
        <v>34</v>
      </c>
      <c r="N140" s="1" t="str">
        <f t="shared" si="23"/>
        <v>47</v>
      </c>
      <c r="O140" s="1" t="str">
        <f t="shared" si="24"/>
        <v>08</v>
      </c>
      <c r="P140" s="2">
        <f t="shared" si="25"/>
        <v>-7.1591666666666667</v>
      </c>
      <c r="Q140" s="2">
        <f t="shared" si="26"/>
        <v>-34.785555555555554</v>
      </c>
      <c r="R140" s="16" t="s">
        <v>339</v>
      </c>
    </row>
    <row r="141" spans="1:18" ht="15.75" x14ac:dyDescent="0.25">
      <c r="A141" s="1">
        <v>140</v>
      </c>
      <c r="B141" s="1" t="s">
        <v>17</v>
      </c>
      <c r="C141" s="1" t="s">
        <v>26</v>
      </c>
      <c r="D141" s="1" t="s">
        <v>19</v>
      </c>
      <c r="E141" s="7" t="s">
        <v>340</v>
      </c>
      <c r="F141" s="7" t="s">
        <v>341</v>
      </c>
      <c r="G141" s="1" t="s">
        <v>337</v>
      </c>
      <c r="H141" s="1" t="s">
        <v>324</v>
      </c>
      <c r="I141" s="1" t="s">
        <v>342</v>
      </c>
      <c r="J141" s="1" t="str">
        <f t="shared" si="19"/>
        <v>07</v>
      </c>
      <c r="K141" s="1" t="str">
        <f t="shared" si="20"/>
        <v>10</v>
      </c>
      <c r="L141" s="1" t="str">
        <f t="shared" si="21"/>
        <v>47</v>
      </c>
      <c r="M141" s="1" t="str">
        <f t="shared" si="22"/>
        <v>34</v>
      </c>
      <c r="N141" s="1" t="str">
        <f t="shared" si="23"/>
        <v>46</v>
      </c>
      <c r="O141" s="1" t="str">
        <f t="shared" si="24"/>
        <v>56</v>
      </c>
      <c r="P141" s="2">
        <f t="shared" si="25"/>
        <v>-7.1797222222222219</v>
      </c>
      <c r="Q141" s="2">
        <f t="shared" si="26"/>
        <v>-34.782222222222224</v>
      </c>
      <c r="R141" s="16" t="s">
        <v>339</v>
      </c>
    </row>
    <row r="142" spans="1:18" ht="15.75" x14ac:dyDescent="0.25">
      <c r="A142" s="1">
        <v>141</v>
      </c>
      <c r="B142" s="1" t="s">
        <v>52</v>
      </c>
      <c r="C142" s="1" t="s">
        <v>26</v>
      </c>
      <c r="D142" s="1" t="s">
        <v>19</v>
      </c>
      <c r="E142" s="7" t="s">
        <v>335</v>
      </c>
      <c r="F142" s="7" t="s">
        <v>336</v>
      </c>
      <c r="G142" s="1" t="s">
        <v>337</v>
      </c>
      <c r="H142" s="1" t="s">
        <v>324</v>
      </c>
      <c r="I142" s="1" t="s">
        <v>338</v>
      </c>
      <c r="J142" s="1" t="str">
        <f t="shared" si="19"/>
        <v>07</v>
      </c>
      <c r="K142" s="1" t="str">
        <f t="shared" si="20"/>
        <v>09</v>
      </c>
      <c r="L142" s="1" t="str">
        <f t="shared" si="21"/>
        <v>33</v>
      </c>
      <c r="M142" s="1" t="str">
        <f t="shared" si="22"/>
        <v>34</v>
      </c>
      <c r="N142" s="1" t="str">
        <f t="shared" si="23"/>
        <v>47</v>
      </c>
      <c r="O142" s="1" t="str">
        <f t="shared" si="24"/>
        <v>08</v>
      </c>
      <c r="P142" s="2">
        <f t="shared" si="25"/>
        <v>-7.1591666666666667</v>
      </c>
      <c r="Q142" s="2">
        <f t="shared" si="26"/>
        <v>-34.785555555555554</v>
      </c>
      <c r="R142" s="16" t="s">
        <v>339</v>
      </c>
    </row>
    <row r="143" spans="1:18" ht="15.75" x14ac:dyDescent="0.25">
      <c r="A143" s="1">
        <v>142</v>
      </c>
      <c r="B143" s="1" t="s">
        <v>52</v>
      </c>
      <c r="C143" s="1" t="s">
        <v>26</v>
      </c>
      <c r="D143" s="1" t="s">
        <v>19</v>
      </c>
      <c r="E143" s="7" t="s">
        <v>340</v>
      </c>
      <c r="F143" s="7" t="s">
        <v>341</v>
      </c>
      <c r="G143" s="1" t="s">
        <v>337</v>
      </c>
      <c r="H143" s="1" t="s">
        <v>324</v>
      </c>
      <c r="I143" s="1" t="s">
        <v>342</v>
      </c>
      <c r="J143" s="1" t="str">
        <f t="shared" si="19"/>
        <v>07</v>
      </c>
      <c r="K143" s="1" t="str">
        <f t="shared" si="20"/>
        <v>10</v>
      </c>
      <c r="L143" s="1" t="str">
        <f t="shared" si="21"/>
        <v>47</v>
      </c>
      <c r="M143" s="1" t="str">
        <f t="shared" si="22"/>
        <v>34</v>
      </c>
      <c r="N143" s="1" t="str">
        <f t="shared" si="23"/>
        <v>46</v>
      </c>
      <c r="O143" s="1" t="str">
        <f t="shared" si="24"/>
        <v>56</v>
      </c>
      <c r="P143" s="2">
        <f t="shared" si="25"/>
        <v>-7.1797222222222219</v>
      </c>
      <c r="Q143" s="2">
        <f t="shared" si="26"/>
        <v>-34.782222222222224</v>
      </c>
      <c r="R143" s="16" t="s">
        <v>339</v>
      </c>
    </row>
    <row r="144" spans="1:18" ht="15.75" x14ac:dyDescent="0.25">
      <c r="A144" s="1">
        <v>143</v>
      </c>
      <c r="B144" s="1" t="s">
        <v>52</v>
      </c>
      <c r="C144" s="1" t="s">
        <v>26</v>
      </c>
      <c r="D144" s="1" t="s">
        <v>19</v>
      </c>
      <c r="E144" s="7" t="s">
        <v>343</v>
      </c>
      <c r="F144" s="7" t="s">
        <v>344</v>
      </c>
      <c r="G144" s="1" t="s">
        <v>345</v>
      </c>
      <c r="H144" s="1" t="s">
        <v>324</v>
      </c>
      <c r="I144" s="15" t="s">
        <v>68</v>
      </c>
      <c r="J144" s="1" t="str">
        <f t="shared" si="19"/>
        <v>08</v>
      </c>
      <c r="K144" s="1" t="str">
        <f t="shared" si="20"/>
        <v>30</v>
      </c>
      <c r="L144" s="1" t="str">
        <f t="shared" si="21"/>
        <v>41</v>
      </c>
      <c r="M144" s="1" t="str">
        <f t="shared" si="22"/>
        <v>35</v>
      </c>
      <c r="N144" s="1" t="str">
        <f t="shared" si="23"/>
        <v>00</v>
      </c>
      <c r="O144" s="1" t="str">
        <f t="shared" si="24"/>
        <v>02</v>
      </c>
      <c r="P144" s="2">
        <f t="shared" si="25"/>
        <v>-8.511388888888888</v>
      </c>
      <c r="Q144" s="2">
        <f t="shared" si="26"/>
        <v>-35.000555555555557</v>
      </c>
      <c r="R144" s="16" t="s">
        <v>111</v>
      </c>
    </row>
    <row r="145" spans="1:18" ht="15.75" x14ac:dyDescent="0.25">
      <c r="A145" s="1">
        <v>144</v>
      </c>
      <c r="B145" s="1" t="s">
        <v>52</v>
      </c>
      <c r="C145" s="1" t="s">
        <v>26</v>
      </c>
      <c r="D145" s="1" t="s">
        <v>19</v>
      </c>
      <c r="E145" s="7" t="s">
        <v>346</v>
      </c>
      <c r="F145" s="7" t="s">
        <v>347</v>
      </c>
      <c r="G145" s="1" t="s">
        <v>345</v>
      </c>
      <c r="H145" s="1" t="s">
        <v>324</v>
      </c>
      <c r="I145" s="15" t="s">
        <v>68</v>
      </c>
      <c r="J145" s="1" t="str">
        <f t="shared" si="19"/>
        <v>08</v>
      </c>
      <c r="K145" s="1" t="str">
        <f t="shared" si="20"/>
        <v>30</v>
      </c>
      <c r="L145" s="1" t="str">
        <f t="shared" si="21"/>
        <v>31</v>
      </c>
      <c r="M145" s="1" t="str">
        <f t="shared" si="22"/>
        <v>34</v>
      </c>
      <c r="N145" s="1" t="str">
        <f t="shared" si="23"/>
        <v>59</v>
      </c>
      <c r="O145" s="1" t="str">
        <f t="shared" si="24"/>
        <v>58</v>
      </c>
      <c r="P145" s="2">
        <f t="shared" si="25"/>
        <v>-8.5086111111111116</v>
      </c>
      <c r="Q145" s="2">
        <f t="shared" si="26"/>
        <v>-34.999444444444443</v>
      </c>
      <c r="R145" s="16" t="s">
        <v>111</v>
      </c>
    </row>
    <row r="146" spans="1:18" ht="15.75" x14ac:dyDescent="0.25">
      <c r="A146" s="1">
        <v>145</v>
      </c>
      <c r="B146" s="1" t="s">
        <v>52</v>
      </c>
      <c r="C146" s="1" t="s">
        <v>26</v>
      </c>
      <c r="D146" s="1" t="s">
        <v>19</v>
      </c>
      <c r="E146" s="7" t="s">
        <v>348</v>
      </c>
      <c r="F146" s="7" t="s">
        <v>349</v>
      </c>
      <c r="G146" s="1" t="s">
        <v>345</v>
      </c>
      <c r="H146" s="1" t="s">
        <v>324</v>
      </c>
      <c r="I146" s="15" t="s">
        <v>68</v>
      </c>
      <c r="J146" s="1" t="str">
        <f t="shared" si="19"/>
        <v>08</v>
      </c>
      <c r="K146" s="1" t="str">
        <f t="shared" si="20"/>
        <v>30</v>
      </c>
      <c r="L146" s="1" t="str">
        <f t="shared" si="21"/>
        <v>23</v>
      </c>
      <c r="M146" s="1" t="str">
        <f t="shared" si="22"/>
        <v>34</v>
      </c>
      <c r="N146" s="1" t="str">
        <f t="shared" si="23"/>
        <v>59</v>
      </c>
      <c r="O146" s="1" t="str">
        <f t="shared" si="24"/>
        <v>57</v>
      </c>
      <c r="P146" s="2">
        <f t="shared" si="25"/>
        <v>-8.506388888888889</v>
      </c>
      <c r="Q146" s="2">
        <f t="shared" si="26"/>
        <v>-34.999166666666667</v>
      </c>
      <c r="R146" s="16" t="s">
        <v>111</v>
      </c>
    </row>
    <row r="147" spans="1:18" ht="15.75" x14ac:dyDescent="0.25">
      <c r="A147" s="1">
        <v>146</v>
      </c>
      <c r="B147" s="1" t="s">
        <v>52</v>
      </c>
      <c r="C147" s="1" t="s">
        <v>26</v>
      </c>
      <c r="D147" s="1" t="s">
        <v>19</v>
      </c>
      <c r="E147" s="7" t="s">
        <v>350</v>
      </c>
      <c r="F147" s="7" t="s">
        <v>351</v>
      </c>
      <c r="G147" s="1" t="s">
        <v>345</v>
      </c>
      <c r="H147" s="1" t="s">
        <v>324</v>
      </c>
      <c r="I147" s="15" t="s">
        <v>68</v>
      </c>
      <c r="J147" s="1" t="str">
        <f t="shared" si="19"/>
        <v>08</v>
      </c>
      <c r="K147" s="1" t="str">
        <f t="shared" si="20"/>
        <v>30</v>
      </c>
      <c r="L147" s="1" t="str">
        <f t="shared" si="21"/>
        <v>32</v>
      </c>
      <c r="M147" s="1" t="str">
        <f t="shared" si="22"/>
        <v>34</v>
      </c>
      <c r="N147" s="1" t="str">
        <f t="shared" si="23"/>
        <v>59</v>
      </c>
      <c r="O147" s="1" t="str">
        <f t="shared" si="24"/>
        <v>56</v>
      </c>
      <c r="P147" s="2">
        <f t="shared" si="25"/>
        <v>-8.5088888888888885</v>
      </c>
      <c r="Q147" s="2">
        <f t="shared" si="26"/>
        <v>-34.998888888888892</v>
      </c>
      <c r="R147" s="16" t="s">
        <v>111</v>
      </c>
    </row>
    <row r="148" spans="1:18" ht="15.75" x14ac:dyDescent="0.25">
      <c r="A148" s="1">
        <v>147</v>
      </c>
      <c r="B148" s="1" t="s">
        <v>52</v>
      </c>
      <c r="C148" s="1" t="s">
        <v>26</v>
      </c>
      <c r="D148" s="1" t="s">
        <v>19</v>
      </c>
      <c r="E148" s="7" t="s">
        <v>352</v>
      </c>
      <c r="F148" s="7" t="s">
        <v>353</v>
      </c>
      <c r="G148" s="1" t="s">
        <v>345</v>
      </c>
      <c r="H148" s="1" t="s">
        <v>324</v>
      </c>
      <c r="I148" s="15" t="s">
        <v>68</v>
      </c>
      <c r="J148" s="1" t="str">
        <f t="shared" si="19"/>
        <v>08</v>
      </c>
      <c r="K148" s="1" t="str">
        <f t="shared" si="20"/>
        <v>30</v>
      </c>
      <c r="L148" s="1" t="str">
        <f t="shared" si="21"/>
        <v>25</v>
      </c>
      <c r="M148" s="1" t="str">
        <f t="shared" si="22"/>
        <v>34</v>
      </c>
      <c r="N148" s="1" t="str">
        <f t="shared" si="23"/>
        <v>59</v>
      </c>
      <c r="O148" s="1" t="str">
        <f t="shared" si="24"/>
        <v>54</v>
      </c>
      <c r="P148" s="2">
        <f t="shared" si="25"/>
        <v>-8.5069444444444446</v>
      </c>
      <c r="Q148" s="2">
        <f t="shared" si="26"/>
        <v>-34.998333333333335</v>
      </c>
      <c r="R148" s="16" t="s">
        <v>111</v>
      </c>
    </row>
    <row r="149" spans="1:18" ht="15.75" x14ac:dyDescent="0.25">
      <c r="A149" s="1">
        <v>148</v>
      </c>
      <c r="B149" s="1" t="s">
        <v>52</v>
      </c>
      <c r="C149" s="1" t="s">
        <v>26</v>
      </c>
      <c r="D149" s="1" t="s">
        <v>19</v>
      </c>
      <c r="E149" s="7" t="s">
        <v>348</v>
      </c>
      <c r="F149" s="7" t="s">
        <v>353</v>
      </c>
      <c r="G149" s="1" t="s">
        <v>345</v>
      </c>
      <c r="H149" s="1" t="s">
        <v>324</v>
      </c>
      <c r="I149" s="15" t="s">
        <v>68</v>
      </c>
      <c r="J149" s="1" t="str">
        <f t="shared" si="19"/>
        <v>08</v>
      </c>
      <c r="K149" s="1" t="str">
        <f t="shared" si="20"/>
        <v>30</v>
      </c>
      <c r="L149" s="1" t="str">
        <f t="shared" si="21"/>
        <v>23</v>
      </c>
      <c r="M149" s="1" t="str">
        <f t="shared" si="22"/>
        <v>34</v>
      </c>
      <c r="N149" s="1" t="str">
        <f t="shared" si="23"/>
        <v>59</v>
      </c>
      <c r="O149" s="1" t="str">
        <f t="shared" si="24"/>
        <v>54</v>
      </c>
      <c r="P149" s="2">
        <f t="shared" si="25"/>
        <v>-8.506388888888889</v>
      </c>
      <c r="Q149" s="2">
        <f t="shared" si="26"/>
        <v>-34.998333333333335</v>
      </c>
      <c r="R149" s="16" t="s">
        <v>111</v>
      </c>
    </row>
    <row r="150" spans="1:18" ht="15.75" x14ac:dyDescent="0.25">
      <c r="A150" s="1">
        <v>149</v>
      </c>
      <c r="B150" s="1" t="s">
        <v>52</v>
      </c>
      <c r="C150" s="1" t="s">
        <v>26</v>
      </c>
      <c r="D150" s="1" t="s">
        <v>19</v>
      </c>
      <c r="E150" s="7" t="s">
        <v>354</v>
      </c>
      <c r="F150" s="7" t="s">
        <v>355</v>
      </c>
      <c r="G150" s="1" t="s">
        <v>345</v>
      </c>
      <c r="H150" s="1" t="s">
        <v>324</v>
      </c>
      <c r="I150" s="15" t="s">
        <v>68</v>
      </c>
      <c r="J150" s="1" t="str">
        <f t="shared" si="19"/>
        <v>08</v>
      </c>
      <c r="K150" s="1" t="str">
        <f t="shared" si="20"/>
        <v>30</v>
      </c>
      <c r="L150" s="1" t="str">
        <f t="shared" si="21"/>
        <v>21</v>
      </c>
      <c r="M150" s="1" t="str">
        <f t="shared" si="22"/>
        <v>34</v>
      </c>
      <c r="N150" s="1" t="str">
        <f t="shared" si="23"/>
        <v>59</v>
      </c>
      <c r="O150" s="1" t="str">
        <f t="shared" si="24"/>
        <v>52</v>
      </c>
      <c r="P150" s="2">
        <f t="shared" si="25"/>
        <v>-8.5058333333333334</v>
      </c>
      <c r="Q150" s="2">
        <f t="shared" si="26"/>
        <v>-34.997777777777777</v>
      </c>
      <c r="R150" s="16" t="s">
        <v>111</v>
      </c>
    </row>
    <row r="151" spans="1:18" ht="15.75" x14ac:dyDescent="0.25">
      <c r="A151" s="1">
        <v>150</v>
      </c>
      <c r="B151" s="1" t="s">
        <v>52</v>
      </c>
      <c r="C151" s="1" t="s">
        <v>26</v>
      </c>
      <c r="D151" s="1" t="s">
        <v>19</v>
      </c>
      <c r="E151" s="7" t="s">
        <v>356</v>
      </c>
      <c r="F151" s="7" t="s">
        <v>355</v>
      </c>
      <c r="G151" s="1" t="s">
        <v>345</v>
      </c>
      <c r="H151" s="1" t="s">
        <v>324</v>
      </c>
      <c r="I151" s="15" t="s">
        <v>68</v>
      </c>
      <c r="J151" s="1" t="str">
        <f t="shared" si="19"/>
        <v>08</v>
      </c>
      <c r="K151" s="1" t="str">
        <f t="shared" si="20"/>
        <v>30</v>
      </c>
      <c r="L151" s="1" t="str">
        <f t="shared" si="21"/>
        <v>24</v>
      </c>
      <c r="M151" s="1" t="str">
        <f t="shared" si="22"/>
        <v>34</v>
      </c>
      <c r="N151" s="1" t="str">
        <f t="shared" si="23"/>
        <v>59</v>
      </c>
      <c r="O151" s="1" t="str">
        <f t="shared" si="24"/>
        <v>52</v>
      </c>
      <c r="P151" s="2">
        <f t="shared" si="25"/>
        <v>-8.5066666666666659</v>
      </c>
      <c r="Q151" s="2">
        <f t="shared" si="26"/>
        <v>-34.997777777777777</v>
      </c>
      <c r="R151" s="16" t="s">
        <v>111</v>
      </c>
    </row>
    <row r="152" spans="1:18" ht="15.75" x14ac:dyDescent="0.25">
      <c r="A152" s="1">
        <v>151</v>
      </c>
      <c r="B152" s="1" t="s">
        <v>52</v>
      </c>
      <c r="C152" s="1" t="s">
        <v>26</v>
      </c>
      <c r="D152" s="1" t="s">
        <v>19</v>
      </c>
      <c r="E152" s="7" t="s">
        <v>343</v>
      </c>
      <c r="F152" s="7" t="s">
        <v>351</v>
      </c>
      <c r="G152" s="1" t="s">
        <v>345</v>
      </c>
      <c r="H152" s="1" t="s">
        <v>324</v>
      </c>
      <c r="I152" s="15" t="s">
        <v>68</v>
      </c>
      <c r="J152" s="1" t="str">
        <f t="shared" si="19"/>
        <v>08</v>
      </c>
      <c r="K152" s="1" t="str">
        <f t="shared" si="20"/>
        <v>30</v>
      </c>
      <c r="L152" s="1" t="str">
        <f t="shared" si="21"/>
        <v>41</v>
      </c>
      <c r="M152" s="1" t="str">
        <f t="shared" si="22"/>
        <v>34</v>
      </c>
      <c r="N152" s="1" t="str">
        <f t="shared" si="23"/>
        <v>59</v>
      </c>
      <c r="O152" s="1" t="str">
        <f t="shared" si="24"/>
        <v>56</v>
      </c>
      <c r="P152" s="2">
        <f t="shared" si="25"/>
        <v>-8.511388888888888</v>
      </c>
      <c r="Q152" s="2">
        <f t="shared" si="26"/>
        <v>-34.998888888888892</v>
      </c>
      <c r="R152" s="16" t="s">
        <v>111</v>
      </c>
    </row>
    <row r="153" spans="1:18" ht="15.75" x14ac:dyDescent="0.25">
      <c r="A153" s="1">
        <v>152</v>
      </c>
      <c r="B153" s="1" t="s">
        <v>52</v>
      </c>
      <c r="C153" s="1" t="s">
        <v>26</v>
      </c>
      <c r="D153" s="1" t="s">
        <v>19</v>
      </c>
      <c r="E153" s="7" t="s">
        <v>357</v>
      </c>
      <c r="F153" s="7" t="s">
        <v>358</v>
      </c>
      <c r="G153" s="1" t="s">
        <v>345</v>
      </c>
      <c r="H153" s="1" t="s">
        <v>324</v>
      </c>
      <c r="I153" s="15" t="s">
        <v>68</v>
      </c>
      <c r="J153" s="1" t="str">
        <f t="shared" si="19"/>
        <v>08</v>
      </c>
      <c r="K153" s="1" t="str">
        <f t="shared" si="20"/>
        <v>30</v>
      </c>
      <c r="L153" s="1" t="str">
        <f t="shared" si="21"/>
        <v>42</v>
      </c>
      <c r="M153" s="1" t="str">
        <f t="shared" si="22"/>
        <v>34</v>
      </c>
      <c r="N153" s="1" t="str">
        <f t="shared" si="23"/>
        <v>59</v>
      </c>
      <c r="O153" s="1" t="str">
        <f t="shared" si="24"/>
        <v>55</v>
      </c>
      <c r="P153" s="2">
        <f t="shared" si="25"/>
        <v>-8.5116666666666667</v>
      </c>
      <c r="Q153" s="2">
        <f t="shared" si="26"/>
        <v>-34.99861111111111</v>
      </c>
      <c r="R153" s="16" t="s">
        <v>111</v>
      </c>
    </row>
    <row r="154" spans="1:18" ht="15.75" x14ac:dyDescent="0.25">
      <c r="A154" s="1">
        <v>153</v>
      </c>
      <c r="B154" s="1" t="s">
        <v>52</v>
      </c>
      <c r="C154" s="1" t="s">
        <v>26</v>
      </c>
      <c r="D154" s="1" t="s">
        <v>19</v>
      </c>
      <c r="E154" s="7" t="s">
        <v>343</v>
      </c>
      <c r="F154" s="7" t="s">
        <v>359</v>
      </c>
      <c r="G154" s="1" t="s">
        <v>345</v>
      </c>
      <c r="H154" s="1" t="s">
        <v>324</v>
      </c>
      <c r="I154" s="15" t="s">
        <v>68</v>
      </c>
      <c r="J154" s="1" t="str">
        <f t="shared" si="19"/>
        <v>08</v>
      </c>
      <c r="K154" s="1" t="str">
        <f t="shared" si="20"/>
        <v>30</v>
      </c>
      <c r="L154" s="1" t="str">
        <f t="shared" si="21"/>
        <v>41</v>
      </c>
      <c r="M154" s="1" t="str">
        <f t="shared" si="22"/>
        <v>34</v>
      </c>
      <c r="N154" s="1" t="str">
        <f t="shared" si="23"/>
        <v>59</v>
      </c>
      <c r="O154" s="1" t="str">
        <f t="shared" si="24"/>
        <v>53</v>
      </c>
      <c r="P154" s="2">
        <f t="shared" si="25"/>
        <v>-8.511388888888888</v>
      </c>
      <c r="Q154" s="2">
        <f t="shared" si="26"/>
        <v>-34.998055555555553</v>
      </c>
      <c r="R154" s="16" t="s">
        <v>111</v>
      </c>
    </row>
    <row r="155" spans="1:18" ht="15.75" x14ac:dyDescent="0.25">
      <c r="A155" s="1">
        <v>154</v>
      </c>
      <c r="B155" s="1" t="s">
        <v>52</v>
      </c>
      <c r="C155" s="1" t="s">
        <v>26</v>
      </c>
      <c r="D155" s="1" t="s">
        <v>19</v>
      </c>
      <c r="E155" s="7" t="s">
        <v>357</v>
      </c>
      <c r="F155" s="7" t="s">
        <v>359</v>
      </c>
      <c r="G155" s="1" t="s">
        <v>345</v>
      </c>
      <c r="H155" s="1" t="s">
        <v>324</v>
      </c>
      <c r="I155" s="15" t="s">
        <v>68</v>
      </c>
      <c r="J155" s="1" t="str">
        <f t="shared" si="19"/>
        <v>08</v>
      </c>
      <c r="K155" s="1" t="str">
        <f t="shared" si="20"/>
        <v>30</v>
      </c>
      <c r="L155" s="1" t="str">
        <f t="shared" si="21"/>
        <v>42</v>
      </c>
      <c r="M155" s="1" t="str">
        <f t="shared" si="22"/>
        <v>34</v>
      </c>
      <c r="N155" s="1" t="str">
        <f t="shared" si="23"/>
        <v>59</v>
      </c>
      <c r="O155" s="1" t="str">
        <f t="shared" si="24"/>
        <v>53</v>
      </c>
      <c r="P155" s="2">
        <f t="shared" si="25"/>
        <v>-8.5116666666666667</v>
      </c>
      <c r="Q155" s="2">
        <f t="shared" si="26"/>
        <v>-34.998055555555553</v>
      </c>
      <c r="R155" s="16" t="s">
        <v>111</v>
      </c>
    </row>
    <row r="156" spans="1:18" ht="15.75" x14ac:dyDescent="0.25">
      <c r="A156" s="1">
        <v>155</v>
      </c>
      <c r="B156" s="1" t="s">
        <v>40</v>
      </c>
      <c r="C156" s="1" t="s">
        <v>26</v>
      </c>
      <c r="D156" s="1" t="s">
        <v>19</v>
      </c>
      <c r="E156" s="7" t="s">
        <v>343</v>
      </c>
      <c r="F156" s="7" t="s">
        <v>344</v>
      </c>
      <c r="G156" s="1" t="s">
        <v>345</v>
      </c>
      <c r="H156" s="1" t="s">
        <v>324</v>
      </c>
      <c r="I156" s="15" t="s">
        <v>68</v>
      </c>
      <c r="J156" s="1" t="str">
        <f t="shared" si="19"/>
        <v>08</v>
      </c>
      <c r="K156" s="1" t="str">
        <f t="shared" si="20"/>
        <v>30</v>
      </c>
      <c r="L156" s="1" t="str">
        <f t="shared" si="21"/>
        <v>41</v>
      </c>
      <c r="M156" s="1" t="str">
        <f t="shared" si="22"/>
        <v>35</v>
      </c>
      <c r="N156" s="1" t="str">
        <f t="shared" si="23"/>
        <v>00</v>
      </c>
      <c r="O156" s="1" t="str">
        <f t="shared" si="24"/>
        <v>02</v>
      </c>
      <c r="P156" s="2">
        <f t="shared" si="25"/>
        <v>-8.511388888888888</v>
      </c>
      <c r="Q156" s="2">
        <f t="shared" si="26"/>
        <v>-35.000555555555557</v>
      </c>
      <c r="R156" s="16" t="s">
        <v>111</v>
      </c>
    </row>
    <row r="157" spans="1:18" ht="15.75" x14ac:dyDescent="0.25">
      <c r="A157" s="1">
        <v>156</v>
      </c>
      <c r="B157" s="1" t="s">
        <v>40</v>
      </c>
      <c r="C157" s="1" t="s">
        <v>26</v>
      </c>
      <c r="D157" s="1" t="s">
        <v>19</v>
      </c>
      <c r="E157" s="7" t="s">
        <v>346</v>
      </c>
      <c r="F157" s="7" t="s">
        <v>347</v>
      </c>
      <c r="G157" s="1" t="s">
        <v>345</v>
      </c>
      <c r="H157" s="1" t="s">
        <v>324</v>
      </c>
      <c r="I157" s="15" t="s">
        <v>68</v>
      </c>
      <c r="J157" s="1" t="str">
        <f t="shared" si="19"/>
        <v>08</v>
      </c>
      <c r="K157" s="1" t="str">
        <f t="shared" si="20"/>
        <v>30</v>
      </c>
      <c r="L157" s="1" t="str">
        <f t="shared" si="21"/>
        <v>31</v>
      </c>
      <c r="M157" s="1" t="str">
        <f t="shared" si="22"/>
        <v>34</v>
      </c>
      <c r="N157" s="1" t="str">
        <f t="shared" si="23"/>
        <v>59</v>
      </c>
      <c r="O157" s="1" t="str">
        <f t="shared" si="24"/>
        <v>58</v>
      </c>
      <c r="P157" s="2">
        <f t="shared" si="25"/>
        <v>-8.5086111111111116</v>
      </c>
      <c r="Q157" s="2">
        <f t="shared" si="26"/>
        <v>-34.999444444444443</v>
      </c>
      <c r="R157" s="16" t="s">
        <v>111</v>
      </c>
    </row>
    <row r="158" spans="1:18" ht="15.75" x14ac:dyDescent="0.25">
      <c r="A158" s="1">
        <v>157</v>
      </c>
      <c r="B158" s="1" t="s">
        <v>40</v>
      </c>
      <c r="C158" s="1" t="s">
        <v>26</v>
      </c>
      <c r="D158" s="1" t="s">
        <v>19</v>
      </c>
      <c r="E158" s="7" t="s">
        <v>348</v>
      </c>
      <c r="F158" s="7" t="s">
        <v>349</v>
      </c>
      <c r="G158" s="1" t="s">
        <v>345</v>
      </c>
      <c r="H158" s="1" t="s">
        <v>324</v>
      </c>
      <c r="I158" s="15" t="s">
        <v>68</v>
      </c>
      <c r="J158" s="1" t="str">
        <f t="shared" si="19"/>
        <v>08</v>
      </c>
      <c r="K158" s="1" t="str">
        <f t="shared" si="20"/>
        <v>30</v>
      </c>
      <c r="L158" s="1" t="str">
        <f t="shared" si="21"/>
        <v>23</v>
      </c>
      <c r="M158" s="1" t="str">
        <f t="shared" si="22"/>
        <v>34</v>
      </c>
      <c r="N158" s="1" t="str">
        <f t="shared" si="23"/>
        <v>59</v>
      </c>
      <c r="O158" s="1" t="str">
        <f t="shared" si="24"/>
        <v>57</v>
      </c>
      <c r="P158" s="2">
        <f t="shared" si="25"/>
        <v>-8.506388888888889</v>
      </c>
      <c r="Q158" s="2">
        <f t="shared" si="26"/>
        <v>-34.999166666666667</v>
      </c>
      <c r="R158" s="16" t="s">
        <v>111</v>
      </c>
    </row>
    <row r="159" spans="1:18" ht="15.75" x14ac:dyDescent="0.25">
      <c r="A159" s="1">
        <v>158</v>
      </c>
      <c r="B159" s="1" t="s">
        <v>40</v>
      </c>
      <c r="C159" s="1" t="s">
        <v>26</v>
      </c>
      <c r="D159" s="1" t="s">
        <v>19</v>
      </c>
      <c r="E159" s="7" t="s">
        <v>350</v>
      </c>
      <c r="F159" s="7" t="s">
        <v>351</v>
      </c>
      <c r="G159" s="1" t="s">
        <v>345</v>
      </c>
      <c r="H159" s="1" t="s">
        <v>324</v>
      </c>
      <c r="I159" s="15" t="s">
        <v>68</v>
      </c>
      <c r="J159" s="1" t="str">
        <f t="shared" si="19"/>
        <v>08</v>
      </c>
      <c r="K159" s="1" t="str">
        <f t="shared" si="20"/>
        <v>30</v>
      </c>
      <c r="L159" s="1" t="str">
        <f t="shared" si="21"/>
        <v>32</v>
      </c>
      <c r="M159" s="1" t="str">
        <f t="shared" si="22"/>
        <v>34</v>
      </c>
      <c r="N159" s="1" t="str">
        <f t="shared" si="23"/>
        <v>59</v>
      </c>
      <c r="O159" s="1" t="str">
        <f t="shared" si="24"/>
        <v>56</v>
      </c>
      <c r="P159" s="2">
        <f t="shared" si="25"/>
        <v>-8.5088888888888885</v>
      </c>
      <c r="Q159" s="2">
        <f t="shared" si="26"/>
        <v>-34.998888888888892</v>
      </c>
      <c r="R159" s="16" t="s">
        <v>111</v>
      </c>
    </row>
    <row r="160" spans="1:18" ht="15.75" x14ac:dyDescent="0.25">
      <c r="A160" s="1">
        <v>159</v>
      </c>
      <c r="B160" s="1" t="s">
        <v>40</v>
      </c>
      <c r="C160" s="1" t="s">
        <v>26</v>
      </c>
      <c r="D160" s="1" t="s">
        <v>19</v>
      </c>
      <c r="E160" s="7" t="s">
        <v>352</v>
      </c>
      <c r="F160" s="7" t="s">
        <v>353</v>
      </c>
      <c r="G160" s="1" t="s">
        <v>345</v>
      </c>
      <c r="H160" s="1" t="s">
        <v>324</v>
      </c>
      <c r="I160" s="15" t="s">
        <v>68</v>
      </c>
      <c r="J160" s="1" t="str">
        <f t="shared" si="19"/>
        <v>08</v>
      </c>
      <c r="K160" s="1" t="str">
        <f t="shared" si="20"/>
        <v>30</v>
      </c>
      <c r="L160" s="1" t="str">
        <f t="shared" si="21"/>
        <v>25</v>
      </c>
      <c r="M160" s="1" t="str">
        <f t="shared" si="22"/>
        <v>34</v>
      </c>
      <c r="N160" s="1" t="str">
        <f t="shared" si="23"/>
        <v>59</v>
      </c>
      <c r="O160" s="1" t="str">
        <f t="shared" si="24"/>
        <v>54</v>
      </c>
      <c r="P160" s="2">
        <f t="shared" si="25"/>
        <v>-8.5069444444444446</v>
      </c>
      <c r="Q160" s="2">
        <f t="shared" si="26"/>
        <v>-34.998333333333335</v>
      </c>
      <c r="R160" s="16" t="s">
        <v>111</v>
      </c>
    </row>
    <row r="161" spans="1:18" ht="15.75" x14ac:dyDescent="0.25">
      <c r="A161" s="1">
        <v>160</v>
      </c>
      <c r="B161" s="1" t="s">
        <v>40</v>
      </c>
      <c r="C161" s="1" t="s">
        <v>26</v>
      </c>
      <c r="D161" s="1" t="s">
        <v>19</v>
      </c>
      <c r="E161" s="7" t="s">
        <v>348</v>
      </c>
      <c r="F161" s="7" t="s">
        <v>353</v>
      </c>
      <c r="G161" s="1" t="s">
        <v>345</v>
      </c>
      <c r="H161" s="1" t="s">
        <v>324</v>
      </c>
      <c r="I161" s="15" t="s">
        <v>68</v>
      </c>
      <c r="J161" s="1" t="str">
        <f t="shared" si="19"/>
        <v>08</v>
      </c>
      <c r="K161" s="1" t="str">
        <f t="shared" si="20"/>
        <v>30</v>
      </c>
      <c r="L161" s="1" t="str">
        <f t="shared" si="21"/>
        <v>23</v>
      </c>
      <c r="M161" s="1" t="str">
        <f t="shared" si="22"/>
        <v>34</v>
      </c>
      <c r="N161" s="1" t="str">
        <f t="shared" si="23"/>
        <v>59</v>
      </c>
      <c r="O161" s="1" t="str">
        <f t="shared" si="24"/>
        <v>54</v>
      </c>
      <c r="P161" s="2">
        <f t="shared" si="25"/>
        <v>-8.506388888888889</v>
      </c>
      <c r="Q161" s="2">
        <f t="shared" si="26"/>
        <v>-34.998333333333335</v>
      </c>
      <c r="R161" s="16" t="s">
        <v>111</v>
      </c>
    </row>
    <row r="162" spans="1:18" ht="15.75" x14ac:dyDescent="0.25">
      <c r="A162" s="1">
        <v>161</v>
      </c>
      <c r="B162" s="1" t="s">
        <v>40</v>
      </c>
      <c r="C162" s="1" t="s">
        <v>26</v>
      </c>
      <c r="D162" s="1" t="s">
        <v>19</v>
      </c>
      <c r="E162" s="7" t="s">
        <v>354</v>
      </c>
      <c r="F162" s="7" t="s">
        <v>355</v>
      </c>
      <c r="G162" s="1" t="s">
        <v>345</v>
      </c>
      <c r="H162" s="1" t="s">
        <v>324</v>
      </c>
      <c r="I162" s="15" t="s">
        <v>68</v>
      </c>
      <c r="J162" s="1" t="str">
        <f t="shared" si="19"/>
        <v>08</v>
      </c>
      <c r="K162" s="1" t="str">
        <f t="shared" si="20"/>
        <v>30</v>
      </c>
      <c r="L162" s="1" t="str">
        <f t="shared" si="21"/>
        <v>21</v>
      </c>
      <c r="M162" s="1" t="str">
        <f t="shared" si="22"/>
        <v>34</v>
      </c>
      <c r="N162" s="1" t="str">
        <f t="shared" si="23"/>
        <v>59</v>
      </c>
      <c r="O162" s="1" t="str">
        <f t="shared" si="24"/>
        <v>52</v>
      </c>
      <c r="P162" s="2">
        <f t="shared" si="25"/>
        <v>-8.5058333333333334</v>
      </c>
      <c r="Q162" s="2">
        <f t="shared" si="26"/>
        <v>-34.997777777777777</v>
      </c>
      <c r="R162" s="16" t="s">
        <v>111</v>
      </c>
    </row>
    <row r="163" spans="1:18" ht="15.75" x14ac:dyDescent="0.25">
      <c r="A163" s="1">
        <v>162</v>
      </c>
      <c r="B163" s="1" t="s">
        <v>40</v>
      </c>
      <c r="C163" s="1" t="s">
        <v>26</v>
      </c>
      <c r="D163" s="1" t="s">
        <v>19</v>
      </c>
      <c r="E163" s="7" t="s">
        <v>356</v>
      </c>
      <c r="F163" s="7" t="s">
        <v>355</v>
      </c>
      <c r="G163" s="1" t="s">
        <v>345</v>
      </c>
      <c r="H163" s="1" t="s">
        <v>324</v>
      </c>
      <c r="I163" s="15" t="s">
        <v>68</v>
      </c>
      <c r="J163" s="1" t="str">
        <f t="shared" si="19"/>
        <v>08</v>
      </c>
      <c r="K163" s="1" t="str">
        <f t="shared" si="20"/>
        <v>30</v>
      </c>
      <c r="L163" s="1" t="str">
        <f t="shared" si="21"/>
        <v>24</v>
      </c>
      <c r="M163" s="1" t="str">
        <f t="shared" si="22"/>
        <v>34</v>
      </c>
      <c r="N163" s="1" t="str">
        <f t="shared" si="23"/>
        <v>59</v>
      </c>
      <c r="O163" s="1" t="str">
        <f t="shared" si="24"/>
        <v>52</v>
      </c>
      <c r="P163" s="2">
        <f t="shared" si="25"/>
        <v>-8.5066666666666659</v>
      </c>
      <c r="Q163" s="2">
        <f t="shared" si="26"/>
        <v>-34.997777777777777</v>
      </c>
      <c r="R163" s="16" t="s">
        <v>111</v>
      </c>
    </row>
    <row r="164" spans="1:18" ht="15.75" x14ac:dyDescent="0.25">
      <c r="A164" s="1">
        <v>163</v>
      </c>
      <c r="B164" s="1" t="s">
        <v>40</v>
      </c>
      <c r="C164" s="1" t="s">
        <v>26</v>
      </c>
      <c r="D164" s="1" t="s">
        <v>19</v>
      </c>
      <c r="E164" s="7" t="s">
        <v>343</v>
      </c>
      <c r="F164" s="7" t="s">
        <v>351</v>
      </c>
      <c r="G164" s="1" t="s">
        <v>345</v>
      </c>
      <c r="H164" s="1" t="s">
        <v>324</v>
      </c>
      <c r="I164" s="15" t="s">
        <v>68</v>
      </c>
      <c r="J164" s="1" t="str">
        <f t="shared" si="19"/>
        <v>08</v>
      </c>
      <c r="K164" s="1" t="str">
        <f t="shared" si="20"/>
        <v>30</v>
      </c>
      <c r="L164" s="1" t="str">
        <f t="shared" si="21"/>
        <v>41</v>
      </c>
      <c r="M164" s="1" t="str">
        <f t="shared" si="22"/>
        <v>34</v>
      </c>
      <c r="N164" s="1" t="str">
        <f t="shared" si="23"/>
        <v>59</v>
      </c>
      <c r="O164" s="1" t="str">
        <f t="shared" si="24"/>
        <v>56</v>
      </c>
      <c r="P164" s="2">
        <f t="shared" si="25"/>
        <v>-8.511388888888888</v>
      </c>
      <c r="Q164" s="2">
        <f t="shared" si="26"/>
        <v>-34.998888888888892</v>
      </c>
      <c r="R164" s="16" t="s">
        <v>111</v>
      </c>
    </row>
    <row r="165" spans="1:18" ht="15.75" x14ac:dyDescent="0.25">
      <c r="A165" s="1">
        <v>164</v>
      </c>
      <c r="B165" s="1" t="s">
        <v>40</v>
      </c>
      <c r="C165" s="1" t="s">
        <v>26</v>
      </c>
      <c r="D165" s="1" t="s">
        <v>19</v>
      </c>
      <c r="E165" s="7" t="s">
        <v>357</v>
      </c>
      <c r="F165" s="7" t="s">
        <v>358</v>
      </c>
      <c r="G165" s="1" t="s">
        <v>345</v>
      </c>
      <c r="H165" s="1" t="s">
        <v>324</v>
      </c>
      <c r="I165" s="15" t="s">
        <v>68</v>
      </c>
      <c r="J165" s="1" t="str">
        <f t="shared" si="19"/>
        <v>08</v>
      </c>
      <c r="K165" s="1" t="str">
        <f t="shared" si="20"/>
        <v>30</v>
      </c>
      <c r="L165" s="1" t="str">
        <f t="shared" si="21"/>
        <v>42</v>
      </c>
      <c r="M165" s="1" t="str">
        <f t="shared" si="22"/>
        <v>34</v>
      </c>
      <c r="N165" s="1" t="str">
        <f t="shared" si="23"/>
        <v>59</v>
      </c>
      <c r="O165" s="1" t="str">
        <f t="shared" si="24"/>
        <v>55</v>
      </c>
      <c r="P165" s="2">
        <f t="shared" si="25"/>
        <v>-8.5116666666666667</v>
      </c>
      <c r="Q165" s="2">
        <f t="shared" si="26"/>
        <v>-34.99861111111111</v>
      </c>
      <c r="R165" s="16" t="s">
        <v>111</v>
      </c>
    </row>
    <row r="166" spans="1:18" ht="15.75" x14ac:dyDescent="0.25">
      <c r="A166" s="1">
        <v>165</v>
      </c>
      <c r="B166" s="1" t="s">
        <v>40</v>
      </c>
      <c r="C166" s="1" t="s">
        <v>26</v>
      </c>
      <c r="D166" s="1" t="s">
        <v>19</v>
      </c>
      <c r="E166" s="7" t="s">
        <v>343</v>
      </c>
      <c r="F166" s="7" t="s">
        <v>359</v>
      </c>
      <c r="G166" s="1" t="s">
        <v>345</v>
      </c>
      <c r="H166" s="1" t="s">
        <v>324</v>
      </c>
      <c r="I166" s="15" t="s">
        <v>68</v>
      </c>
      <c r="J166" s="1" t="str">
        <f t="shared" si="19"/>
        <v>08</v>
      </c>
      <c r="K166" s="1" t="str">
        <f t="shared" si="20"/>
        <v>30</v>
      </c>
      <c r="L166" s="1" t="str">
        <f t="shared" si="21"/>
        <v>41</v>
      </c>
      <c r="M166" s="1" t="str">
        <f t="shared" si="22"/>
        <v>34</v>
      </c>
      <c r="N166" s="1" t="str">
        <f t="shared" si="23"/>
        <v>59</v>
      </c>
      <c r="O166" s="1" t="str">
        <f t="shared" si="24"/>
        <v>53</v>
      </c>
      <c r="P166" s="2">
        <f t="shared" si="25"/>
        <v>-8.511388888888888</v>
      </c>
      <c r="Q166" s="2">
        <f t="shared" si="26"/>
        <v>-34.998055555555553</v>
      </c>
      <c r="R166" s="16" t="s">
        <v>111</v>
      </c>
    </row>
    <row r="167" spans="1:18" ht="15.75" x14ac:dyDescent="0.25">
      <c r="A167" s="1">
        <v>166</v>
      </c>
      <c r="B167" s="1" t="s">
        <v>40</v>
      </c>
      <c r="C167" s="1" t="s">
        <v>26</v>
      </c>
      <c r="D167" s="1" t="s">
        <v>19</v>
      </c>
      <c r="E167" s="7" t="s">
        <v>357</v>
      </c>
      <c r="F167" s="7" t="s">
        <v>359</v>
      </c>
      <c r="G167" s="1" t="s">
        <v>345</v>
      </c>
      <c r="H167" s="1" t="s">
        <v>324</v>
      </c>
      <c r="I167" s="15" t="s">
        <v>68</v>
      </c>
      <c r="J167" s="1" t="str">
        <f t="shared" si="19"/>
        <v>08</v>
      </c>
      <c r="K167" s="1" t="str">
        <f t="shared" si="20"/>
        <v>30</v>
      </c>
      <c r="L167" s="1" t="str">
        <f t="shared" si="21"/>
        <v>42</v>
      </c>
      <c r="M167" s="1" t="str">
        <f t="shared" si="22"/>
        <v>34</v>
      </c>
      <c r="N167" s="1" t="str">
        <f t="shared" si="23"/>
        <v>59</v>
      </c>
      <c r="O167" s="1" t="str">
        <f t="shared" si="24"/>
        <v>53</v>
      </c>
      <c r="P167" s="2">
        <f t="shared" si="25"/>
        <v>-8.5116666666666667</v>
      </c>
      <c r="Q167" s="2">
        <f t="shared" si="26"/>
        <v>-34.998055555555553</v>
      </c>
      <c r="R167" s="16" t="s">
        <v>111</v>
      </c>
    </row>
    <row r="168" spans="1:18" ht="15.75" x14ac:dyDescent="0.25">
      <c r="A168" s="1">
        <v>167</v>
      </c>
      <c r="B168" s="1" t="s">
        <v>17</v>
      </c>
      <c r="C168" s="1" t="s">
        <v>26</v>
      </c>
      <c r="D168" s="1" t="s">
        <v>19</v>
      </c>
      <c r="E168" s="7" t="s">
        <v>343</v>
      </c>
      <c r="F168" s="7" t="s">
        <v>344</v>
      </c>
      <c r="G168" s="1" t="s">
        <v>345</v>
      </c>
      <c r="H168" s="1" t="s">
        <v>324</v>
      </c>
      <c r="I168" s="15" t="s">
        <v>68</v>
      </c>
      <c r="J168" s="1" t="str">
        <f t="shared" si="19"/>
        <v>08</v>
      </c>
      <c r="K168" s="1" t="str">
        <f t="shared" si="20"/>
        <v>30</v>
      </c>
      <c r="L168" s="1" t="str">
        <f t="shared" si="21"/>
        <v>41</v>
      </c>
      <c r="M168" s="1" t="str">
        <f t="shared" si="22"/>
        <v>35</v>
      </c>
      <c r="N168" s="1" t="str">
        <f t="shared" si="23"/>
        <v>00</v>
      </c>
      <c r="O168" s="1" t="str">
        <f t="shared" si="24"/>
        <v>02</v>
      </c>
      <c r="P168" s="2">
        <f t="shared" si="25"/>
        <v>-8.511388888888888</v>
      </c>
      <c r="Q168" s="2">
        <f t="shared" si="26"/>
        <v>-35.000555555555557</v>
      </c>
      <c r="R168" s="16" t="s">
        <v>111</v>
      </c>
    </row>
    <row r="169" spans="1:18" ht="15.75" x14ac:dyDescent="0.25">
      <c r="A169" s="1">
        <v>168</v>
      </c>
      <c r="B169" s="1" t="s">
        <v>17</v>
      </c>
      <c r="C169" s="1" t="s">
        <v>26</v>
      </c>
      <c r="D169" s="1" t="s">
        <v>19</v>
      </c>
      <c r="E169" s="7" t="s">
        <v>346</v>
      </c>
      <c r="F169" s="7" t="s">
        <v>347</v>
      </c>
      <c r="G169" s="1" t="s">
        <v>345</v>
      </c>
      <c r="H169" s="1" t="s">
        <v>324</v>
      </c>
      <c r="I169" s="15" t="s">
        <v>68</v>
      </c>
      <c r="J169" s="1" t="str">
        <f t="shared" si="19"/>
        <v>08</v>
      </c>
      <c r="K169" s="1" t="str">
        <f t="shared" si="20"/>
        <v>30</v>
      </c>
      <c r="L169" s="1" t="str">
        <f t="shared" si="21"/>
        <v>31</v>
      </c>
      <c r="M169" s="1" t="str">
        <f t="shared" si="22"/>
        <v>34</v>
      </c>
      <c r="N169" s="1" t="str">
        <f t="shared" si="23"/>
        <v>59</v>
      </c>
      <c r="O169" s="1" t="str">
        <f t="shared" si="24"/>
        <v>58</v>
      </c>
      <c r="P169" s="2">
        <f t="shared" si="25"/>
        <v>-8.5086111111111116</v>
      </c>
      <c r="Q169" s="2">
        <f t="shared" si="26"/>
        <v>-34.999444444444443</v>
      </c>
      <c r="R169" s="16" t="s">
        <v>111</v>
      </c>
    </row>
    <row r="170" spans="1:18" ht="15.75" x14ac:dyDescent="0.25">
      <c r="A170" s="1">
        <v>169</v>
      </c>
      <c r="B170" s="1" t="s">
        <v>17</v>
      </c>
      <c r="C170" s="1" t="s">
        <v>26</v>
      </c>
      <c r="D170" s="1" t="s">
        <v>19</v>
      </c>
      <c r="E170" s="7" t="s">
        <v>348</v>
      </c>
      <c r="F170" s="7" t="s">
        <v>349</v>
      </c>
      <c r="G170" s="1" t="s">
        <v>345</v>
      </c>
      <c r="H170" s="1" t="s">
        <v>324</v>
      </c>
      <c r="I170" s="15" t="s">
        <v>68</v>
      </c>
      <c r="J170" s="1" t="str">
        <f t="shared" si="19"/>
        <v>08</v>
      </c>
      <c r="K170" s="1" t="str">
        <f t="shared" si="20"/>
        <v>30</v>
      </c>
      <c r="L170" s="1" t="str">
        <f t="shared" si="21"/>
        <v>23</v>
      </c>
      <c r="M170" s="1" t="str">
        <f t="shared" si="22"/>
        <v>34</v>
      </c>
      <c r="N170" s="1" t="str">
        <f t="shared" si="23"/>
        <v>59</v>
      </c>
      <c r="O170" s="1" t="str">
        <f t="shared" si="24"/>
        <v>57</v>
      </c>
      <c r="P170" s="2">
        <f t="shared" si="25"/>
        <v>-8.506388888888889</v>
      </c>
      <c r="Q170" s="2">
        <f t="shared" si="26"/>
        <v>-34.999166666666667</v>
      </c>
      <c r="R170" s="16" t="s">
        <v>111</v>
      </c>
    </row>
    <row r="171" spans="1:18" ht="15.75" x14ac:dyDescent="0.25">
      <c r="A171" s="1">
        <v>170</v>
      </c>
      <c r="B171" s="1" t="s">
        <v>17</v>
      </c>
      <c r="C171" s="1" t="s">
        <v>26</v>
      </c>
      <c r="D171" s="1" t="s">
        <v>19</v>
      </c>
      <c r="E171" s="7" t="s">
        <v>350</v>
      </c>
      <c r="F171" s="7" t="s">
        <v>351</v>
      </c>
      <c r="G171" s="1" t="s">
        <v>345</v>
      </c>
      <c r="H171" s="1" t="s">
        <v>324</v>
      </c>
      <c r="I171" s="15" t="s">
        <v>68</v>
      </c>
      <c r="J171" s="1" t="str">
        <f t="shared" si="19"/>
        <v>08</v>
      </c>
      <c r="K171" s="1" t="str">
        <f t="shared" si="20"/>
        <v>30</v>
      </c>
      <c r="L171" s="1" t="str">
        <f t="shared" si="21"/>
        <v>32</v>
      </c>
      <c r="M171" s="1" t="str">
        <f t="shared" si="22"/>
        <v>34</v>
      </c>
      <c r="N171" s="1" t="str">
        <f t="shared" si="23"/>
        <v>59</v>
      </c>
      <c r="O171" s="1" t="str">
        <f t="shared" si="24"/>
        <v>56</v>
      </c>
      <c r="P171" s="2">
        <f t="shared" si="25"/>
        <v>-8.5088888888888885</v>
      </c>
      <c r="Q171" s="2">
        <f t="shared" si="26"/>
        <v>-34.998888888888892</v>
      </c>
      <c r="R171" s="16" t="s">
        <v>111</v>
      </c>
    </row>
    <row r="172" spans="1:18" ht="15.75" x14ac:dyDescent="0.25">
      <c r="A172" s="1">
        <v>171</v>
      </c>
      <c r="B172" s="1" t="s">
        <v>17</v>
      </c>
      <c r="C172" s="1" t="s">
        <v>26</v>
      </c>
      <c r="D172" s="1" t="s">
        <v>19</v>
      </c>
      <c r="E172" s="7" t="s">
        <v>352</v>
      </c>
      <c r="F172" s="7" t="s">
        <v>353</v>
      </c>
      <c r="G172" s="1" t="s">
        <v>345</v>
      </c>
      <c r="H172" s="1" t="s">
        <v>324</v>
      </c>
      <c r="I172" s="15" t="s">
        <v>68</v>
      </c>
      <c r="J172" s="1" t="str">
        <f t="shared" si="19"/>
        <v>08</v>
      </c>
      <c r="K172" s="1" t="str">
        <f t="shared" si="20"/>
        <v>30</v>
      </c>
      <c r="L172" s="1" t="str">
        <f t="shared" si="21"/>
        <v>25</v>
      </c>
      <c r="M172" s="1" t="str">
        <f t="shared" si="22"/>
        <v>34</v>
      </c>
      <c r="N172" s="1" t="str">
        <f t="shared" si="23"/>
        <v>59</v>
      </c>
      <c r="O172" s="1" t="str">
        <f t="shared" si="24"/>
        <v>54</v>
      </c>
      <c r="P172" s="2">
        <f t="shared" si="25"/>
        <v>-8.5069444444444446</v>
      </c>
      <c r="Q172" s="2">
        <f t="shared" si="26"/>
        <v>-34.998333333333335</v>
      </c>
      <c r="R172" s="16" t="s">
        <v>111</v>
      </c>
    </row>
    <row r="173" spans="1:18" ht="15.75" x14ac:dyDescent="0.25">
      <c r="A173" s="1">
        <v>172</v>
      </c>
      <c r="B173" s="1" t="s">
        <v>17</v>
      </c>
      <c r="C173" s="1" t="s">
        <v>26</v>
      </c>
      <c r="D173" s="1" t="s">
        <v>19</v>
      </c>
      <c r="E173" s="7" t="s">
        <v>348</v>
      </c>
      <c r="F173" s="7" t="s">
        <v>353</v>
      </c>
      <c r="G173" s="1" t="s">
        <v>345</v>
      </c>
      <c r="H173" s="1" t="s">
        <v>324</v>
      </c>
      <c r="I173" s="15" t="s">
        <v>68</v>
      </c>
      <c r="J173" s="1" t="str">
        <f t="shared" si="19"/>
        <v>08</v>
      </c>
      <c r="K173" s="1" t="str">
        <f t="shared" si="20"/>
        <v>30</v>
      </c>
      <c r="L173" s="1" t="str">
        <f t="shared" si="21"/>
        <v>23</v>
      </c>
      <c r="M173" s="1" t="str">
        <f t="shared" si="22"/>
        <v>34</v>
      </c>
      <c r="N173" s="1" t="str">
        <f t="shared" si="23"/>
        <v>59</v>
      </c>
      <c r="O173" s="1" t="str">
        <f t="shared" si="24"/>
        <v>54</v>
      </c>
      <c r="P173" s="2">
        <f t="shared" si="25"/>
        <v>-8.506388888888889</v>
      </c>
      <c r="Q173" s="2">
        <f t="shared" si="26"/>
        <v>-34.998333333333335</v>
      </c>
      <c r="R173" s="16" t="s">
        <v>111</v>
      </c>
    </row>
    <row r="174" spans="1:18" ht="15.75" x14ac:dyDescent="0.25">
      <c r="A174" s="1">
        <v>173</v>
      </c>
      <c r="B174" s="1" t="s">
        <v>17</v>
      </c>
      <c r="C174" s="1" t="s">
        <v>26</v>
      </c>
      <c r="D174" s="1" t="s">
        <v>19</v>
      </c>
      <c r="E174" s="7" t="s">
        <v>354</v>
      </c>
      <c r="F174" s="7" t="s">
        <v>355</v>
      </c>
      <c r="G174" s="1" t="s">
        <v>345</v>
      </c>
      <c r="H174" s="1" t="s">
        <v>324</v>
      </c>
      <c r="I174" s="15" t="s">
        <v>68</v>
      </c>
      <c r="J174" s="1" t="str">
        <f t="shared" si="19"/>
        <v>08</v>
      </c>
      <c r="K174" s="1" t="str">
        <f t="shared" si="20"/>
        <v>30</v>
      </c>
      <c r="L174" s="1" t="str">
        <f t="shared" si="21"/>
        <v>21</v>
      </c>
      <c r="M174" s="1" t="str">
        <f t="shared" si="22"/>
        <v>34</v>
      </c>
      <c r="N174" s="1" t="str">
        <f t="shared" si="23"/>
        <v>59</v>
      </c>
      <c r="O174" s="1" t="str">
        <f t="shared" si="24"/>
        <v>52</v>
      </c>
      <c r="P174" s="2">
        <f t="shared" si="25"/>
        <v>-8.5058333333333334</v>
      </c>
      <c r="Q174" s="2">
        <f t="shared" si="26"/>
        <v>-34.997777777777777</v>
      </c>
      <c r="R174" s="16" t="s">
        <v>111</v>
      </c>
    </row>
    <row r="175" spans="1:18" ht="15.75" x14ac:dyDescent="0.25">
      <c r="A175" s="1">
        <v>174</v>
      </c>
      <c r="B175" s="1" t="s">
        <v>17</v>
      </c>
      <c r="C175" s="1" t="s">
        <v>26</v>
      </c>
      <c r="D175" s="1" t="s">
        <v>19</v>
      </c>
      <c r="E175" s="7" t="s">
        <v>356</v>
      </c>
      <c r="F175" s="7" t="s">
        <v>355</v>
      </c>
      <c r="G175" s="1" t="s">
        <v>345</v>
      </c>
      <c r="H175" s="1" t="s">
        <v>324</v>
      </c>
      <c r="I175" s="15" t="s">
        <v>68</v>
      </c>
      <c r="J175" s="1" t="str">
        <f t="shared" si="19"/>
        <v>08</v>
      </c>
      <c r="K175" s="1" t="str">
        <f t="shared" si="20"/>
        <v>30</v>
      </c>
      <c r="L175" s="1" t="str">
        <f t="shared" si="21"/>
        <v>24</v>
      </c>
      <c r="M175" s="1" t="str">
        <f t="shared" si="22"/>
        <v>34</v>
      </c>
      <c r="N175" s="1" t="str">
        <f t="shared" si="23"/>
        <v>59</v>
      </c>
      <c r="O175" s="1" t="str">
        <f t="shared" si="24"/>
        <v>52</v>
      </c>
      <c r="P175" s="2">
        <f t="shared" si="25"/>
        <v>-8.5066666666666659</v>
      </c>
      <c r="Q175" s="2">
        <f t="shared" si="26"/>
        <v>-34.997777777777777</v>
      </c>
      <c r="R175" s="16" t="s">
        <v>111</v>
      </c>
    </row>
    <row r="176" spans="1:18" ht="15.75" x14ac:dyDescent="0.25">
      <c r="A176" s="1">
        <v>175</v>
      </c>
      <c r="B176" s="1" t="s">
        <v>17</v>
      </c>
      <c r="C176" s="1" t="s">
        <v>26</v>
      </c>
      <c r="D176" s="1" t="s">
        <v>19</v>
      </c>
      <c r="E176" s="7" t="s">
        <v>343</v>
      </c>
      <c r="F176" s="7" t="s">
        <v>351</v>
      </c>
      <c r="G176" s="1" t="s">
        <v>345</v>
      </c>
      <c r="H176" s="1" t="s">
        <v>324</v>
      </c>
      <c r="I176" s="15" t="s">
        <v>68</v>
      </c>
      <c r="J176" s="1" t="str">
        <f t="shared" si="19"/>
        <v>08</v>
      </c>
      <c r="K176" s="1" t="str">
        <f t="shared" si="20"/>
        <v>30</v>
      </c>
      <c r="L176" s="1" t="str">
        <f t="shared" si="21"/>
        <v>41</v>
      </c>
      <c r="M176" s="1" t="str">
        <f t="shared" si="22"/>
        <v>34</v>
      </c>
      <c r="N176" s="1" t="str">
        <f t="shared" si="23"/>
        <v>59</v>
      </c>
      <c r="O176" s="1" t="str">
        <f t="shared" si="24"/>
        <v>56</v>
      </c>
      <c r="P176" s="2">
        <f t="shared" si="25"/>
        <v>-8.511388888888888</v>
      </c>
      <c r="Q176" s="2">
        <f t="shared" si="26"/>
        <v>-34.998888888888892</v>
      </c>
      <c r="R176" s="16" t="s">
        <v>111</v>
      </c>
    </row>
    <row r="177" spans="1:18" ht="15.75" x14ac:dyDescent="0.25">
      <c r="A177" s="1">
        <v>176</v>
      </c>
      <c r="B177" s="1" t="s">
        <v>17</v>
      </c>
      <c r="C177" s="1" t="s">
        <v>26</v>
      </c>
      <c r="D177" s="1" t="s">
        <v>19</v>
      </c>
      <c r="E177" s="7" t="s">
        <v>357</v>
      </c>
      <c r="F177" s="7" t="s">
        <v>358</v>
      </c>
      <c r="G177" s="1" t="s">
        <v>345</v>
      </c>
      <c r="H177" s="1" t="s">
        <v>324</v>
      </c>
      <c r="I177" s="15" t="s">
        <v>68</v>
      </c>
      <c r="J177" s="1" t="str">
        <f t="shared" si="19"/>
        <v>08</v>
      </c>
      <c r="K177" s="1" t="str">
        <f t="shared" si="20"/>
        <v>30</v>
      </c>
      <c r="L177" s="1" t="str">
        <f t="shared" si="21"/>
        <v>42</v>
      </c>
      <c r="M177" s="1" t="str">
        <f t="shared" si="22"/>
        <v>34</v>
      </c>
      <c r="N177" s="1" t="str">
        <f t="shared" si="23"/>
        <v>59</v>
      </c>
      <c r="O177" s="1" t="str">
        <f t="shared" si="24"/>
        <v>55</v>
      </c>
      <c r="P177" s="2">
        <f t="shared" si="25"/>
        <v>-8.5116666666666667</v>
      </c>
      <c r="Q177" s="2">
        <f t="shared" si="26"/>
        <v>-34.99861111111111</v>
      </c>
      <c r="R177" s="16" t="s">
        <v>111</v>
      </c>
    </row>
    <row r="178" spans="1:18" ht="15.75" x14ac:dyDescent="0.25">
      <c r="A178" s="1">
        <v>177</v>
      </c>
      <c r="B178" s="1" t="s">
        <v>17</v>
      </c>
      <c r="C178" s="1" t="s">
        <v>26</v>
      </c>
      <c r="D178" s="1" t="s">
        <v>19</v>
      </c>
      <c r="E178" s="7" t="s">
        <v>343</v>
      </c>
      <c r="F178" s="7" t="s">
        <v>359</v>
      </c>
      <c r="G178" s="1" t="s">
        <v>345</v>
      </c>
      <c r="H178" s="1" t="s">
        <v>324</v>
      </c>
      <c r="I178" s="15" t="s">
        <v>68</v>
      </c>
      <c r="J178" s="1" t="str">
        <f t="shared" si="19"/>
        <v>08</v>
      </c>
      <c r="K178" s="1" t="str">
        <f t="shared" si="20"/>
        <v>30</v>
      </c>
      <c r="L178" s="1" t="str">
        <f t="shared" si="21"/>
        <v>41</v>
      </c>
      <c r="M178" s="1" t="str">
        <f t="shared" si="22"/>
        <v>34</v>
      </c>
      <c r="N178" s="1" t="str">
        <f t="shared" si="23"/>
        <v>59</v>
      </c>
      <c r="O178" s="1" t="str">
        <f t="shared" si="24"/>
        <v>53</v>
      </c>
      <c r="P178" s="2">
        <f t="shared" si="25"/>
        <v>-8.511388888888888</v>
      </c>
      <c r="Q178" s="2">
        <f t="shared" si="26"/>
        <v>-34.998055555555553</v>
      </c>
      <c r="R178" s="16" t="s">
        <v>111</v>
      </c>
    </row>
    <row r="179" spans="1:18" ht="15.75" x14ac:dyDescent="0.25">
      <c r="A179" s="1">
        <v>178</v>
      </c>
      <c r="B179" s="1" t="s">
        <v>17</v>
      </c>
      <c r="C179" s="1" t="s">
        <v>26</v>
      </c>
      <c r="D179" s="1" t="s">
        <v>19</v>
      </c>
      <c r="E179" s="7" t="s">
        <v>357</v>
      </c>
      <c r="F179" s="7" t="s">
        <v>359</v>
      </c>
      <c r="G179" s="1" t="s">
        <v>345</v>
      </c>
      <c r="H179" s="1" t="s">
        <v>324</v>
      </c>
      <c r="I179" s="15" t="s">
        <v>68</v>
      </c>
      <c r="J179" s="1" t="str">
        <f t="shared" si="19"/>
        <v>08</v>
      </c>
      <c r="K179" s="1" t="str">
        <f t="shared" si="20"/>
        <v>30</v>
      </c>
      <c r="L179" s="1" t="str">
        <f t="shared" si="21"/>
        <v>42</v>
      </c>
      <c r="M179" s="1" t="str">
        <f t="shared" si="22"/>
        <v>34</v>
      </c>
      <c r="N179" s="1" t="str">
        <f t="shared" si="23"/>
        <v>59</v>
      </c>
      <c r="O179" s="1" t="str">
        <f t="shared" si="24"/>
        <v>53</v>
      </c>
      <c r="P179" s="2">
        <f t="shared" si="25"/>
        <v>-8.5116666666666667</v>
      </c>
      <c r="Q179" s="2">
        <f t="shared" si="26"/>
        <v>-34.998055555555553</v>
      </c>
      <c r="R179" s="16" t="s">
        <v>111</v>
      </c>
    </row>
    <row r="180" spans="1:18" ht="15.75" x14ac:dyDescent="0.25">
      <c r="A180" s="1">
        <v>179</v>
      </c>
      <c r="B180" s="1" t="s">
        <v>17</v>
      </c>
      <c r="C180" s="1" t="s">
        <v>18</v>
      </c>
      <c r="D180" s="1" t="s">
        <v>19</v>
      </c>
      <c r="E180" s="7" t="s">
        <v>360</v>
      </c>
      <c r="F180" s="7" t="s">
        <v>361</v>
      </c>
      <c r="G180" s="7" t="s">
        <v>362</v>
      </c>
      <c r="H180" s="1" t="s">
        <v>324</v>
      </c>
      <c r="I180" s="1" t="s">
        <v>363</v>
      </c>
      <c r="J180" s="1" t="str">
        <f t="shared" si="19"/>
        <v>16</v>
      </c>
      <c r="K180" s="1" t="str">
        <f t="shared" si="20"/>
        <v>24</v>
      </c>
      <c r="L180" s="1" t="str">
        <f t="shared" si="21"/>
        <v>18</v>
      </c>
      <c r="M180" s="1" t="str">
        <f t="shared" si="22"/>
        <v>88</v>
      </c>
      <c r="N180" s="1" t="str">
        <f t="shared" si="23"/>
        <v>10</v>
      </c>
      <c r="O180" s="1" t="str">
        <f t="shared" si="24"/>
        <v>42</v>
      </c>
      <c r="P180" s="2">
        <f t="shared" si="25"/>
        <v>16.405000000000001</v>
      </c>
      <c r="Q180" s="2">
        <f t="shared" si="26"/>
        <v>-88.178333333333327</v>
      </c>
      <c r="R180" s="16" t="s">
        <v>364</v>
      </c>
    </row>
    <row r="181" spans="1:18" ht="15.75" x14ac:dyDescent="0.25">
      <c r="A181" s="1">
        <v>180</v>
      </c>
      <c r="B181" s="1" t="s">
        <v>17</v>
      </c>
      <c r="C181" s="1" t="s">
        <v>18</v>
      </c>
      <c r="D181" s="1" t="s">
        <v>19</v>
      </c>
      <c r="E181" s="7" t="s">
        <v>365</v>
      </c>
      <c r="F181" s="7" t="s">
        <v>366</v>
      </c>
      <c r="G181" s="7" t="s">
        <v>362</v>
      </c>
      <c r="H181" s="1" t="s">
        <v>324</v>
      </c>
      <c r="I181" s="1" t="s">
        <v>367</v>
      </c>
      <c r="J181" s="1" t="str">
        <f t="shared" si="19"/>
        <v>19</v>
      </c>
      <c r="K181" s="1" t="str">
        <f t="shared" si="20"/>
        <v>09</v>
      </c>
      <c r="L181" s="1" t="str">
        <f t="shared" si="21"/>
        <v>17</v>
      </c>
      <c r="M181" s="1" t="str">
        <f t="shared" si="22"/>
        <v>87</v>
      </c>
      <c r="N181" s="1" t="str">
        <f t="shared" si="23"/>
        <v>11</v>
      </c>
      <c r="O181" s="1" t="str">
        <f t="shared" si="24"/>
        <v>43</v>
      </c>
      <c r="P181" s="2">
        <f t="shared" si="25"/>
        <v>19.154722222222222</v>
      </c>
      <c r="Q181" s="2">
        <f t="shared" si="26"/>
        <v>-87.195277777777775</v>
      </c>
      <c r="R181" s="16" t="s">
        <v>364</v>
      </c>
    </row>
    <row r="182" spans="1:18" ht="15.75" x14ac:dyDescent="0.25">
      <c r="A182" s="1">
        <v>181</v>
      </c>
      <c r="B182" s="1" t="s">
        <v>17</v>
      </c>
      <c r="C182" s="1" t="s">
        <v>18</v>
      </c>
      <c r="D182" s="1" t="s">
        <v>19</v>
      </c>
      <c r="E182" s="7" t="s">
        <v>368</v>
      </c>
      <c r="F182" s="7" t="s">
        <v>369</v>
      </c>
      <c r="G182" s="7" t="s">
        <v>362</v>
      </c>
      <c r="H182" s="1" t="s">
        <v>324</v>
      </c>
      <c r="I182" s="1" t="s">
        <v>370</v>
      </c>
      <c r="J182" s="1" t="str">
        <f t="shared" si="19"/>
        <v>21</v>
      </c>
      <c r="K182" s="1" t="str">
        <f t="shared" si="20"/>
        <v>53</v>
      </c>
      <c r="L182" s="1" t="str">
        <f t="shared" si="21"/>
        <v>01</v>
      </c>
      <c r="M182" s="1" t="str">
        <f t="shared" si="22"/>
        <v>81</v>
      </c>
      <c r="N182" s="1" t="str">
        <f t="shared" si="23"/>
        <v>42</v>
      </c>
      <c r="O182" s="1" t="str">
        <f t="shared" si="24"/>
        <v>21</v>
      </c>
      <c r="P182" s="2">
        <f t="shared" si="25"/>
        <v>21.883611111111112</v>
      </c>
      <c r="Q182" s="2">
        <f t="shared" si="26"/>
        <v>-81.705833333333331</v>
      </c>
      <c r="R182" s="16" t="s">
        <v>364</v>
      </c>
    </row>
    <row r="183" spans="1:18" ht="15.75" x14ac:dyDescent="0.25">
      <c r="A183" s="1">
        <v>182</v>
      </c>
      <c r="B183" s="1" t="s">
        <v>17</v>
      </c>
      <c r="C183" s="1" t="s">
        <v>18</v>
      </c>
      <c r="D183" s="1" t="s">
        <v>19</v>
      </c>
      <c r="E183" s="7" t="s">
        <v>371</v>
      </c>
      <c r="F183" s="7" t="s">
        <v>372</v>
      </c>
      <c r="G183" s="7" t="s">
        <v>362</v>
      </c>
      <c r="H183" s="1" t="s">
        <v>324</v>
      </c>
      <c r="I183" s="1" t="s">
        <v>373</v>
      </c>
      <c r="J183" s="1" t="str">
        <f t="shared" si="19"/>
        <v>17</v>
      </c>
      <c r="K183" s="1" t="str">
        <f t="shared" si="20"/>
        <v>46</v>
      </c>
      <c r="L183" s="1" t="str">
        <f t="shared" si="21"/>
        <v>53</v>
      </c>
      <c r="M183" s="1" t="str">
        <f t="shared" si="22"/>
        <v>65</v>
      </c>
      <c r="N183" s="1" t="str">
        <f t="shared" si="23"/>
        <v>07</v>
      </c>
      <c r="O183" s="1" t="str">
        <f t="shared" si="24"/>
        <v>50</v>
      </c>
      <c r="P183" s="2">
        <f t="shared" si="25"/>
        <v>17.781388888888888</v>
      </c>
      <c r="Q183" s="2">
        <f t="shared" si="26"/>
        <v>-65.13055555555556</v>
      </c>
      <c r="R183" s="16" t="s">
        <v>364</v>
      </c>
    </row>
    <row r="184" spans="1:18" ht="15.75" x14ac:dyDescent="0.25">
      <c r="A184" s="1">
        <v>183</v>
      </c>
      <c r="B184" s="1" t="s">
        <v>17</v>
      </c>
      <c r="C184" s="1" t="s">
        <v>18</v>
      </c>
      <c r="D184" s="1" t="s">
        <v>19</v>
      </c>
      <c r="E184" s="7" t="s">
        <v>374</v>
      </c>
      <c r="F184" s="7" t="s">
        <v>375</v>
      </c>
      <c r="G184" s="7" t="s">
        <v>362</v>
      </c>
      <c r="H184" s="1" t="s">
        <v>324</v>
      </c>
      <c r="I184" s="1" t="s">
        <v>376</v>
      </c>
      <c r="J184" s="1" t="str">
        <f t="shared" si="19"/>
        <v>15</v>
      </c>
      <c r="K184" s="1" t="str">
        <f t="shared" si="20"/>
        <v>49</v>
      </c>
      <c r="L184" s="1" t="str">
        <f t="shared" si="21"/>
        <v>37</v>
      </c>
      <c r="M184" s="1" t="str">
        <f t="shared" si="22"/>
        <v>62</v>
      </c>
      <c r="N184" s="1" t="str">
        <f t="shared" si="23"/>
        <v>10</v>
      </c>
      <c r="O184" s="1" t="str">
        <f t="shared" si="24"/>
        <v>49</v>
      </c>
      <c r="P184" s="2">
        <f t="shared" si="25"/>
        <v>15.826944444444445</v>
      </c>
      <c r="Q184" s="2">
        <f t="shared" si="26"/>
        <v>-62.180277777777775</v>
      </c>
      <c r="R184" s="16" t="s">
        <v>364</v>
      </c>
    </row>
    <row r="185" spans="1:18" ht="15.75" x14ac:dyDescent="0.25">
      <c r="A185" s="1">
        <v>184</v>
      </c>
      <c r="B185" s="1" t="s">
        <v>17</v>
      </c>
      <c r="C185" s="1" t="s">
        <v>18</v>
      </c>
      <c r="D185" s="1" t="s">
        <v>19</v>
      </c>
      <c r="E185" s="7" t="s">
        <v>377</v>
      </c>
      <c r="F185" s="7" t="s">
        <v>378</v>
      </c>
      <c r="G185" s="7" t="s">
        <v>362</v>
      </c>
      <c r="H185" s="1" t="s">
        <v>324</v>
      </c>
      <c r="I185" s="1" t="s">
        <v>379</v>
      </c>
      <c r="J185" s="1" t="str">
        <f t="shared" si="19"/>
        <v>24</v>
      </c>
      <c r="K185" s="1" t="str">
        <f t="shared" si="20"/>
        <v>28</v>
      </c>
      <c r="L185" s="1" t="str">
        <f t="shared" si="21"/>
        <v>24</v>
      </c>
      <c r="M185" s="1" t="str">
        <f t="shared" si="22"/>
        <v>81</v>
      </c>
      <c r="N185" s="1" t="str">
        <f t="shared" si="23"/>
        <v>03</v>
      </c>
      <c r="O185" s="1" t="str">
        <f t="shared" si="24"/>
        <v>19</v>
      </c>
      <c r="P185" s="2">
        <f t="shared" si="25"/>
        <v>24.473333333333333</v>
      </c>
      <c r="Q185" s="2">
        <f t="shared" si="26"/>
        <v>-81.055277777777775</v>
      </c>
      <c r="R185" s="16" t="s">
        <v>364</v>
      </c>
    </row>
    <row r="186" spans="1:18" ht="15.75" x14ac:dyDescent="0.25">
      <c r="A186" s="1">
        <v>185</v>
      </c>
      <c r="B186" s="1" t="s">
        <v>17</v>
      </c>
      <c r="C186" s="1" t="s">
        <v>18</v>
      </c>
      <c r="D186" s="1" t="s">
        <v>19</v>
      </c>
      <c r="E186" s="7" t="s">
        <v>380</v>
      </c>
      <c r="F186" s="7" t="s">
        <v>381</v>
      </c>
      <c r="G186" s="7" t="s">
        <v>382</v>
      </c>
      <c r="H186" s="1" t="s">
        <v>324</v>
      </c>
      <c r="I186" s="7" t="s">
        <v>383</v>
      </c>
      <c r="J186" s="1" t="str">
        <f t="shared" si="19"/>
        <v>12</v>
      </c>
      <c r="K186" s="1" t="str">
        <f t="shared" si="20"/>
        <v>11</v>
      </c>
      <c r="L186" s="1" t="str">
        <f t="shared" si="21"/>
        <v>35</v>
      </c>
      <c r="M186" s="1" t="str">
        <f t="shared" si="22"/>
        <v>83</v>
      </c>
      <c r="N186" s="1" t="str">
        <f t="shared" si="23"/>
        <v>25</v>
      </c>
      <c r="O186" s="1" t="str">
        <f t="shared" si="24"/>
        <v>46</v>
      </c>
      <c r="P186" s="2">
        <f t="shared" si="25"/>
        <v>12.193055555555556</v>
      </c>
      <c r="Q186" s="2">
        <f t="shared" si="26"/>
        <v>-83.429444444444442</v>
      </c>
      <c r="R186" s="16" t="s">
        <v>384</v>
      </c>
    </row>
    <row r="187" spans="1:18" ht="15.75" x14ac:dyDescent="0.25">
      <c r="A187" s="1">
        <v>186</v>
      </c>
      <c r="B187" s="1" t="s">
        <v>17</v>
      </c>
      <c r="C187" s="1" t="s">
        <v>18</v>
      </c>
      <c r="D187" s="1" t="s">
        <v>19</v>
      </c>
      <c r="E187" s="7" t="s">
        <v>385</v>
      </c>
      <c r="F187" s="7" t="s">
        <v>386</v>
      </c>
      <c r="G187" s="7" t="s">
        <v>382</v>
      </c>
      <c r="H187" s="1" t="s">
        <v>324</v>
      </c>
      <c r="I187" s="7" t="s">
        <v>383</v>
      </c>
      <c r="J187" s="1" t="str">
        <f t="shared" si="19"/>
        <v>15</v>
      </c>
      <c r="K187" s="1" t="str">
        <f t="shared" si="20"/>
        <v>27</v>
      </c>
      <c r="L187" s="1" t="str">
        <f t="shared" si="21"/>
        <v>28</v>
      </c>
      <c r="M187" s="1" t="str">
        <f t="shared" si="22"/>
        <v>83</v>
      </c>
      <c r="N187" s="1" t="str">
        <f t="shared" si="23"/>
        <v>42</v>
      </c>
      <c r="O187" s="1" t="str">
        <f t="shared" si="24"/>
        <v>30</v>
      </c>
      <c r="P187" s="2">
        <f t="shared" si="25"/>
        <v>15.457777777777778</v>
      </c>
      <c r="Q187" s="2">
        <f t="shared" si="26"/>
        <v>-83.708333333333329</v>
      </c>
      <c r="R187" s="16" t="s">
        <v>384</v>
      </c>
    </row>
    <row r="188" spans="1:18" ht="15.75" x14ac:dyDescent="0.25">
      <c r="A188" s="1">
        <v>187</v>
      </c>
      <c r="B188" s="1" t="s">
        <v>17</v>
      </c>
      <c r="C188" s="1" t="s">
        <v>18</v>
      </c>
      <c r="D188" s="1" t="s">
        <v>19</v>
      </c>
      <c r="E188" s="7" t="s">
        <v>387</v>
      </c>
      <c r="F188" s="7" t="s">
        <v>388</v>
      </c>
      <c r="G188" s="7" t="s">
        <v>382</v>
      </c>
      <c r="H188" s="1" t="s">
        <v>324</v>
      </c>
      <c r="I188" s="7" t="s">
        <v>383</v>
      </c>
      <c r="J188" s="1" t="str">
        <f t="shared" ref="J188:J251" si="27">MID(E188,1,FIND("°",E188,1)-1)</f>
        <v>16</v>
      </c>
      <c r="K188" s="1" t="str">
        <f t="shared" ref="K188:K251" si="28">MID(E188,FIND("°",E188,1)+1,(FIND("′",E188,1)-FIND("°",E188,1))-1)</f>
        <v>06</v>
      </c>
      <c r="L188" s="1" t="str">
        <f t="shared" ref="L188:L251" si="29">MID(E188,FIND("′",E188,1)+1,(FIND("″",E188,1)-FIND("′",E188,1))-1)</f>
        <v>27</v>
      </c>
      <c r="M188" s="1" t="str">
        <f t="shared" ref="M188:M251" si="30">MID(F188,1,FIND("°",F188,1)-1)</f>
        <v>86</v>
      </c>
      <c r="N188" s="1" t="str">
        <f t="shared" ref="N188:N251" si="31">MID(F188,FIND("°",F188,1)+1,(FIND("′",F188,1)-FIND("°",F188,1))-1)</f>
        <v>00</v>
      </c>
      <c r="O188" s="1" t="str">
        <f t="shared" ref="O188:O251" si="32">MID(F188,FIND("′",F188,1)+1,(FIND("″",F188,1)-FIND("′",F188,1))-1)</f>
        <v>39</v>
      </c>
      <c r="P188" s="2">
        <f t="shared" ref="P188:P251" si="33">((((L188/60)+K188)/60)+J188)*IF(C188="S",-1, 1)</f>
        <v>16.107500000000002</v>
      </c>
      <c r="Q188" s="2">
        <f t="shared" ref="Q188:Q233" si="34">((((O188/60)+N188)/60)+M188)*IF(D188="W",-1, 1)</f>
        <v>-86.010833333333338</v>
      </c>
      <c r="R188" s="16" t="s">
        <v>384</v>
      </c>
    </row>
    <row r="189" spans="1:18" ht="15.75" x14ac:dyDescent="0.25">
      <c r="A189" s="1">
        <v>188</v>
      </c>
      <c r="B189" s="1" t="s">
        <v>17</v>
      </c>
      <c r="C189" s="1" t="s">
        <v>18</v>
      </c>
      <c r="D189" s="1" t="s">
        <v>19</v>
      </c>
      <c r="E189" s="7" t="s">
        <v>389</v>
      </c>
      <c r="F189" s="7" t="s">
        <v>390</v>
      </c>
      <c r="G189" s="7" t="s">
        <v>382</v>
      </c>
      <c r="H189" s="1" t="s">
        <v>324</v>
      </c>
      <c r="I189" s="7" t="s">
        <v>383</v>
      </c>
      <c r="J189" s="1" t="str">
        <f t="shared" si="27"/>
        <v>15</v>
      </c>
      <c r="K189" s="1" t="str">
        <f t="shared" si="28"/>
        <v>58</v>
      </c>
      <c r="L189" s="1" t="str">
        <f t="shared" si="29"/>
        <v>47</v>
      </c>
      <c r="M189" s="1" t="str">
        <f t="shared" si="30"/>
        <v>87</v>
      </c>
      <c r="N189" s="1" t="str">
        <f t="shared" si="31"/>
        <v>42</v>
      </c>
      <c r="O189" s="1" t="str">
        <f t="shared" si="32"/>
        <v>42</v>
      </c>
      <c r="P189" s="2">
        <f t="shared" si="33"/>
        <v>15.979722222222222</v>
      </c>
      <c r="Q189" s="2">
        <f t="shared" si="34"/>
        <v>-87.711666666666673</v>
      </c>
      <c r="R189" s="16" t="s">
        <v>384</v>
      </c>
    </row>
    <row r="190" spans="1:18" ht="15.75" x14ac:dyDescent="0.25">
      <c r="A190" s="1">
        <v>189</v>
      </c>
      <c r="B190" s="1" t="s">
        <v>17</v>
      </c>
      <c r="C190" s="1" t="s">
        <v>18</v>
      </c>
      <c r="D190" s="1" t="s">
        <v>19</v>
      </c>
      <c r="E190" s="7" t="s">
        <v>391</v>
      </c>
      <c r="F190" s="7" t="s">
        <v>392</v>
      </c>
      <c r="G190" s="7" t="s">
        <v>382</v>
      </c>
      <c r="H190" s="1" t="s">
        <v>324</v>
      </c>
      <c r="I190" s="7" t="s">
        <v>383</v>
      </c>
      <c r="J190" s="1" t="str">
        <f t="shared" si="27"/>
        <v>16</v>
      </c>
      <c r="K190" s="1" t="str">
        <f t="shared" si="28"/>
        <v>54</v>
      </c>
      <c r="L190" s="1" t="str">
        <f t="shared" si="29"/>
        <v>33</v>
      </c>
      <c r="M190" s="1" t="str">
        <f t="shared" si="30"/>
        <v>88</v>
      </c>
      <c r="N190" s="1" t="str">
        <f t="shared" si="31"/>
        <v>02</v>
      </c>
      <c r="O190" s="1" t="str">
        <f t="shared" si="32"/>
        <v>54</v>
      </c>
      <c r="P190" s="2">
        <f t="shared" si="33"/>
        <v>16.909166666666668</v>
      </c>
      <c r="Q190" s="2">
        <f t="shared" si="34"/>
        <v>-88.048333333333332</v>
      </c>
      <c r="R190" s="16" t="s">
        <v>384</v>
      </c>
    </row>
    <row r="191" spans="1:18" ht="15.75" x14ac:dyDescent="0.25">
      <c r="A191" s="1">
        <v>190</v>
      </c>
      <c r="B191" s="1" t="s">
        <v>17</v>
      </c>
      <c r="C191" s="1" t="s">
        <v>18</v>
      </c>
      <c r="D191" s="1" t="s">
        <v>19</v>
      </c>
      <c r="E191" s="7" t="s">
        <v>393</v>
      </c>
      <c r="F191" s="7" t="s">
        <v>394</v>
      </c>
      <c r="G191" s="7" t="s">
        <v>382</v>
      </c>
      <c r="H191" s="1" t="s">
        <v>324</v>
      </c>
      <c r="I191" s="7" t="s">
        <v>395</v>
      </c>
      <c r="J191" s="1" t="str">
        <f t="shared" si="27"/>
        <v>21</v>
      </c>
      <c r="K191" s="1" t="str">
        <f t="shared" si="28"/>
        <v>36</v>
      </c>
      <c r="L191" s="1" t="str">
        <f t="shared" si="29"/>
        <v>45</v>
      </c>
      <c r="M191" s="1" t="str">
        <f t="shared" si="30"/>
        <v>89</v>
      </c>
      <c r="N191" s="1" t="str">
        <f t="shared" si="31"/>
        <v>31</v>
      </c>
      <c r="O191" s="1" t="str">
        <f t="shared" si="32"/>
        <v>40</v>
      </c>
      <c r="P191" s="2">
        <f t="shared" si="33"/>
        <v>21.612500000000001</v>
      </c>
      <c r="Q191" s="2">
        <f t="shared" si="34"/>
        <v>-89.527777777777771</v>
      </c>
      <c r="R191" s="16" t="s">
        <v>384</v>
      </c>
    </row>
    <row r="192" spans="1:18" ht="15.75" x14ac:dyDescent="0.25">
      <c r="A192" s="1">
        <v>191</v>
      </c>
      <c r="B192" s="1" t="s">
        <v>17</v>
      </c>
      <c r="C192" s="1" t="s">
        <v>18</v>
      </c>
      <c r="D192" s="1" t="s">
        <v>19</v>
      </c>
      <c r="E192" s="7" t="s">
        <v>396</v>
      </c>
      <c r="F192" s="7" t="s">
        <v>397</v>
      </c>
      <c r="G192" s="7" t="s">
        <v>382</v>
      </c>
      <c r="H192" s="1" t="s">
        <v>324</v>
      </c>
      <c r="I192" s="7" t="s">
        <v>395</v>
      </c>
      <c r="J192" s="1" t="str">
        <f t="shared" si="27"/>
        <v>19</v>
      </c>
      <c r="K192" s="1" t="str">
        <f t="shared" si="28"/>
        <v>16</v>
      </c>
      <c r="L192" s="1" t="str">
        <f t="shared" si="29"/>
        <v>24</v>
      </c>
      <c r="M192" s="1" t="str">
        <f t="shared" si="30"/>
        <v>81</v>
      </c>
      <c r="N192" s="1" t="str">
        <f t="shared" si="31"/>
        <v>14</v>
      </c>
      <c r="O192" s="1" t="str">
        <f t="shared" si="32"/>
        <v>12</v>
      </c>
      <c r="P192" s="2">
        <f t="shared" si="33"/>
        <v>19.273333333333333</v>
      </c>
      <c r="Q192" s="2">
        <f t="shared" si="34"/>
        <v>-81.236666666666665</v>
      </c>
      <c r="R192" s="16" t="s">
        <v>384</v>
      </c>
    </row>
    <row r="193" spans="1:18" ht="15.75" x14ac:dyDescent="0.25">
      <c r="A193" s="1">
        <v>192</v>
      </c>
      <c r="B193" s="1" t="s">
        <v>17</v>
      </c>
      <c r="C193" s="1" t="s">
        <v>18</v>
      </c>
      <c r="D193" s="1" t="s">
        <v>19</v>
      </c>
      <c r="E193" s="7" t="s">
        <v>398</v>
      </c>
      <c r="F193" s="7" t="s">
        <v>399</v>
      </c>
      <c r="G193" s="7" t="s">
        <v>382</v>
      </c>
      <c r="H193" s="1" t="s">
        <v>324</v>
      </c>
      <c r="I193" s="7" t="s">
        <v>395</v>
      </c>
      <c r="J193" s="1" t="str">
        <f t="shared" si="27"/>
        <v>19</v>
      </c>
      <c r="K193" s="1" t="str">
        <f t="shared" si="28"/>
        <v>40</v>
      </c>
      <c r="L193" s="1" t="str">
        <f t="shared" si="29"/>
        <v>37</v>
      </c>
      <c r="M193" s="1" t="str">
        <f t="shared" si="30"/>
        <v>80</v>
      </c>
      <c r="N193" s="1" t="str">
        <f t="shared" si="31"/>
        <v>01</v>
      </c>
      <c r="O193" s="1" t="str">
        <f t="shared" si="32"/>
        <v>17</v>
      </c>
      <c r="P193" s="2">
        <f t="shared" si="33"/>
        <v>19.676944444444445</v>
      </c>
      <c r="Q193" s="2">
        <f t="shared" si="34"/>
        <v>-80.021388888888893</v>
      </c>
      <c r="R193" s="16" t="s">
        <v>384</v>
      </c>
    </row>
    <row r="194" spans="1:18" ht="15.75" x14ac:dyDescent="0.25">
      <c r="A194" s="1">
        <v>193</v>
      </c>
      <c r="B194" s="1" t="s">
        <v>17</v>
      </c>
      <c r="C194" s="1" t="s">
        <v>18</v>
      </c>
      <c r="D194" s="1" t="s">
        <v>19</v>
      </c>
      <c r="E194" s="7" t="s">
        <v>400</v>
      </c>
      <c r="F194" s="7" t="s">
        <v>401</v>
      </c>
      <c r="G194" s="7" t="s">
        <v>382</v>
      </c>
      <c r="H194" s="1" t="s">
        <v>324</v>
      </c>
      <c r="I194" s="7" t="s">
        <v>395</v>
      </c>
      <c r="J194" s="1" t="str">
        <f t="shared" si="27"/>
        <v>19</v>
      </c>
      <c r="K194" s="1" t="str">
        <f t="shared" si="28"/>
        <v>53</v>
      </c>
      <c r="L194" s="1" t="str">
        <f t="shared" si="29"/>
        <v>57</v>
      </c>
      <c r="M194" s="1" t="str">
        <f t="shared" si="30"/>
        <v>75</v>
      </c>
      <c r="N194" s="1" t="str">
        <f t="shared" si="31"/>
        <v>00</v>
      </c>
      <c r="O194" s="1" t="str">
        <f t="shared" si="32"/>
        <v>52</v>
      </c>
      <c r="P194" s="2">
        <f t="shared" si="33"/>
        <v>19.899166666666666</v>
      </c>
      <c r="Q194" s="2">
        <f t="shared" si="34"/>
        <v>-75.01444444444445</v>
      </c>
      <c r="R194" s="16" t="s">
        <v>384</v>
      </c>
    </row>
    <row r="195" spans="1:18" ht="15.75" x14ac:dyDescent="0.25">
      <c r="A195" s="1">
        <v>194</v>
      </c>
      <c r="B195" s="1" t="s">
        <v>17</v>
      </c>
      <c r="C195" s="1" t="s">
        <v>18</v>
      </c>
      <c r="D195" s="1" t="s">
        <v>19</v>
      </c>
      <c r="E195" s="7" t="s">
        <v>402</v>
      </c>
      <c r="F195" s="7" t="s">
        <v>403</v>
      </c>
      <c r="G195" s="7" t="s">
        <v>382</v>
      </c>
      <c r="H195" s="1" t="s">
        <v>324</v>
      </c>
      <c r="I195" s="7" t="s">
        <v>395</v>
      </c>
      <c r="J195" s="1" t="str">
        <f t="shared" si="27"/>
        <v>18</v>
      </c>
      <c r="K195" s="1" t="str">
        <f t="shared" si="28"/>
        <v>21</v>
      </c>
      <c r="L195" s="1" t="str">
        <f t="shared" si="29"/>
        <v>10</v>
      </c>
      <c r="M195" s="1" t="str">
        <f t="shared" si="30"/>
        <v>69</v>
      </c>
      <c r="N195" s="1" t="str">
        <f t="shared" si="31"/>
        <v>52</v>
      </c>
      <c r="O195" s="1" t="str">
        <f t="shared" si="32"/>
        <v>10</v>
      </c>
      <c r="P195" s="2">
        <f t="shared" si="33"/>
        <v>18.352777777777778</v>
      </c>
      <c r="Q195" s="2">
        <f t="shared" si="34"/>
        <v>-69.86944444444444</v>
      </c>
      <c r="R195" s="16" t="s">
        <v>384</v>
      </c>
    </row>
    <row r="196" spans="1:18" ht="15.75" x14ac:dyDescent="0.25">
      <c r="A196" s="1">
        <v>195</v>
      </c>
      <c r="B196" s="1" t="s">
        <v>17</v>
      </c>
      <c r="C196" s="1" t="s">
        <v>18</v>
      </c>
      <c r="D196" s="1" t="s">
        <v>19</v>
      </c>
      <c r="E196" s="7" t="s">
        <v>404</v>
      </c>
      <c r="F196" s="7" t="s">
        <v>405</v>
      </c>
      <c r="G196" s="7" t="s">
        <v>382</v>
      </c>
      <c r="H196" s="1" t="s">
        <v>324</v>
      </c>
      <c r="I196" s="7" t="s">
        <v>395</v>
      </c>
      <c r="J196" s="1" t="str">
        <f t="shared" si="27"/>
        <v>19</v>
      </c>
      <c r="K196" s="1" t="str">
        <f t="shared" si="28"/>
        <v>42</v>
      </c>
      <c r="L196" s="1" t="str">
        <f t="shared" si="29"/>
        <v>37</v>
      </c>
      <c r="M196" s="1" t="str">
        <f t="shared" si="30"/>
        <v>70</v>
      </c>
      <c r="N196" s="1" t="str">
        <f t="shared" si="31"/>
        <v>03</v>
      </c>
      <c r="O196" s="1" t="str">
        <f t="shared" si="32"/>
        <v>14</v>
      </c>
      <c r="P196" s="2">
        <f t="shared" si="33"/>
        <v>19.710277777777776</v>
      </c>
      <c r="Q196" s="2">
        <f t="shared" si="34"/>
        <v>-70.053888888888892</v>
      </c>
      <c r="R196" s="16" t="s">
        <v>384</v>
      </c>
    </row>
    <row r="197" spans="1:18" ht="15.75" x14ac:dyDescent="0.25">
      <c r="A197" s="1">
        <v>196</v>
      </c>
      <c r="B197" s="1" t="s">
        <v>17</v>
      </c>
      <c r="C197" s="1" t="s">
        <v>18</v>
      </c>
      <c r="D197" s="1" t="s">
        <v>19</v>
      </c>
      <c r="E197" s="7" t="s">
        <v>406</v>
      </c>
      <c r="F197" s="7" t="s">
        <v>407</v>
      </c>
      <c r="G197" s="7" t="s">
        <v>382</v>
      </c>
      <c r="H197" s="1" t="s">
        <v>324</v>
      </c>
      <c r="I197" s="7" t="s">
        <v>395</v>
      </c>
      <c r="J197" s="1" t="str">
        <f t="shared" si="27"/>
        <v>17</v>
      </c>
      <c r="K197" s="1" t="str">
        <f t="shared" si="28"/>
        <v>55</v>
      </c>
      <c r="L197" s="1" t="str">
        <f t="shared" si="29"/>
        <v>50</v>
      </c>
      <c r="M197" s="1" t="str">
        <f t="shared" si="30"/>
        <v>66</v>
      </c>
      <c r="N197" s="1" t="str">
        <f t="shared" si="31"/>
        <v>21</v>
      </c>
      <c r="O197" s="1" t="str">
        <f t="shared" si="32"/>
        <v>14</v>
      </c>
      <c r="P197" s="2">
        <f t="shared" si="33"/>
        <v>17.930555555555557</v>
      </c>
      <c r="Q197" s="2">
        <f t="shared" si="34"/>
        <v>-66.353888888888889</v>
      </c>
      <c r="R197" s="16" t="s">
        <v>384</v>
      </c>
    </row>
    <row r="198" spans="1:18" ht="15.75" x14ac:dyDescent="0.25">
      <c r="A198" s="1">
        <v>197</v>
      </c>
      <c r="B198" s="1" t="s">
        <v>17</v>
      </c>
      <c r="C198" s="1" t="s">
        <v>18</v>
      </c>
      <c r="D198" s="1" t="s">
        <v>19</v>
      </c>
      <c r="E198" s="7" t="s">
        <v>408</v>
      </c>
      <c r="F198" s="7" t="s">
        <v>409</v>
      </c>
      <c r="G198" s="7" t="s">
        <v>382</v>
      </c>
      <c r="H198" s="1" t="s">
        <v>324</v>
      </c>
      <c r="I198" s="7" t="s">
        <v>410</v>
      </c>
      <c r="J198" s="1" t="str">
        <f t="shared" si="27"/>
        <v>17</v>
      </c>
      <c r="K198" s="1" t="str">
        <f t="shared" si="28"/>
        <v>15</v>
      </c>
      <c r="L198" s="1" t="str">
        <f t="shared" si="29"/>
        <v>20</v>
      </c>
      <c r="M198" s="1" t="str">
        <f t="shared" si="30"/>
        <v>62</v>
      </c>
      <c r="N198" s="1" t="str">
        <f t="shared" si="31"/>
        <v>42</v>
      </c>
      <c r="O198" s="1" t="str">
        <f t="shared" si="32"/>
        <v>40</v>
      </c>
      <c r="P198" s="2">
        <f t="shared" si="33"/>
        <v>17.255555555555556</v>
      </c>
      <c r="Q198" s="2">
        <f t="shared" si="34"/>
        <v>-62.711111111111109</v>
      </c>
      <c r="R198" s="16" t="s">
        <v>384</v>
      </c>
    </row>
    <row r="199" spans="1:18" ht="15.75" x14ac:dyDescent="0.25">
      <c r="A199" s="1">
        <v>198</v>
      </c>
      <c r="B199" s="1" t="s">
        <v>17</v>
      </c>
      <c r="C199" s="1" t="s">
        <v>18</v>
      </c>
      <c r="D199" s="1" t="s">
        <v>19</v>
      </c>
      <c r="E199" s="7" t="s">
        <v>411</v>
      </c>
      <c r="F199" s="7" t="s">
        <v>412</v>
      </c>
      <c r="G199" s="7" t="s">
        <v>382</v>
      </c>
      <c r="H199" s="1" t="s">
        <v>324</v>
      </c>
      <c r="I199" s="7" t="s">
        <v>410</v>
      </c>
      <c r="J199" s="1" t="str">
        <f t="shared" si="27"/>
        <v>14</v>
      </c>
      <c r="K199" s="1" t="str">
        <f t="shared" si="28"/>
        <v>33</v>
      </c>
      <c r="L199" s="1" t="str">
        <f t="shared" si="29"/>
        <v>56</v>
      </c>
      <c r="M199" s="1" t="str">
        <f t="shared" si="30"/>
        <v>61</v>
      </c>
      <c r="N199" s="1" t="str">
        <f t="shared" si="31"/>
        <v>03</v>
      </c>
      <c r="O199" s="1" t="str">
        <f t="shared" si="32"/>
        <v>00</v>
      </c>
      <c r="P199" s="2">
        <f t="shared" si="33"/>
        <v>14.565555555555555</v>
      </c>
      <c r="Q199" s="2">
        <f t="shared" si="34"/>
        <v>-61.05</v>
      </c>
      <c r="R199" s="16" t="s">
        <v>384</v>
      </c>
    </row>
    <row r="200" spans="1:18" ht="15.75" x14ac:dyDescent="0.25">
      <c r="A200" s="1">
        <v>199</v>
      </c>
      <c r="B200" s="1" t="s">
        <v>17</v>
      </c>
      <c r="C200" s="1" t="s">
        <v>18</v>
      </c>
      <c r="D200" s="1" t="s">
        <v>19</v>
      </c>
      <c r="E200" s="7" t="s">
        <v>413</v>
      </c>
      <c r="F200" s="7" t="s">
        <v>414</v>
      </c>
      <c r="G200" s="7" t="s">
        <v>382</v>
      </c>
      <c r="H200" s="1" t="s">
        <v>324</v>
      </c>
      <c r="I200" s="7" t="s">
        <v>410</v>
      </c>
      <c r="J200" s="1" t="str">
        <f t="shared" si="27"/>
        <v>11</v>
      </c>
      <c r="K200" s="1" t="str">
        <f t="shared" si="28"/>
        <v>03</v>
      </c>
      <c r="L200" s="1" t="str">
        <f t="shared" si="29"/>
        <v>46</v>
      </c>
      <c r="M200" s="1" t="str">
        <f t="shared" si="30"/>
        <v>64</v>
      </c>
      <c r="N200" s="1" t="str">
        <f t="shared" si="31"/>
        <v>01</v>
      </c>
      <c r="O200" s="1" t="str">
        <f t="shared" si="32"/>
        <v>30</v>
      </c>
      <c r="P200" s="2">
        <f t="shared" si="33"/>
        <v>11.062777777777777</v>
      </c>
      <c r="Q200" s="2">
        <f t="shared" si="34"/>
        <v>-64.025000000000006</v>
      </c>
      <c r="R200" s="16" t="s">
        <v>384</v>
      </c>
    </row>
    <row r="201" spans="1:18" ht="15.75" x14ac:dyDescent="0.25">
      <c r="A201" s="1">
        <v>200</v>
      </c>
      <c r="B201" s="1" t="s">
        <v>17</v>
      </c>
      <c r="C201" s="1" t="s">
        <v>18</v>
      </c>
      <c r="D201" s="1" t="s">
        <v>19</v>
      </c>
      <c r="E201" s="7" t="s">
        <v>415</v>
      </c>
      <c r="F201" s="7" t="s">
        <v>416</v>
      </c>
      <c r="G201" s="7" t="s">
        <v>382</v>
      </c>
      <c r="H201" s="1" t="s">
        <v>324</v>
      </c>
      <c r="I201" s="7" t="s">
        <v>410</v>
      </c>
      <c r="J201" s="1" t="str">
        <f t="shared" si="27"/>
        <v>10</v>
      </c>
      <c r="K201" s="1" t="str">
        <f t="shared" si="28"/>
        <v>57</v>
      </c>
      <c r="L201" s="1" t="str">
        <f t="shared" si="29"/>
        <v>51</v>
      </c>
      <c r="M201" s="1" t="str">
        <f t="shared" si="30"/>
        <v>65</v>
      </c>
      <c r="N201" s="1" t="str">
        <f t="shared" si="31"/>
        <v>15</v>
      </c>
      <c r="O201" s="1" t="str">
        <f t="shared" si="32"/>
        <v>53</v>
      </c>
      <c r="P201" s="2">
        <f t="shared" si="33"/>
        <v>10.964166666666667</v>
      </c>
      <c r="Q201" s="2">
        <f t="shared" si="34"/>
        <v>-65.264722222222218</v>
      </c>
      <c r="R201" s="16" t="s">
        <v>384</v>
      </c>
    </row>
    <row r="202" spans="1:18" ht="15.75" x14ac:dyDescent="0.25">
      <c r="A202" s="1">
        <v>201</v>
      </c>
      <c r="B202" s="1" t="s">
        <v>17</v>
      </c>
      <c r="C202" s="1" t="s">
        <v>18</v>
      </c>
      <c r="D202" s="1" t="s">
        <v>19</v>
      </c>
      <c r="E202" s="7" t="s">
        <v>417</v>
      </c>
      <c r="F202" s="7" t="s">
        <v>418</v>
      </c>
      <c r="G202" s="7" t="s">
        <v>382</v>
      </c>
      <c r="H202" s="1" t="s">
        <v>324</v>
      </c>
      <c r="I202" s="7" t="s">
        <v>410</v>
      </c>
      <c r="J202" s="1" t="str">
        <f t="shared" si="27"/>
        <v>12</v>
      </c>
      <c r="K202" s="1" t="str">
        <f t="shared" si="28"/>
        <v>02</v>
      </c>
      <c r="L202" s="1" t="str">
        <f t="shared" si="29"/>
        <v>08</v>
      </c>
      <c r="M202" s="1" t="str">
        <f t="shared" si="30"/>
        <v>68</v>
      </c>
      <c r="N202" s="1" t="str">
        <f t="shared" si="31"/>
        <v>49</v>
      </c>
      <c r="O202" s="1" t="str">
        <f t="shared" si="32"/>
        <v>30</v>
      </c>
      <c r="P202" s="2">
        <f t="shared" si="33"/>
        <v>12.035555555555556</v>
      </c>
      <c r="Q202" s="2">
        <f t="shared" si="34"/>
        <v>-68.825000000000003</v>
      </c>
      <c r="R202" s="16" t="s">
        <v>384</v>
      </c>
    </row>
    <row r="203" spans="1:18" ht="15.75" x14ac:dyDescent="0.25">
      <c r="A203" s="1">
        <v>202</v>
      </c>
      <c r="B203" s="1" t="s">
        <v>17</v>
      </c>
      <c r="C203" s="1" t="s">
        <v>18</v>
      </c>
      <c r="D203" s="1" t="s">
        <v>19</v>
      </c>
      <c r="E203" s="7" t="s">
        <v>419</v>
      </c>
      <c r="F203" s="7" t="s">
        <v>420</v>
      </c>
      <c r="G203" s="7" t="s">
        <v>382</v>
      </c>
      <c r="H203" s="1" t="s">
        <v>324</v>
      </c>
      <c r="I203" s="7" t="s">
        <v>410</v>
      </c>
      <c r="J203" s="1" t="str">
        <f t="shared" si="27"/>
        <v>12</v>
      </c>
      <c r="K203" s="1" t="str">
        <f t="shared" si="28"/>
        <v>22</v>
      </c>
      <c r="L203" s="1" t="str">
        <f t="shared" si="29"/>
        <v>32</v>
      </c>
      <c r="M203" s="1" t="str">
        <f t="shared" si="30"/>
        <v>69</v>
      </c>
      <c r="N203" s="1" t="str">
        <f t="shared" si="31"/>
        <v>06</v>
      </c>
      <c r="O203" s="1" t="str">
        <f t="shared" si="32"/>
        <v>45</v>
      </c>
      <c r="P203" s="2">
        <f t="shared" si="33"/>
        <v>12.375555555555556</v>
      </c>
      <c r="Q203" s="2">
        <f t="shared" si="34"/>
        <v>-69.112499999999997</v>
      </c>
      <c r="R203" s="16" t="s">
        <v>384</v>
      </c>
    </row>
    <row r="204" spans="1:18" ht="15.75" x14ac:dyDescent="0.25">
      <c r="A204" s="1">
        <v>203</v>
      </c>
      <c r="B204" s="1" t="s">
        <v>17</v>
      </c>
      <c r="C204" s="1" t="s">
        <v>18</v>
      </c>
      <c r="D204" s="1" t="s">
        <v>19</v>
      </c>
      <c r="E204" s="7" t="s">
        <v>421</v>
      </c>
      <c r="F204" s="7" t="s">
        <v>422</v>
      </c>
      <c r="G204" s="7" t="s">
        <v>382</v>
      </c>
      <c r="H204" s="1" t="s">
        <v>324</v>
      </c>
      <c r="I204" s="7" t="s">
        <v>423</v>
      </c>
      <c r="J204" s="1" t="str">
        <f t="shared" si="27"/>
        <v>23</v>
      </c>
      <c r="K204" s="1" t="str">
        <f t="shared" si="28"/>
        <v>10</v>
      </c>
      <c r="L204" s="1" t="str">
        <f t="shared" si="29"/>
        <v>42</v>
      </c>
      <c r="M204" s="1" t="str">
        <f t="shared" si="30"/>
        <v>75</v>
      </c>
      <c r="N204" s="1" t="str">
        <f t="shared" si="31"/>
        <v>04</v>
      </c>
      <c r="O204" s="1" t="str">
        <f t="shared" si="32"/>
        <v>08</v>
      </c>
      <c r="P204" s="2">
        <f t="shared" si="33"/>
        <v>23.178333333333335</v>
      </c>
      <c r="Q204" s="2">
        <f t="shared" si="34"/>
        <v>-75.068888888888893</v>
      </c>
      <c r="R204" s="16" t="s">
        <v>384</v>
      </c>
    </row>
    <row r="205" spans="1:18" ht="15.75" x14ac:dyDescent="0.25">
      <c r="A205" s="1">
        <v>204</v>
      </c>
      <c r="B205" s="1" t="s">
        <v>17</v>
      </c>
      <c r="C205" s="1" t="s">
        <v>18</v>
      </c>
      <c r="D205" s="1" t="s">
        <v>19</v>
      </c>
      <c r="E205" s="7" t="s">
        <v>424</v>
      </c>
      <c r="F205" s="7" t="s">
        <v>425</v>
      </c>
      <c r="G205" s="7" t="s">
        <v>382</v>
      </c>
      <c r="H205" s="1" t="s">
        <v>324</v>
      </c>
      <c r="I205" s="7" t="s">
        <v>423</v>
      </c>
      <c r="J205" s="1" t="str">
        <f t="shared" si="27"/>
        <v>25</v>
      </c>
      <c r="K205" s="1" t="str">
        <f t="shared" si="28"/>
        <v>09</v>
      </c>
      <c r="L205" s="1" t="str">
        <f t="shared" si="29"/>
        <v>08</v>
      </c>
      <c r="M205" s="1" t="str">
        <f t="shared" si="30"/>
        <v>76</v>
      </c>
      <c r="N205" s="1" t="str">
        <f t="shared" si="31"/>
        <v>07</v>
      </c>
      <c r="O205" s="1" t="str">
        <f t="shared" si="32"/>
        <v>55</v>
      </c>
      <c r="P205" s="2">
        <f t="shared" si="33"/>
        <v>25.152222222222221</v>
      </c>
      <c r="Q205" s="2">
        <f t="shared" si="34"/>
        <v>-76.131944444444443</v>
      </c>
      <c r="R205" s="16" t="s">
        <v>384</v>
      </c>
    </row>
    <row r="206" spans="1:18" ht="15.75" x14ac:dyDescent="0.25">
      <c r="A206" s="1">
        <v>205</v>
      </c>
      <c r="B206" s="1" t="s">
        <v>17</v>
      </c>
      <c r="C206" s="1" t="s">
        <v>18</v>
      </c>
      <c r="D206" s="1" t="s">
        <v>19</v>
      </c>
      <c r="E206" s="7" t="s">
        <v>426</v>
      </c>
      <c r="F206" s="7" t="s">
        <v>427</v>
      </c>
      <c r="G206" s="7" t="s">
        <v>382</v>
      </c>
      <c r="H206" s="1" t="s">
        <v>324</v>
      </c>
      <c r="I206" s="7" t="s">
        <v>423</v>
      </c>
      <c r="J206" s="1" t="str">
        <f t="shared" si="27"/>
        <v>23</v>
      </c>
      <c r="K206" s="1" t="str">
        <f t="shared" si="28"/>
        <v>37</v>
      </c>
      <c r="L206" s="1" t="str">
        <f t="shared" si="29"/>
        <v>51</v>
      </c>
      <c r="M206" s="1" t="str">
        <f t="shared" si="30"/>
        <v>77</v>
      </c>
      <c r="N206" s="1" t="str">
        <f t="shared" si="31"/>
        <v>40</v>
      </c>
      <c r="O206" s="1" t="str">
        <f t="shared" si="32"/>
        <v>56</v>
      </c>
      <c r="P206" s="2">
        <f t="shared" si="33"/>
        <v>23.630833333333335</v>
      </c>
      <c r="Q206" s="2">
        <f t="shared" si="34"/>
        <v>-77.682222222222222</v>
      </c>
      <c r="R206" s="16" t="s">
        <v>384</v>
      </c>
    </row>
    <row r="207" spans="1:18" ht="15.75" x14ac:dyDescent="0.25">
      <c r="A207" s="1">
        <v>206</v>
      </c>
      <c r="B207" s="1" t="s">
        <v>17</v>
      </c>
      <c r="C207" s="1" t="s">
        <v>18</v>
      </c>
      <c r="D207" s="1" t="s">
        <v>19</v>
      </c>
      <c r="E207" s="7" t="s">
        <v>428</v>
      </c>
      <c r="F207" s="7" t="s">
        <v>429</v>
      </c>
      <c r="G207" s="7" t="s">
        <v>382</v>
      </c>
      <c r="H207" s="1" t="s">
        <v>324</v>
      </c>
      <c r="I207" s="7" t="s">
        <v>423</v>
      </c>
      <c r="J207" s="1" t="str">
        <f t="shared" si="27"/>
        <v>24</v>
      </c>
      <c r="K207" s="1" t="str">
        <f t="shared" si="28"/>
        <v>22</v>
      </c>
      <c r="L207" s="1" t="str">
        <f t="shared" si="29"/>
        <v>23</v>
      </c>
      <c r="M207" s="1" t="str">
        <f t="shared" si="30"/>
        <v>78</v>
      </c>
      <c r="N207" s="1" t="str">
        <f t="shared" si="31"/>
        <v>08</v>
      </c>
      <c r="O207" s="1" t="str">
        <f t="shared" si="32"/>
        <v>46</v>
      </c>
      <c r="P207" s="2">
        <f t="shared" si="33"/>
        <v>24.373055555555556</v>
      </c>
      <c r="Q207" s="2">
        <f t="shared" si="34"/>
        <v>-78.146111111111111</v>
      </c>
      <c r="R207" s="16" t="s">
        <v>384</v>
      </c>
    </row>
    <row r="208" spans="1:18" ht="15.75" x14ac:dyDescent="0.25">
      <c r="A208" s="1">
        <v>207</v>
      </c>
      <c r="B208" s="1" t="s">
        <v>17</v>
      </c>
      <c r="C208" s="1" t="s">
        <v>18</v>
      </c>
      <c r="D208" s="1" t="s">
        <v>19</v>
      </c>
      <c r="E208" s="7" t="s">
        <v>430</v>
      </c>
      <c r="F208" s="7" t="s">
        <v>431</v>
      </c>
      <c r="G208" s="7" t="s">
        <v>382</v>
      </c>
      <c r="H208" s="1" t="s">
        <v>324</v>
      </c>
      <c r="I208" s="7" t="s">
        <v>423</v>
      </c>
      <c r="J208" s="1" t="str">
        <f t="shared" si="27"/>
        <v>24</v>
      </c>
      <c r="K208" s="1" t="str">
        <f t="shared" si="28"/>
        <v>38</v>
      </c>
      <c r="L208" s="1" t="str">
        <f t="shared" si="29"/>
        <v>59</v>
      </c>
      <c r="M208" s="1" t="str">
        <f t="shared" si="30"/>
        <v>78</v>
      </c>
      <c r="N208" s="1" t="str">
        <f t="shared" si="31"/>
        <v>29</v>
      </c>
      <c r="O208" s="1" t="str">
        <f t="shared" si="32"/>
        <v>17</v>
      </c>
      <c r="P208" s="2">
        <f t="shared" si="33"/>
        <v>24.649722222222223</v>
      </c>
      <c r="Q208" s="2">
        <f t="shared" si="34"/>
        <v>-78.488055555555562</v>
      </c>
      <c r="R208" s="16" t="s">
        <v>384</v>
      </c>
    </row>
    <row r="209" spans="1:18" ht="15.75" x14ac:dyDescent="0.25">
      <c r="A209" s="1">
        <v>208</v>
      </c>
      <c r="B209" s="1" t="s">
        <v>17</v>
      </c>
      <c r="C209" s="1" t="s">
        <v>18</v>
      </c>
      <c r="D209" s="1" t="s">
        <v>19</v>
      </c>
      <c r="E209" s="7" t="s">
        <v>432</v>
      </c>
      <c r="F209" s="7" t="s">
        <v>433</v>
      </c>
      <c r="G209" s="7" t="s">
        <v>382</v>
      </c>
      <c r="H209" s="1" t="s">
        <v>324</v>
      </c>
      <c r="I209" s="7" t="s">
        <v>423</v>
      </c>
      <c r="J209" s="1" t="str">
        <f t="shared" si="27"/>
        <v>25</v>
      </c>
      <c r="K209" s="1" t="str">
        <f t="shared" si="28"/>
        <v>45</v>
      </c>
      <c r="L209" s="1" t="str">
        <f t="shared" si="29"/>
        <v>28</v>
      </c>
      <c r="M209" s="1" t="str">
        <f t="shared" si="30"/>
        <v>77</v>
      </c>
      <c r="N209" s="1" t="str">
        <f t="shared" si="31"/>
        <v>52</v>
      </c>
      <c r="O209" s="1" t="str">
        <f t="shared" si="32"/>
        <v>41</v>
      </c>
      <c r="P209" s="2">
        <f t="shared" si="33"/>
        <v>25.757777777777779</v>
      </c>
      <c r="Q209" s="2">
        <f t="shared" si="34"/>
        <v>-77.878055555555562</v>
      </c>
      <c r="R209" s="16" t="s">
        <v>384</v>
      </c>
    </row>
    <row r="210" spans="1:18" ht="15.75" x14ac:dyDescent="0.25">
      <c r="A210" s="1">
        <v>209</v>
      </c>
      <c r="B210" s="1" t="s">
        <v>17</v>
      </c>
      <c r="C210" s="1" t="s">
        <v>18</v>
      </c>
      <c r="D210" s="1" t="s">
        <v>19</v>
      </c>
      <c r="E210" s="7" t="s">
        <v>434</v>
      </c>
      <c r="F210" s="7" t="s">
        <v>435</v>
      </c>
      <c r="G210" s="7" t="s">
        <v>382</v>
      </c>
      <c r="H210" s="1" t="s">
        <v>324</v>
      </c>
      <c r="I210" s="7" t="s">
        <v>423</v>
      </c>
      <c r="J210" s="1" t="str">
        <f t="shared" si="27"/>
        <v>26</v>
      </c>
      <c r="K210" s="1" t="str">
        <f t="shared" si="28"/>
        <v>35</v>
      </c>
      <c r="L210" s="1" t="str">
        <f t="shared" si="29"/>
        <v>20</v>
      </c>
      <c r="M210" s="1" t="str">
        <f t="shared" si="30"/>
        <v>78</v>
      </c>
      <c r="N210" s="1" t="str">
        <f t="shared" si="31"/>
        <v>43</v>
      </c>
      <c r="O210" s="1" t="str">
        <f t="shared" si="32"/>
        <v>54</v>
      </c>
      <c r="P210" s="2">
        <f t="shared" si="33"/>
        <v>26.588888888888889</v>
      </c>
      <c r="Q210" s="2">
        <f t="shared" si="34"/>
        <v>-78.731666666666669</v>
      </c>
      <c r="R210" s="16" t="s">
        <v>384</v>
      </c>
    </row>
    <row r="211" spans="1:18" ht="15.75" x14ac:dyDescent="0.25">
      <c r="A211" s="1">
        <v>210</v>
      </c>
      <c r="B211" s="1" t="s">
        <v>17</v>
      </c>
      <c r="C211" s="1" t="s">
        <v>18</v>
      </c>
      <c r="D211" s="1" t="s">
        <v>19</v>
      </c>
      <c r="E211" s="7" t="s">
        <v>436</v>
      </c>
      <c r="F211" s="7" t="s">
        <v>437</v>
      </c>
      <c r="G211" s="7" t="s">
        <v>438</v>
      </c>
      <c r="H211" s="1" t="s">
        <v>324</v>
      </c>
      <c r="I211" s="7" t="s">
        <v>439</v>
      </c>
      <c r="J211" s="1" t="str">
        <f t="shared" si="27"/>
        <v>25</v>
      </c>
      <c r="K211" s="1" t="str">
        <f t="shared" si="28"/>
        <v>32</v>
      </c>
      <c r="L211" s="1" t="str">
        <f t="shared" si="29"/>
        <v>00</v>
      </c>
      <c r="M211" s="1" t="str">
        <f t="shared" si="30"/>
        <v>79</v>
      </c>
      <c r="N211" s="1" t="str">
        <f t="shared" si="31"/>
        <v>17</v>
      </c>
      <c r="O211" s="1" t="str">
        <f t="shared" si="32"/>
        <v>00</v>
      </c>
      <c r="P211" s="2">
        <f t="shared" si="33"/>
        <v>25.533333333333335</v>
      </c>
      <c r="Q211" s="2">
        <f t="shared" si="34"/>
        <v>-79.283333333333331</v>
      </c>
      <c r="R211" s="16" t="s">
        <v>440</v>
      </c>
    </row>
    <row r="212" spans="1:18" ht="15.75" x14ac:dyDescent="0.25">
      <c r="A212" s="1">
        <v>211</v>
      </c>
      <c r="B212" s="1" t="s">
        <v>17</v>
      </c>
      <c r="C212" s="1" t="s">
        <v>18</v>
      </c>
      <c r="D212" s="1" t="s">
        <v>19</v>
      </c>
      <c r="E212" s="7" t="s">
        <v>441</v>
      </c>
      <c r="F212" s="7" t="s">
        <v>442</v>
      </c>
      <c r="G212" s="7" t="s">
        <v>438</v>
      </c>
      <c r="H212" s="1" t="s">
        <v>324</v>
      </c>
      <c r="I212" s="7" t="s">
        <v>439</v>
      </c>
      <c r="J212" s="1" t="str">
        <f t="shared" si="27"/>
        <v>25</v>
      </c>
      <c r="K212" s="1" t="str">
        <f t="shared" si="28"/>
        <v>40</v>
      </c>
      <c r="L212" s="1" t="str">
        <f t="shared" si="29"/>
        <v>15</v>
      </c>
      <c r="M212" s="1" t="str">
        <f t="shared" si="30"/>
        <v>79</v>
      </c>
      <c r="N212" s="1" t="str">
        <f t="shared" si="31"/>
        <v>18</v>
      </c>
      <c r="O212" s="1" t="str">
        <f t="shared" si="32"/>
        <v>30</v>
      </c>
      <c r="P212" s="2">
        <f t="shared" si="33"/>
        <v>25.670833333333334</v>
      </c>
      <c r="Q212" s="2">
        <f t="shared" si="34"/>
        <v>-79.308333333333337</v>
      </c>
      <c r="R212" s="16" t="s">
        <v>440</v>
      </c>
    </row>
    <row r="213" spans="1:18" ht="15.75" x14ac:dyDescent="0.25">
      <c r="A213" s="1">
        <v>212</v>
      </c>
      <c r="B213" s="1" t="s">
        <v>17</v>
      </c>
      <c r="C213" s="1" t="s">
        <v>18</v>
      </c>
      <c r="D213" s="1" t="s">
        <v>19</v>
      </c>
      <c r="E213" s="7" t="s">
        <v>443</v>
      </c>
      <c r="F213" s="7" t="s">
        <v>444</v>
      </c>
      <c r="G213" s="7" t="s">
        <v>438</v>
      </c>
      <c r="H213" s="1" t="s">
        <v>324</v>
      </c>
      <c r="I213" s="7" t="s">
        <v>439</v>
      </c>
      <c r="J213" s="1" t="str">
        <f t="shared" si="27"/>
        <v>25</v>
      </c>
      <c r="K213" s="1" t="str">
        <f t="shared" si="28"/>
        <v>44</v>
      </c>
      <c r="L213" s="1" t="str">
        <f t="shared" si="29"/>
        <v>51</v>
      </c>
      <c r="M213" s="1" t="str">
        <f t="shared" si="30"/>
        <v>79</v>
      </c>
      <c r="N213" s="1" t="str">
        <f t="shared" si="31"/>
        <v>17</v>
      </c>
      <c r="O213" s="1" t="str">
        <f t="shared" si="32"/>
        <v>49</v>
      </c>
      <c r="P213" s="2">
        <f t="shared" si="33"/>
        <v>25.747499999999999</v>
      </c>
      <c r="Q213" s="2">
        <f t="shared" si="34"/>
        <v>-79.296944444444449</v>
      </c>
      <c r="R213" s="16" t="s">
        <v>440</v>
      </c>
    </row>
    <row r="214" spans="1:18" ht="15.75" x14ac:dyDescent="0.25">
      <c r="A214" s="1">
        <v>213</v>
      </c>
      <c r="B214" s="1" t="s">
        <v>17</v>
      </c>
      <c r="C214" s="1" t="s">
        <v>18</v>
      </c>
      <c r="D214" s="1" t="s">
        <v>19</v>
      </c>
      <c r="E214" s="7" t="s">
        <v>445</v>
      </c>
      <c r="F214" s="7" t="s">
        <v>446</v>
      </c>
      <c r="G214" s="7" t="s">
        <v>438</v>
      </c>
      <c r="H214" s="1" t="s">
        <v>324</v>
      </c>
      <c r="I214" s="7" t="s">
        <v>439</v>
      </c>
      <c r="J214" s="1" t="str">
        <f t="shared" si="27"/>
        <v>25</v>
      </c>
      <c r="K214" s="1" t="str">
        <f t="shared" si="28"/>
        <v>47</v>
      </c>
      <c r="L214" s="1" t="str">
        <f t="shared" si="29"/>
        <v>19</v>
      </c>
      <c r="M214" s="1" t="str">
        <f t="shared" si="30"/>
        <v>79</v>
      </c>
      <c r="N214" s="1" t="str">
        <f t="shared" si="31"/>
        <v>15</v>
      </c>
      <c r="O214" s="1" t="str">
        <f t="shared" si="32"/>
        <v>34</v>
      </c>
      <c r="P214" s="2">
        <f t="shared" si="33"/>
        <v>25.788611111111113</v>
      </c>
      <c r="Q214" s="2">
        <f t="shared" si="34"/>
        <v>-79.259444444444441</v>
      </c>
      <c r="R214" s="16" t="s">
        <v>440</v>
      </c>
    </row>
    <row r="215" spans="1:18" ht="15.75" x14ac:dyDescent="0.25">
      <c r="A215" s="1">
        <v>214</v>
      </c>
      <c r="B215" s="1" t="s">
        <v>17</v>
      </c>
      <c r="C215" s="1" t="s">
        <v>18</v>
      </c>
      <c r="D215" s="1" t="s">
        <v>19</v>
      </c>
      <c r="E215" s="7" t="s">
        <v>447</v>
      </c>
      <c r="F215" s="7" t="s">
        <v>448</v>
      </c>
      <c r="G215" s="7" t="s">
        <v>438</v>
      </c>
      <c r="H215" s="1" t="s">
        <v>324</v>
      </c>
      <c r="I215" s="7" t="s">
        <v>439</v>
      </c>
      <c r="J215" s="1" t="str">
        <f t="shared" si="27"/>
        <v>25</v>
      </c>
      <c r="K215" s="1" t="str">
        <f t="shared" si="28"/>
        <v>39</v>
      </c>
      <c r="L215" s="1" t="str">
        <f t="shared" si="29"/>
        <v>02</v>
      </c>
      <c r="M215" s="1" t="str">
        <f t="shared" si="30"/>
        <v>79</v>
      </c>
      <c r="N215" s="1" t="str">
        <f t="shared" si="31"/>
        <v>17</v>
      </c>
      <c r="O215" s="1" t="str">
        <f t="shared" si="32"/>
        <v>36</v>
      </c>
      <c r="P215" s="2">
        <f t="shared" si="33"/>
        <v>25.650555555555556</v>
      </c>
      <c r="Q215" s="2">
        <f t="shared" si="34"/>
        <v>-79.293333333333337</v>
      </c>
      <c r="R215" s="16" t="s">
        <v>440</v>
      </c>
    </row>
    <row r="216" spans="1:18" ht="15.75" x14ac:dyDescent="0.25">
      <c r="A216" s="1">
        <v>215</v>
      </c>
      <c r="B216" s="1" t="s">
        <v>17</v>
      </c>
      <c r="C216" s="1" t="s">
        <v>18</v>
      </c>
      <c r="D216" s="1" t="s">
        <v>19</v>
      </c>
      <c r="E216" s="7" t="s">
        <v>449</v>
      </c>
      <c r="F216" s="7" t="s">
        <v>450</v>
      </c>
      <c r="G216" s="7" t="s">
        <v>438</v>
      </c>
      <c r="H216" s="1" t="s">
        <v>324</v>
      </c>
      <c r="I216" s="7" t="s">
        <v>439</v>
      </c>
      <c r="J216" s="1" t="str">
        <f t="shared" si="27"/>
        <v>26</v>
      </c>
      <c r="K216" s="1" t="str">
        <f t="shared" si="28"/>
        <v>02</v>
      </c>
      <c r="L216" s="1" t="str">
        <f t="shared" si="29"/>
        <v>00</v>
      </c>
      <c r="M216" s="1" t="str">
        <f t="shared" si="30"/>
        <v>79</v>
      </c>
      <c r="N216" s="1" t="str">
        <f t="shared" si="31"/>
        <v>06</v>
      </c>
      <c r="O216" s="1" t="str">
        <f t="shared" si="32"/>
        <v>00</v>
      </c>
      <c r="P216" s="2">
        <f t="shared" si="33"/>
        <v>26.033333333333335</v>
      </c>
      <c r="Q216" s="2">
        <f t="shared" si="34"/>
        <v>-79.099999999999994</v>
      </c>
      <c r="R216" s="16" t="s">
        <v>440</v>
      </c>
    </row>
    <row r="217" spans="1:18" ht="15.75" x14ac:dyDescent="0.25">
      <c r="A217" s="1">
        <v>216</v>
      </c>
      <c r="B217" s="1" t="s">
        <v>17</v>
      </c>
      <c r="C217" s="1" t="s">
        <v>18</v>
      </c>
      <c r="D217" s="1" t="s">
        <v>19</v>
      </c>
      <c r="E217" s="2" t="s">
        <v>451</v>
      </c>
      <c r="F217" s="7" t="s">
        <v>452</v>
      </c>
      <c r="G217" s="7" t="s">
        <v>453</v>
      </c>
      <c r="H217" s="1" t="s">
        <v>324</v>
      </c>
      <c r="I217" s="1" t="s">
        <v>454</v>
      </c>
      <c r="J217" s="1" t="str">
        <f t="shared" si="27"/>
        <v>24</v>
      </c>
      <c r="K217" s="1" t="str">
        <f t="shared" si="28"/>
        <v>43</v>
      </c>
      <c r="L217" s="1" t="str">
        <f t="shared" si="29"/>
        <v>57</v>
      </c>
      <c r="M217" s="1" t="str">
        <f t="shared" si="30"/>
        <v>81</v>
      </c>
      <c r="N217" s="1" t="str">
        <f t="shared" si="31"/>
        <v>05</v>
      </c>
      <c r="O217" s="1" t="str">
        <f t="shared" si="32"/>
        <v>38</v>
      </c>
      <c r="P217" s="2">
        <f t="shared" si="33"/>
        <v>24.732500000000002</v>
      </c>
      <c r="Q217" s="2">
        <f t="shared" si="34"/>
        <v>-81.093888888888884</v>
      </c>
      <c r="R217" s="16" t="s">
        <v>455</v>
      </c>
    </row>
    <row r="218" spans="1:18" ht="15.75" x14ac:dyDescent="0.25">
      <c r="A218" s="1">
        <v>217</v>
      </c>
      <c r="B218" s="1" t="s">
        <v>17</v>
      </c>
      <c r="C218" s="1" t="s">
        <v>18</v>
      </c>
      <c r="D218" s="1" t="s">
        <v>19</v>
      </c>
      <c r="E218" s="7" t="s">
        <v>456</v>
      </c>
      <c r="F218" s="7" t="s">
        <v>457</v>
      </c>
      <c r="G218" s="7" t="s">
        <v>453</v>
      </c>
      <c r="H218" s="1" t="s">
        <v>324</v>
      </c>
      <c r="I218" s="1" t="s">
        <v>454</v>
      </c>
      <c r="J218" s="1" t="str">
        <f t="shared" si="27"/>
        <v>24</v>
      </c>
      <c r="K218" s="1" t="str">
        <f t="shared" si="28"/>
        <v>44</v>
      </c>
      <c r="L218" s="1" t="str">
        <f t="shared" si="29"/>
        <v>56</v>
      </c>
      <c r="M218" s="1" t="str">
        <f t="shared" si="30"/>
        <v>81</v>
      </c>
      <c r="N218" s="1" t="str">
        <f t="shared" si="31"/>
        <v>02</v>
      </c>
      <c r="O218" s="1" t="str">
        <f t="shared" si="32"/>
        <v>50</v>
      </c>
      <c r="P218" s="2">
        <f t="shared" si="33"/>
        <v>24.748888888888889</v>
      </c>
      <c r="Q218" s="2">
        <f t="shared" si="34"/>
        <v>-81.047222222222217</v>
      </c>
      <c r="R218" s="16" t="s">
        <v>455</v>
      </c>
    </row>
    <row r="219" spans="1:18" ht="15.75" x14ac:dyDescent="0.25">
      <c r="A219" s="1">
        <v>218</v>
      </c>
      <c r="B219" s="1" t="s">
        <v>17</v>
      </c>
      <c r="C219" s="1" t="s">
        <v>18</v>
      </c>
      <c r="D219" s="1" t="s">
        <v>19</v>
      </c>
      <c r="E219" s="7" t="s">
        <v>458</v>
      </c>
      <c r="F219" s="7" t="s">
        <v>459</v>
      </c>
      <c r="G219" s="7" t="s">
        <v>453</v>
      </c>
      <c r="H219" s="1" t="s">
        <v>324</v>
      </c>
      <c r="I219" s="1" t="s">
        <v>454</v>
      </c>
      <c r="J219" s="1" t="str">
        <f t="shared" si="27"/>
        <v>24</v>
      </c>
      <c r="K219" s="1" t="str">
        <f t="shared" si="28"/>
        <v>46</v>
      </c>
      <c r="L219" s="1" t="str">
        <f t="shared" si="29"/>
        <v>10</v>
      </c>
      <c r="M219" s="1" t="str">
        <f t="shared" si="30"/>
        <v>80</v>
      </c>
      <c r="N219" s="1" t="str">
        <f t="shared" si="31"/>
        <v>58</v>
      </c>
      <c r="O219" s="1" t="str">
        <f t="shared" si="32"/>
        <v>45</v>
      </c>
      <c r="P219" s="2">
        <f t="shared" si="33"/>
        <v>24.769444444444446</v>
      </c>
      <c r="Q219" s="2">
        <f t="shared" si="34"/>
        <v>-80.979166666666671</v>
      </c>
      <c r="R219" s="16" t="s">
        <v>455</v>
      </c>
    </row>
    <row r="220" spans="1:18" ht="15.75" x14ac:dyDescent="0.25">
      <c r="A220" s="1">
        <v>219</v>
      </c>
      <c r="B220" s="1" t="s">
        <v>17</v>
      </c>
      <c r="C220" s="1" t="s">
        <v>18</v>
      </c>
      <c r="D220" s="1" t="s">
        <v>19</v>
      </c>
      <c r="E220" s="7" t="s">
        <v>460</v>
      </c>
      <c r="F220" s="7" t="s">
        <v>461</v>
      </c>
      <c r="G220" s="7" t="s">
        <v>453</v>
      </c>
      <c r="H220" s="1" t="s">
        <v>324</v>
      </c>
      <c r="I220" s="1" t="s">
        <v>454</v>
      </c>
      <c r="J220" s="1" t="str">
        <f t="shared" si="27"/>
        <v>24</v>
      </c>
      <c r="K220" s="1" t="str">
        <f t="shared" si="28"/>
        <v>47</v>
      </c>
      <c r="L220" s="1" t="str">
        <f t="shared" si="29"/>
        <v>50</v>
      </c>
      <c r="M220" s="1" t="str">
        <f t="shared" si="30"/>
        <v>81</v>
      </c>
      <c r="N220" s="1" t="str">
        <f t="shared" si="31"/>
        <v>01</v>
      </c>
      <c r="O220" s="1" t="str">
        <f t="shared" si="32"/>
        <v>35</v>
      </c>
      <c r="P220" s="2">
        <f t="shared" si="33"/>
        <v>24.797222222222221</v>
      </c>
      <c r="Q220" s="2">
        <f t="shared" si="34"/>
        <v>-81.026388888888889</v>
      </c>
      <c r="R220" s="16" t="s">
        <v>455</v>
      </c>
    </row>
    <row r="221" spans="1:18" ht="15.75" x14ac:dyDescent="0.25">
      <c r="A221" s="1">
        <v>220</v>
      </c>
      <c r="B221" s="1" t="s">
        <v>17</v>
      </c>
      <c r="C221" s="1" t="s">
        <v>18</v>
      </c>
      <c r="D221" s="1" t="s">
        <v>19</v>
      </c>
      <c r="E221" s="7" t="s">
        <v>462</v>
      </c>
      <c r="F221" s="7" t="s">
        <v>463</v>
      </c>
      <c r="G221" s="7" t="s">
        <v>453</v>
      </c>
      <c r="H221" s="1" t="s">
        <v>324</v>
      </c>
      <c r="I221" s="1" t="s">
        <v>454</v>
      </c>
      <c r="J221" s="1" t="str">
        <f t="shared" si="27"/>
        <v>24</v>
      </c>
      <c r="K221" s="1" t="str">
        <f t="shared" si="28"/>
        <v>49</v>
      </c>
      <c r="L221" s="1" t="str">
        <f t="shared" si="29"/>
        <v>35</v>
      </c>
      <c r="M221" s="1" t="str">
        <f t="shared" si="30"/>
        <v>80</v>
      </c>
      <c r="N221" s="1" t="str">
        <f t="shared" si="31"/>
        <v>58</v>
      </c>
      <c r="O221" s="1" t="str">
        <f t="shared" si="32"/>
        <v>55</v>
      </c>
      <c r="P221" s="2">
        <f t="shared" si="33"/>
        <v>24.826388888888889</v>
      </c>
      <c r="Q221" s="2">
        <f t="shared" si="34"/>
        <v>-80.981944444444451</v>
      </c>
      <c r="R221" s="16" t="s">
        <v>455</v>
      </c>
    </row>
    <row r="222" spans="1:18" ht="15.75" x14ac:dyDescent="0.25">
      <c r="A222" s="1">
        <v>221</v>
      </c>
      <c r="B222" s="1" t="s">
        <v>17</v>
      </c>
      <c r="C222" s="1" t="s">
        <v>18</v>
      </c>
      <c r="D222" s="1" t="s">
        <v>19</v>
      </c>
      <c r="E222" s="7" t="s">
        <v>464</v>
      </c>
      <c r="F222" s="7" t="s">
        <v>465</v>
      </c>
      <c r="G222" s="7" t="s">
        <v>453</v>
      </c>
      <c r="H222" s="1" t="s">
        <v>324</v>
      </c>
      <c r="I222" s="1" t="s">
        <v>454</v>
      </c>
      <c r="J222" s="1" t="str">
        <f t="shared" si="27"/>
        <v>24</v>
      </c>
      <c r="K222" s="1" t="str">
        <f t="shared" si="28"/>
        <v>49</v>
      </c>
      <c r="L222" s="1" t="str">
        <f t="shared" si="29"/>
        <v>15</v>
      </c>
      <c r="M222" s="1" t="str">
        <f t="shared" si="30"/>
        <v>80</v>
      </c>
      <c r="N222" s="1" t="str">
        <f t="shared" si="31"/>
        <v>55</v>
      </c>
      <c r="O222" s="1" t="str">
        <f t="shared" si="32"/>
        <v>21</v>
      </c>
      <c r="P222" s="2">
        <f t="shared" si="33"/>
        <v>24.820833333333333</v>
      </c>
      <c r="Q222" s="2">
        <f t="shared" si="34"/>
        <v>-80.922499999999999</v>
      </c>
      <c r="R222" s="16" t="s">
        <v>455</v>
      </c>
    </row>
    <row r="223" spans="1:18" ht="15.75" x14ac:dyDescent="0.25">
      <c r="A223" s="1">
        <v>222</v>
      </c>
      <c r="B223" s="1" t="s">
        <v>17</v>
      </c>
      <c r="C223" s="1" t="s">
        <v>18</v>
      </c>
      <c r="D223" s="1" t="s">
        <v>19</v>
      </c>
      <c r="E223" s="7" t="s">
        <v>466</v>
      </c>
      <c r="F223" s="7" t="s">
        <v>467</v>
      </c>
      <c r="G223" s="7" t="s">
        <v>453</v>
      </c>
      <c r="H223" s="1" t="s">
        <v>324</v>
      </c>
      <c r="I223" s="1" t="s">
        <v>454</v>
      </c>
      <c r="J223" s="1" t="str">
        <f t="shared" si="27"/>
        <v>24</v>
      </c>
      <c r="K223" s="1" t="str">
        <f t="shared" si="28"/>
        <v>49</v>
      </c>
      <c r="L223" s="1" t="str">
        <f t="shared" si="29"/>
        <v>05</v>
      </c>
      <c r="M223" s="1" t="str">
        <f t="shared" si="30"/>
        <v>80</v>
      </c>
      <c r="N223" s="1" t="str">
        <f t="shared" si="31"/>
        <v>52</v>
      </c>
      <c r="O223" s="1" t="str">
        <f t="shared" si="32"/>
        <v>01</v>
      </c>
      <c r="P223" s="2">
        <f t="shared" si="33"/>
        <v>24.818055555555556</v>
      </c>
      <c r="Q223" s="2">
        <f t="shared" si="34"/>
        <v>-80.866944444444442</v>
      </c>
      <c r="R223" s="16" t="s">
        <v>455</v>
      </c>
    </row>
    <row r="224" spans="1:18" ht="15.75" x14ac:dyDescent="0.25">
      <c r="A224" s="1">
        <v>223</v>
      </c>
      <c r="B224" s="1" t="s">
        <v>17</v>
      </c>
      <c r="C224" s="1" t="s">
        <v>18</v>
      </c>
      <c r="D224" s="1" t="s">
        <v>19</v>
      </c>
      <c r="E224" s="7" t="s">
        <v>468</v>
      </c>
      <c r="F224" s="7" t="s">
        <v>469</v>
      </c>
      <c r="G224" s="7" t="s">
        <v>453</v>
      </c>
      <c r="H224" s="1" t="s">
        <v>324</v>
      </c>
      <c r="I224" s="1" t="s">
        <v>454</v>
      </c>
      <c r="J224" s="1" t="str">
        <f t="shared" si="27"/>
        <v>24</v>
      </c>
      <c r="K224" s="1" t="str">
        <f t="shared" si="28"/>
        <v>52</v>
      </c>
      <c r="L224" s="1" t="str">
        <f t="shared" si="29"/>
        <v>08</v>
      </c>
      <c r="M224" s="1" t="str">
        <f t="shared" si="30"/>
        <v>80</v>
      </c>
      <c r="N224" s="1" t="str">
        <f t="shared" si="31"/>
        <v>50</v>
      </c>
      <c r="O224" s="1" t="str">
        <f t="shared" si="32"/>
        <v>48</v>
      </c>
      <c r="P224" s="2">
        <f t="shared" si="33"/>
        <v>24.86888888888889</v>
      </c>
      <c r="Q224" s="2">
        <f t="shared" si="34"/>
        <v>-80.846666666666664</v>
      </c>
      <c r="R224" s="16" t="s">
        <v>455</v>
      </c>
    </row>
    <row r="225" spans="1:18" ht="15.75" x14ac:dyDescent="0.25">
      <c r="A225" s="1">
        <v>224</v>
      </c>
      <c r="B225" s="1" t="s">
        <v>17</v>
      </c>
      <c r="C225" s="1" t="s">
        <v>18</v>
      </c>
      <c r="D225" s="1" t="s">
        <v>19</v>
      </c>
      <c r="E225" s="7" t="s">
        <v>470</v>
      </c>
      <c r="F225" s="7" t="s">
        <v>471</v>
      </c>
      <c r="G225" s="7" t="s">
        <v>453</v>
      </c>
      <c r="H225" s="1" t="s">
        <v>324</v>
      </c>
      <c r="I225" s="1" t="s">
        <v>454</v>
      </c>
      <c r="J225" s="1" t="str">
        <f t="shared" si="27"/>
        <v>24</v>
      </c>
      <c r="K225" s="1" t="str">
        <f t="shared" si="28"/>
        <v>51</v>
      </c>
      <c r="L225" s="1" t="str">
        <f t="shared" si="29"/>
        <v>13</v>
      </c>
      <c r="M225" s="1" t="str">
        <f t="shared" si="30"/>
        <v>80</v>
      </c>
      <c r="N225" s="1" t="str">
        <f t="shared" si="31"/>
        <v>46</v>
      </c>
      <c r="O225" s="1" t="str">
        <f t="shared" si="32"/>
        <v>57</v>
      </c>
      <c r="P225" s="2">
        <f t="shared" si="33"/>
        <v>24.85361111111111</v>
      </c>
      <c r="Q225" s="2">
        <f t="shared" si="34"/>
        <v>-80.782499999999999</v>
      </c>
      <c r="R225" s="16" t="s">
        <v>455</v>
      </c>
    </row>
    <row r="226" spans="1:18" ht="15.75" x14ac:dyDescent="0.25">
      <c r="A226" s="1">
        <v>225</v>
      </c>
      <c r="B226" s="1" t="s">
        <v>17</v>
      </c>
      <c r="C226" s="1" t="s">
        <v>18</v>
      </c>
      <c r="D226" s="1" t="s">
        <v>19</v>
      </c>
      <c r="E226" s="7" t="s">
        <v>472</v>
      </c>
      <c r="F226" s="7" t="s">
        <v>473</v>
      </c>
      <c r="G226" s="7" t="s">
        <v>453</v>
      </c>
      <c r="H226" s="1" t="s">
        <v>324</v>
      </c>
      <c r="I226" s="1" t="s">
        <v>454</v>
      </c>
      <c r="J226" s="1" t="str">
        <f t="shared" si="27"/>
        <v>24</v>
      </c>
      <c r="K226" s="1" t="str">
        <f t="shared" si="28"/>
        <v>53</v>
      </c>
      <c r="L226" s="1" t="str">
        <f t="shared" si="29"/>
        <v>06</v>
      </c>
      <c r="M226" s="1" t="str">
        <f t="shared" si="30"/>
        <v>80</v>
      </c>
      <c r="N226" s="1" t="str">
        <f t="shared" si="31"/>
        <v>45</v>
      </c>
      <c r="O226" s="1" t="str">
        <f t="shared" si="32"/>
        <v>27</v>
      </c>
      <c r="P226" s="2">
        <f t="shared" si="33"/>
        <v>24.885000000000002</v>
      </c>
      <c r="Q226" s="2">
        <f t="shared" si="34"/>
        <v>-80.757499999999993</v>
      </c>
      <c r="R226" s="16" t="s">
        <v>455</v>
      </c>
    </row>
    <row r="227" spans="1:18" ht="15.75" x14ac:dyDescent="0.25">
      <c r="A227" s="1">
        <v>226</v>
      </c>
      <c r="B227" s="1" t="s">
        <v>17</v>
      </c>
      <c r="C227" s="1" t="s">
        <v>18</v>
      </c>
      <c r="D227" s="1" t="s">
        <v>19</v>
      </c>
      <c r="E227" s="7" t="s">
        <v>474</v>
      </c>
      <c r="F227" s="7" t="s">
        <v>475</v>
      </c>
      <c r="G227" s="7" t="s">
        <v>453</v>
      </c>
      <c r="H227" s="1" t="s">
        <v>324</v>
      </c>
      <c r="I227" s="1" t="s">
        <v>454</v>
      </c>
      <c r="J227" s="1" t="str">
        <f t="shared" si="27"/>
        <v>24</v>
      </c>
      <c r="K227" s="1" t="str">
        <f t="shared" si="28"/>
        <v>41</v>
      </c>
      <c r="L227" s="1" t="str">
        <f t="shared" si="29"/>
        <v>55</v>
      </c>
      <c r="M227" s="1" t="str">
        <f t="shared" si="30"/>
        <v>81</v>
      </c>
      <c r="N227" s="1" t="str">
        <f t="shared" si="31"/>
        <v>23</v>
      </c>
      <c r="O227" s="1" t="str">
        <f t="shared" si="32"/>
        <v>50</v>
      </c>
      <c r="P227" s="2">
        <f t="shared" si="33"/>
        <v>24.698611111111113</v>
      </c>
      <c r="Q227" s="2">
        <f t="shared" si="34"/>
        <v>-81.397222222222226</v>
      </c>
      <c r="R227" s="16" t="s">
        <v>455</v>
      </c>
    </row>
    <row r="228" spans="1:18" ht="15.75" x14ac:dyDescent="0.25">
      <c r="A228" s="1">
        <v>227</v>
      </c>
      <c r="B228" s="1" t="s">
        <v>17</v>
      </c>
      <c r="C228" s="1" t="s">
        <v>18</v>
      </c>
      <c r="D228" s="1" t="s">
        <v>19</v>
      </c>
      <c r="E228" s="7" t="s">
        <v>476</v>
      </c>
      <c r="F228" s="7" t="s">
        <v>477</v>
      </c>
      <c r="G228" s="7" t="s">
        <v>453</v>
      </c>
      <c r="H228" s="1" t="s">
        <v>324</v>
      </c>
      <c r="I228" s="1" t="s">
        <v>454</v>
      </c>
      <c r="J228" s="1" t="str">
        <f t="shared" si="27"/>
        <v>24</v>
      </c>
      <c r="K228" s="1" t="str">
        <f t="shared" si="28"/>
        <v>44</v>
      </c>
      <c r="L228" s="1" t="str">
        <f t="shared" si="29"/>
        <v>45</v>
      </c>
      <c r="M228" s="1" t="str">
        <f t="shared" si="30"/>
        <v>81</v>
      </c>
      <c r="N228" s="1" t="str">
        <f t="shared" si="31"/>
        <v>26</v>
      </c>
      <c r="O228" s="1" t="str">
        <f t="shared" si="32"/>
        <v>07</v>
      </c>
      <c r="P228" s="2">
        <f t="shared" si="33"/>
        <v>24.745833333333334</v>
      </c>
      <c r="Q228" s="2">
        <f t="shared" si="34"/>
        <v>-81.435277777777785</v>
      </c>
      <c r="R228" s="16" t="s">
        <v>455</v>
      </c>
    </row>
    <row r="229" spans="1:18" ht="15.75" x14ac:dyDescent="0.25">
      <c r="A229" s="1">
        <v>228</v>
      </c>
      <c r="B229" s="1" t="s">
        <v>41</v>
      </c>
      <c r="C229" s="1" t="s">
        <v>18</v>
      </c>
      <c r="D229" s="1" t="s">
        <v>19</v>
      </c>
      <c r="E229" s="7" t="s">
        <v>478</v>
      </c>
      <c r="F229" s="7" t="s">
        <v>479</v>
      </c>
      <c r="G229" s="1" t="s">
        <v>480</v>
      </c>
      <c r="H229" s="1" t="s">
        <v>324</v>
      </c>
      <c r="I229" s="1" t="s">
        <v>481</v>
      </c>
      <c r="J229" s="1" t="str">
        <f t="shared" si="27"/>
        <v>19</v>
      </c>
      <c r="K229" s="1" t="str">
        <f t="shared" si="28"/>
        <v>41</v>
      </c>
      <c r="L229" s="1" t="str">
        <f t="shared" si="29"/>
        <v>54</v>
      </c>
      <c r="M229" s="1" t="str">
        <f t="shared" si="30"/>
        <v>87</v>
      </c>
      <c r="N229" s="1" t="str">
        <f t="shared" si="31"/>
        <v>27</v>
      </c>
      <c r="O229" s="1" t="str">
        <f t="shared" si="32"/>
        <v>43</v>
      </c>
      <c r="P229" s="2">
        <f t="shared" si="33"/>
        <v>19.698333333333334</v>
      </c>
      <c r="Q229" s="2">
        <f t="shared" si="34"/>
        <v>-87.461944444444441</v>
      </c>
      <c r="R229" s="16" t="s">
        <v>482</v>
      </c>
    </row>
    <row r="230" spans="1:18" ht="15.75" x14ac:dyDescent="0.25">
      <c r="A230" s="1">
        <v>229</v>
      </c>
      <c r="B230" s="1" t="s">
        <v>41</v>
      </c>
      <c r="C230" s="1" t="s">
        <v>18</v>
      </c>
      <c r="D230" s="1" t="s">
        <v>19</v>
      </c>
      <c r="E230" s="7" t="s">
        <v>483</v>
      </c>
      <c r="F230" s="7" t="s">
        <v>484</v>
      </c>
      <c r="G230" s="1" t="s">
        <v>480</v>
      </c>
      <c r="H230" s="1" t="s">
        <v>324</v>
      </c>
      <c r="I230" s="1" t="s">
        <v>481</v>
      </c>
      <c r="J230" s="1" t="str">
        <f t="shared" si="27"/>
        <v>19</v>
      </c>
      <c r="K230" s="1" t="str">
        <f t="shared" si="28"/>
        <v>43</v>
      </c>
      <c r="L230" s="1" t="str">
        <f t="shared" si="29"/>
        <v>35</v>
      </c>
      <c r="M230" s="1" t="str">
        <f t="shared" si="30"/>
        <v>87</v>
      </c>
      <c r="N230" s="1" t="str">
        <f t="shared" si="31"/>
        <v>25</v>
      </c>
      <c r="O230" s="1" t="str">
        <f t="shared" si="32"/>
        <v>06</v>
      </c>
      <c r="P230" s="2">
        <f t="shared" si="33"/>
        <v>19.726388888888888</v>
      </c>
      <c r="Q230" s="2">
        <f t="shared" si="34"/>
        <v>-87.418333333333337</v>
      </c>
      <c r="R230" s="16" t="s">
        <v>482</v>
      </c>
    </row>
    <row r="231" spans="1:18" ht="15.75" x14ac:dyDescent="0.25">
      <c r="A231" s="1">
        <v>230</v>
      </c>
      <c r="B231" s="1" t="s">
        <v>40</v>
      </c>
      <c r="C231" s="1" t="s">
        <v>18</v>
      </c>
      <c r="D231" s="1" t="s">
        <v>19</v>
      </c>
      <c r="E231" s="7" t="s">
        <v>485</v>
      </c>
      <c r="F231" s="7" t="s">
        <v>486</v>
      </c>
      <c r="G231" s="1" t="s">
        <v>480</v>
      </c>
      <c r="H231" s="1" t="s">
        <v>324</v>
      </c>
      <c r="I231" s="1" t="s">
        <v>481</v>
      </c>
      <c r="J231" s="1" t="str">
        <f t="shared" si="27"/>
        <v>19</v>
      </c>
      <c r="K231" s="1" t="str">
        <f t="shared" si="28"/>
        <v>44</v>
      </c>
      <c r="L231" s="1" t="str">
        <f t="shared" si="29"/>
        <v>04</v>
      </c>
      <c r="M231" s="1" t="str">
        <f t="shared" si="30"/>
        <v>87</v>
      </c>
      <c r="N231" s="1" t="str">
        <f t="shared" si="31"/>
        <v>25</v>
      </c>
      <c r="O231" s="1" t="str">
        <f t="shared" si="32"/>
        <v>23</v>
      </c>
      <c r="P231" s="2">
        <f t="shared" si="33"/>
        <v>19.734444444444446</v>
      </c>
      <c r="Q231" s="2">
        <f t="shared" si="34"/>
        <v>-87.42305555555555</v>
      </c>
      <c r="R231" s="16" t="s">
        <v>482</v>
      </c>
    </row>
    <row r="232" spans="1:18" ht="15.75" x14ac:dyDescent="0.25">
      <c r="A232" s="1">
        <v>231</v>
      </c>
      <c r="B232" s="1" t="s">
        <v>40</v>
      </c>
      <c r="C232" s="1" t="s">
        <v>18</v>
      </c>
      <c r="D232" s="1" t="s">
        <v>19</v>
      </c>
      <c r="E232" s="7" t="s">
        <v>487</v>
      </c>
      <c r="F232" s="7" t="s">
        <v>488</v>
      </c>
      <c r="G232" s="1" t="s">
        <v>480</v>
      </c>
      <c r="H232" s="1" t="s">
        <v>324</v>
      </c>
      <c r="I232" s="1" t="s">
        <v>481</v>
      </c>
      <c r="J232" s="1" t="str">
        <f t="shared" si="27"/>
        <v>19</v>
      </c>
      <c r="K232" s="1" t="str">
        <f t="shared" si="28"/>
        <v>46</v>
      </c>
      <c r="L232" s="1" t="str">
        <f t="shared" si="29"/>
        <v>33</v>
      </c>
      <c r="M232" s="1" t="str">
        <f t="shared" si="30"/>
        <v>87</v>
      </c>
      <c r="N232" s="1" t="str">
        <f t="shared" si="31"/>
        <v>28</v>
      </c>
      <c r="O232" s="1" t="str">
        <f t="shared" si="32"/>
        <v>37</v>
      </c>
      <c r="P232" s="2">
        <f t="shared" si="33"/>
        <v>19.775833333333335</v>
      </c>
      <c r="Q232" s="2">
        <f t="shared" si="34"/>
        <v>-87.476944444444442</v>
      </c>
      <c r="R232" s="16" t="s">
        <v>482</v>
      </c>
    </row>
    <row r="233" spans="1:18" ht="15.75" x14ac:dyDescent="0.25">
      <c r="A233" s="1">
        <v>232</v>
      </c>
      <c r="B233" s="1" t="s">
        <v>40</v>
      </c>
      <c r="C233" s="1" t="s">
        <v>18</v>
      </c>
      <c r="D233" s="1" t="s">
        <v>19</v>
      </c>
      <c r="E233" s="7" t="s">
        <v>489</v>
      </c>
      <c r="F233" s="7" t="s">
        <v>490</v>
      </c>
      <c r="G233" s="1" t="s">
        <v>480</v>
      </c>
      <c r="H233" s="1" t="s">
        <v>324</v>
      </c>
      <c r="I233" s="1" t="s">
        <v>481</v>
      </c>
      <c r="J233" s="1" t="str">
        <f t="shared" si="27"/>
        <v>19</v>
      </c>
      <c r="K233" s="1" t="str">
        <f t="shared" si="28"/>
        <v>38</v>
      </c>
      <c r="L233" s="1" t="str">
        <f t="shared" si="29"/>
        <v>59</v>
      </c>
      <c r="M233" s="1" t="str">
        <f t="shared" si="30"/>
        <v>87</v>
      </c>
      <c r="N233" s="1" t="str">
        <f t="shared" si="31"/>
        <v>27</v>
      </c>
      <c r="O233" s="1" t="str">
        <f t="shared" si="32"/>
        <v>21</v>
      </c>
      <c r="P233" s="2">
        <f t="shared" si="33"/>
        <v>19.649722222222223</v>
      </c>
      <c r="Q233" s="2">
        <f t="shared" si="34"/>
        <v>-87.455833333333331</v>
      </c>
      <c r="R233" s="16" t="s">
        <v>482</v>
      </c>
    </row>
    <row r="234" spans="1:18" ht="15.75" x14ac:dyDescent="0.25">
      <c r="A234" s="1">
        <v>233</v>
      </c>
      <c r="B234" s="1" t="s">
        <v>40</v>
      </c>
      <c r="C234" s="1" t="s">
        <v>18</v>
      </c>
      <c r="D234" s="1" t="s">
        <v>19</v>
      </c>
      <c r="E234" s="7" t="s">
        <v>491</v>
      </c>
      <c r="F234" s="7" t="s">
        <v>492</v>
      </c>
      <c r="G234" s="1" t="s">
        <v>480</v>
      </c>
      <c r="H234" s="1" t="s">
        <v>324</v>
      </c>
      <c r="I234" s="1" t="s">
        <v>481</v>
      </c>
      <c r="J234" s="1" t="str">
        <f t="shared" si="27"/>
        <v>19</v>
      </c>
      <c r="K234" s="1" t="str">
        <f t="shared" si="28"/>
        <v>38</v>
      </c>
      <c r="L234" s="1" t="str">
        <f t="shared" si="29"/>
        <v>36</v>
      </c>
      <c r="M234" s="1" t="str">
        <f t="shared" si="30"/>
        <v>87</v>
      </c>
      <c r="N234" s="1" t="str">
        <f t="shared" si="31"/>
        <v>27</v>
      </c>
      <c r="O234" s="1" t="str">
        <f t="shared" si="32"/>
        <v>36</v>
      </c>
      <c r="P234" s="2">
        <f t="shared" si="33"/>
        <v>19.643333333333334</v>
      </c>
      <c r="Q234" s="2">
        <f t="shared" ref="Q234:Q262" si="35">((((O234/60)+N234)/60)+M234)*IF(D235="W",-1, 1)</f>
        <v>-87.46</v>
      </c>
      <c r="R234" s="16" t="s">
        <v>482</v>
      </c>
    </row>
    <row r="235" spans="1:18" ht="15.75" x14ac:dyDescent="0.25">
      <c r="A235" s="1">
        <v>234</v>
      </c>
      <c r="B235" s="1" t="s">
        <v>17</v>
      </c>
      <c r="C235" s="1" t="s">
        <v>18</v>
      </c>
      <c r="D235" s="1" t="s">
        <v>19</v>
      </c>
      <c r="E235" s="7" t="s">
        <v>493</v>
      </c>
      <c r="F235" s="7" t="s">
        <v>494</v>
      </c>
      <c r="G235" s="7" t="s">
        <v>495</v>
      </c>
      <c r="H235" s="1" t="s">
        <v>324</v>
      </c>
      <c r="I235" s="1" t="s">
        <v>288</v>
      </c>
      <c r="J235" s="1" t="str">
        <f t="shared" si="27"/>
        <v>22</v>
      </c>
      <c r="K235" s="1" t="str">
        <f t="shared" si="28"/>
        <v>20</v>
      </c>
      <c r="L235" s="1" t="str">
        <f t="shared" si="29"/>
        <v>56</v>
      </c>
      <c r="M235" s="1" t="str">
        <f t="shared" si="30"/>
        <v>82</v>
      </c>
      <c r="N235" s="1" t="str">
        <f t="shared" si="31"/>
        <v>20</v>
      </c>
      <c r="O235" s="1" t="str">
        <f t="shared" si="32"/>
        <v>09</v>
      </c>
      <c r="P235" s="2">
        <f t="shared" si="33"/>
        <v>22.34888888888889</v>
      </c>
      <c r="Q235" s="2">
        <f t="shared" si="35"/>
        <v>-82.335833333333326</v>
      </c>
      <c r="R235" s="16" t="s">
        <v>496</v>
      </c>
    </row>
    <row r="236" spans="1:18" ht="15.75" x14ac:dyDescent="0.25">
      <c r="A236" s="1">
        <v>235</v>
      </c>
      <c r="B236" s="1" t="s">
        <v>17</v>
      </c>
      <c r="C236" s="1" t="s">
        <v>18</v>
      </c>
      <c r="D236" s="1" t="s">
        <v>19</v>
      </c>
      <c r="E236" s="7" t="s">
        <v>497</v>
      </c>
      <c r="F236" s="7" t="s">
        <v>498</v>
      </c>
      <c r="G236" s="7" t="s">
        <v>495</v>
      </c>
      <c r="H236" s="1" t="s">
        <v>324</v>
      </c>
      <c r="I236" s="1" t="s">
        <v>288</v>
      </c>
      <c r="J236" s="1" t="str">
        <f t="shared" si="27"/>
        <v>22</v>
      </c>
      <c r="K236" s="1" t="str">
        <f t="shared" si="28"/>
        <v>13</v>
      </c>
      <c r="L236" s="1" t="str">
        <f t="shared" si="29"/>
        <v>21</v>
      </c>
      <c r="M236" s="1" t="str">
        <f t="shared" si="30"/>
        <v>82</v>
      </c>
      <c r="N236" s="1" t="str">
        <f t="shared" si="31"/>
        <v>22</v>
      </c>
      <c r="O236" s="1" t="str">
        <f t="shared" si="32"/>
        <v>28</v>
      </c>
      <c r="P236" s="2">
        <f t="shared" si="33"/>
        <v>22.2225</v>
      </c>
      <c r="Q236" s="2">
        <f t="shared" si="35"/>
        <v>-82.37444444444445</v>
      </c>
      <c r="R236" s="16" t="s">
        <v>496</v>
      </c>
    </row>
    <row r="237" spans="1:18" ht="15.75" x14ac:dyDescent="0.25">
      <c r="A237" s="1">
        <v>236</v>
      </c>
      <c r="B237" s="1" t="s">
        <v>17</v>
      </c>
      <c r="C237" s="1" t="s">
        <v>18</v>
      </c>
      <c r="D237" s="1" t="s">
        <v>19</v>
      </c>
      <c r="E237" s="7" t="s">
        <v>499</v>
      </c>
      <c r="F237" s="7" t="s">
        <v>500</v>
      </c>
      <c r="G237" s="7" t="s">
        <v>495</v>
      </c>
      <c r="H237" s="1" t="s">
        <v>324</v>
      </c>
      <c r="I237" s="1" t="s">
        <v>288</v>
      </c>
      <c r="J237" s="1" t="str">
        <f t="shared" si="27"/>
        <v>22</v>
      </c>
      <c r="K237" s="1" t="str">
        <f t="shared" si="28"/>
        <v>18</v>
      </c>
      <c r="L237" s="1" t="str">
        <f t="shared" si="29"/>
        <v>23</v>
      </c>
      <c r="M237" s="1" t="str">
        <f t="shared" si="30"/>
        <v>82</v>
      </c>
      <c r="N237" s="1" t="str">
        <f t="shared" si="31"/>
        <v>45</v>
      </c>
      <c r="O237" s="1" t="str">
        <f t="shared" si="32"/>
        <v>03</v>
      </c>
      <c r="P237" s="2">
        <f t="shared" si="33"/>
        <v>22.30638888888889</v>
      </c>
      <c r="Q237" s="2">
        <f t="shared" si="35"/>
        <v>-82.750833333333333</v>
      </c>
      <c r="R237" s="16" t="s">
        <v>496</v>
      </c>
    </row>
    <row r="238" spans="1:18" ht="15.75" x14ac:dyDescent="0.25">
      <c r="A238" s="1">
        <v>237</v>
      </c>
      <c r="B238" s="1" t="s">
        <v>17</v>
      </c>
      <c r="C238" s="1" t="s">
        <v>18</v>
      </c>
      <c r="D238" s="1" t="s">
        <v>19</v>
      </c>
      <c r="E238" s="7" t="s">
        <v>499</v>
      </c>
      <c r="F238" s="7" t="s">
        <v>501</v>
      </c>
      <c r="G238" s="7" t="s">
        <v>495</v>
      </c>
      <c r="H238" s="1" t="s">
        <v>324</v>
      </c>
      <c r="I238" s="1" t="s">
        <v>288</v>
      </c>
      <c r="J238" s="1" t="str">
        <f t="shared" si="27"/>
        <v>22</v>
      </c>
      <c r="K238" s="1" t="str">
        <f t="shared" si="28"/>
        <v>18</v>
      </c>
      <c r="L238" s="1" t="str">
        <f t="shared" si="29"/>
        <v>23</v>
      </c>
      <c r="M238" s="1" t="str">
        <f t="shared" si="30"/>
        <v>83</v>
      </c>
      <c r="N238" s="1" t="str">
        <f t="shared" si="31"/>
        <v>04</v>
      </c>
      <c r="O238" s="1" t="str">
        <f t="shared" si="32"/>
        <v>41</v>
      </c>
      <c r="P238" s="2">
        <f t="shared" si="33"/>
        <v>22.30638888888889</v>
      </c>
      <c r="Q238" s="2">
        <f t="shared" si="35"/>
        <v>-83.078055555555551</v>
      </c>
      <c r="R238" s="16" t="s">
        <v>496</v>
      </c>
    </row>
    <row r="239" spans="1:18" ht="15.75" x14ac:dyDescent="0.25">
      <c r="A239" s="1">
        <v>238</v>
      </c>
      <c r="B239" s="1" t="s">
        <v>17</v>
      </c>
      <c r="C239" s="1" t="s">
        <v>18</v>
      </c>
      <c r="D239" s="1" t="s">
        <v>19</v>
      </c>
      <c r="E239" s="7" t="s">
        <v>502</v>
      </c>
      <c r="F239" s="7" t="s">
        <v>503</v>
      </c>
      <c r="G239" s="7" t="s">
        <v>495</v>
      </c>
      <c r="H239" s="1" t="s">
        <v>324</v>
      </c>
      <c r="I239" s="1" t="s">
        <v>288</v>
      </c>
      <c r="J239" s="1" t="str">
        <f t="shared" si="27"/>
        <v>22</v>
      </c>
      <c r="K239" s="1" t="str">
        <f t="shared" si="28"/>
        <v>10</v>
      </c>
      <c r="L239" s="1" t="str">
        <f t="shared" si="29"/>
        <v>42</v>
      </c>
      <c r="M239" s="1" t="str">
        <f t="shared" si="30"/>
        <v>83</v>
      </c>
      <c r="N239" s="1" t="str">
        <f t="shared" si="31"/>
        <v>12</v>
      </c>
      <c r="O239" s="1" t="str">
        <f t="shared" si="32"/>
        <v>51</v>
      </c>
      <c r="P239" s="2">
        <f t="shared" si="33"/>
        <v>22.178333333333335</v>
      </c>
      <c r="Q239" s="2">
        <f t="shared" si="35"/>
        <v>-83.214166666666671</v>
      </c>
      <c r="R239" s="16" t="s">
        <v>496</v>
      </c>
    </row>
    <row r="240" spans="1:18" ht="15.75" x14ac:dyDescent="0.25">
      <c r="A240" s="1">
        <v>239</v>
      </c>
      <c r="B240" s="1" t="s">
        <v>17</v>
      </c>
      <c r="C240" s="1" t="s">
        <v>18</v>
      </c>
      <c r="D240" s="1" t="s">
        <v>19</v>
      </c>
      <c r="E240" s="7" t="s">
        <v>504</v>
      </c>
      <c r="F240" s="7" t="s">
        <v>505</v>
      </c>
      <c r="G240" s="7" t="s">
        <v>495</v>
      </c>
      <c r="H240" s="1" t="s">
        <v>324</v>
      </c>
      <c r="I240" s="1" t="s">
        <v>288</v>
      </c>
      <c r="J240" s="1" t="str">
        <f t="shared" si="27"/>
        <v>22</v>
      </c>
      <c r="K240" s="1" t="str">
        <f t="shared" si="28"/>
        <v>03</v>
      </c>
      <c r="L240" s="1" t="str">
        <f t="shared" si="29"/>
        <v>43</v>
      </c>
      <c r="M240" s="1" t="str">
        <f t="shared" si="30"/>
        <v>83</v>
      </c>
      <c r="N240" s="1" t="str">
        <f t="shared" si="31"/>
        <v>04</v>
      </c>
      <c r="O240" s="1" t="str">
        <f t="shared" si="32"/>
        <v>22</v>
      </c>
      <c r="P240" s="2">
        <f t="shared" si="33"/>
        <v>22.061944444444446</v>
      </c>
      <c r="Q240" s="2">
        <f t="shared" si="35"/>
        <v>-83.072777777777773</v>
      </c>
      <c r="R240" s="16" t="s">
        <v>496</v>
      </c>
    </row>
    <row r="241" spans="1:18" ht="15.75" x14ac:dyDescent="0.25">
      <c r="A241" s="1">
        <v>240</v>
      </c>
      <c r="B241" s="1" t="s">
        <v>17</v>
      </c>
      <c r="C241" s="1" t="s">
        <v>18</v>
      </c>
      <c r="D241" s="1" t="s">
        <v>19</v>
      </c>
      <c r="E241" s="7" t="s">
        <v>506</v>
      </c>
      <c r="F241" s="7" t="s">
        <v>507</v>
      </c>
      <c r="G241" s="7" t="s">
        <v>495</v>
      </c>
      <c r="H241" s="1" t="s">
        <v>324</v>
      </c>
      <c r="I241" s="1" t="s">
        <v>288</v>
      </c>
      <c r="J241" s="1" t="str">
        <f t="shared" si="27"/>
        <v>21</v>
      </c>
      <c r="K241" s="1" t="str">
        <f t="shared" si="28"/>
        <v>55</v>
      </c>
      <c r="L241" s="1" t="str">
        <f t="shared" si="29"/>
        <v>27</v>
      </c>
      <c r="M241" s="1" t="str">
        <f t="shared" si="30"/>
        <v>82</v>
      </c>
      <c r="N241" s="1" t="str">
        <f t="shared" si="31"/>
        <v>47</v>
      </c>
      <c r="O241" s="1" t="str">
        <f t="shared" si="32"/>
        <v>22</v>
      </c>
      <c r="P241" s="2">
        <f t="shared" si="33"/>
        <v>21.924166666666668</v>
      </c>
      <c r="Q241" s="2">
        <f t="shared" si="35"/>
        <v>-82.789444444444442</v>
      </c>
      <c r="R241" s="16" t="s">
        <v>496</v>
      </c>
    </row>
    <row r="242" spans="1:18" ht="15.75" x14ac:dyDescent="0.25">
      <c r="A242" s="1">
        <v>241</v>
      </c>
      <c r="B242" s="1" t="s">
        <v>17</v>
      </c>
      <c r="C242" s="1" t="s">
        <v>18</v>
      </c>
      <c r="D242" s="1" t="s">
        <v>19</v>
      </c>
      <c r="E242" s="7" t="s">
        <v>508</v>
      </c>
      <c r="F242" s="7" t="s">
        <v>509</v>
      </c>
      <c r="G242" s="7" t="s">
        <v>495</v>
      </c>
      <c r="H242" s="1" t="s">
        <v>324</v>
      </c>
      <c r="I242" s="1" t="s">
        <v>288</v>
      </c>
      <c r="J242" s="1" t="str">
        <f t="shared" si="27"/>
        <v>21</v>
      </c>
      <c r="K242" s="1" t="str">
        <f t="shared" si="28"/>
        <v>45</v>
      </c>
      <c r="L242" s="1" t="str">
        <f t="shared" si="29"/>
        <v>33</v>
      </c>
      <c r="M242" s="1" t="str">
        <f t="shared" si="30"/>
        <v>82</v>
      </c>
      <c r="N242" s="1" t="str">
        <f t="shared" si="31"/>
        <v>29</v>
      </c>
      <c r="O242" s="1" t="str">
        <f t="shared" si="32"/>
        <v>48</v>
      </c>
      <c r="P242" s="2">
        <f t="shared" si="33"/>
        <v>21.759166666666665</v>
      </c>
      <c r="Q242" s="2">
        <f t="shared" si="35"/>
        <v>-82.49666666666667</v>
      </c>
      <c r="R242" s="16" t="s">
        <v>496</v>
      </c>
    </row>
    <row r="243" spans="1:18" ht="15.75" x14ac:dyDescent="0.25">
      <c r="A243" s="1">
        <v>242</v>
      </c>
      <c r="B243" s="1" t="s">
        <v>17</v>
      </c>
      <c r="C243" s="1" t="s">
        <v>18</v>
      </c>
      <c r="D243" s="1" t="s">
        <v>19</v>
      </c>
      <c r="E243" s="7" t="s">
        <v>510</v>
      </c>
      <c r="F243" s="7" t="s">
        <v>511</v>
      </c>
      <c r="G243" s="7" t="s">
        <v>495</v>
      </c>
      <c r="H243" s="1" t="s">
        <v>324</v>
      </c>
      <c r="I243" s="1" t="s">
        <v>288</v>
      </c>
      <c r="J243" s="1" t="str">
        <f t="shared" si="27"/>
        <v>21</v>
      </c>
      <c r="K243" s="1" t="str">
        <f t="shared" si="28"/>
        <v>35</v>
      </c>
      <c r="L243" s="1" t="str">
        <f t="shared" si="29"/>
        <v>36</v>
      </c>
      <c r="M243" s="1" t="str">
        <f t="shared" si="30"/>
        <v>82</v>
      </c>
      <c r="N243" s="1" t="str">
        <f t="shared" si="31"/>
        <v>20</v>
      </c>
      <c r="O243" s="1" t="str">
        <f t="shared" si="32"/>
        <v>44</v>
      </c>
      <c r="P243" s="2">
        <f t="shared" si="33"/>
        <v>21.593333333333334</v>
      </c>
      <c r="Q243" s="2">
        <f t="shared" si="35"/>
        <v>-82.345555555555549</v>
      </c>
      <c r="R243" s="16" t="s">
        <v>496</v>
      </c>
    </row>
    <row r="244" spans="1:18" ht="15.75" x14ac:dyDescent="0.25">
      <c r="A244" s="1">
        <v>243</v>
      </c>
      <c r="B244" s="1" t="s">
        <v>17</v>
      </c>
      <c r="C244" s="1" t="s">
        <v>18</v>
      </c>
      <c r="D244" s="1" t="s">
        <v>19</v>
      </c>
      <c r="E244" s="7" t="s">
        <v>512</v>
      </c>
      <c r="F244" s="7" t="s">
        <v>513</v>
      </c>
      <c r="G244" s="7" t="s">
        <v>495</v>
      </c>
      <c r="H244" s="1" t="s">
        <v>324</v>
      </c>
      <c r="I244" s="1" t="s">
        <v>288</v>
      </c>
      <c r="J244" s="1" t="str">
        <f t="shared" si="27"/>
        <v>21</v>
      </c>
      <c r="K244" s="1" t="str">
        <f t="shared" si="28"/>
        <v>43</v>
      </c>
      <c r="L244" s="1" t="str">
        <f t="shared" si="29"/>
        <v>01</v>
      </c>
      <c r="M244" s="1" t="str">
        <f t="shared" si="30"/>
        <v>82</v>
      </c>
      <c r="N244" s="1" t="str">
        <f t="shared" si="31"/>
        <v>03</v>
      </c>
      <c r="O244" s="1" t="str">
        <f t="shared" si="32"/>
        <v>38</v>
      </c>
      <c r="P244" s="2">
        <f t="shared" si="33"/>
        <v>21.716944444444444</v>
      </c>
      <c r="Q244" s="2">
        <f t="shared" si="35"/>
        <v>-82.060555555555553</v>
      </c>
      <c r="R244" s="16" t="s">
        <v>496</v>
      </c>
    </row>
    <row r="245" spans="1:18" ht="15.75" x14ac:dyDescent="0.25">
      <c r="A245" s="1">
        <v>244</v>
      </c>
      <c r="B245" s="1" t="s">
        <v>17</v>
      </c>
      <c r="C245" s="1" t="s">
        <v>18</v>
      </c>
      <c r="D245" s="1" t="s">
        <v>19</v>
      </c>
      <c r="E245" s="7" t="s">
        <v>514</v>
      </c>
      <c r="F245" s="7" t="s">
        <v>515</v>
      </c>
      <c r="G245" s="7" t="s">
        <v>495</v>
      </c>
      <c r="H245" s="1" t="s">
        <v>324</v>
      </c>
      <c r="I245" s="1" t="s">
        <v>288</v>
      </c>
      <c r="J245" s="1" t="str">
        <f t="shared" si="27"/>
        <v>21</v>
      </c>
      <c r="K245" s="1" t="str">
        <f t="shared" si="28"/>
        <v>52</v>
      </c>
      <c r="L245" s="1" t="str">
        <f t="shared" si="29"/>
        <v>06</v>
      </c>
      <c r="M245" s="1" t="str">
        <f t="shared" si="30"/>
        <v>81</v>
      </c>
      <c r="N245" s="1" t="str">
        <f t="shared" si="31"/>
        <v>49</v>
      </c>
      <c r="O245" s="1" t="str">
        <f t="shared" si="32"/>
        <v>32</v>
      </c>
      <c r="P245" s="2">
        <f t="shared" si="33"/>
        <v>21.868333333333332</v>
      </c>
      <c r="Q245" s="2">
        <f t="shared" si="35"/>
        <v>-81.825555555555553</v>
      </c>
      <c r="R245" s="16" t="s">
        <v>496</v>
      </c>
    </row>
    <row r="246" spans="1:18" ht="15.75" x14ac:dyDescent="0.25">
      <c r="A246" s="1">
        <v>245</v>
      </c>
      <c r="B246" s="1" t="s">
        <v>17</v>
      </c>
      <c r="C246" s="1" t="s">
        <v>18</v>
      </c>
      <c r="D246" s="1" t="s">
        <v>19</v>
      </c>
      <c r="E246" s="7" t="s">
        <v>516</v>
      </c>
      <c r="F246" s="7" t="s">
        <v>517</v>
      </c>
      <c r="G246" s="7" t="s">
        <v>495</v>
      </c>
      <c r="H246" s="1" t="s">
        <v>324</v>
      </c>
      <c r="I246" s="1" t="s">
        <v>288</v>
      </c>
      <c r="J246" s="1" t="str">
        <f t="shared" si="27"/>
        <v>22</v>
      </c>
      <c r="K246" s="1" t="str">
        <f t="shared" si="28"/>
        <v>02</v>
      </c>
      <c r="L246" s="1" t="str">
        <f t="shared" si="29"/>
        <v>00</v>
      </c>
      <c r="M246" s="1" t="str">
        <f t="shared" si="30"/>
        <v>81</v>
      </c>
      <c r="N246" s="1" t="str">
        <f t="shared" si="31"/>
        <v>35</v>
      </c>
      <c r="O246" s="1" t="str">
        <f t="shared" si="32"/>
        <v>18</v>
      </c>
      <c r="P246" s="2">
        <f t="shared" si="33"/>
        <v>22.033333333333335</v>
      </c>
      <c r="Q246" s="2">
        <f t="shared" si="35"/>
        <v>-81.588333333333338</v>
      </c>
      <c r="R246" s="16" t="s">
        <v>496</v>
      </c>
    </row>
    <row r="247" spans="1:18" ht="15.75" x14ac:dyDescent="0.25">
      <c r="A247" s="1">
        <v>246</v>
      </c>
      <c r="B247" s="1" t="s">
        <v>17</v>
      </c>
      <c r="C247" s="1" t="s">
        <v>18</v>
      </c>
      <c r="D247" s="1" t="s">
        <v>19</v>
      </c>
      <c r="E247" s="7" t="s">
        <v>518</v>
      </c>
      <c r="F247" s="7" t="s">
        <v>519</v>
      </c>
      <c r="G247" s="7" t="s">
        <v>520</v>
      </c>
      <c r="H247" s="1" t="s">
        <v>324</v>
      </c>
      <c r="I247" s="1" t="s">
        <v>521</v>
      </c>
      <c r="J247" s="1" t="str">
        <f t="shared" si="27"/>
        <v>20</v>
      </c>
      <c r="K247" s="1" t="str">
        <f t="shared" si="28"/>
        <v>32</v>
      </c>
      <c r="L247" s="1" t="str">
        <f t="shared" si="29"/>
        <v>36</v>
      </c>
      <c r="M247" s="1" t="str">
        <f t="shared" si="30"/>
        <v>78</v>
      </c>
      <c r="N247" s="1" t="str">
        <f t="shared" si="31"/>
        <v>21</v>
      </c>
      <c r="O247" s="1" t="str">
        <f t="shared" si="32"/>
        <v>00</v>
      </c>
      <c r="P247" s="2">
        <f t="shared" si="33"/>
        <v>20.543333333333333</v>
      </c>
      <c r="Q247" s="2">
        <f t="shared" si="35"/>
        <v>-78.349999999999994</v>
      </c>
      <c r="R247" s="16" t="s">
        <v>522</v>
      </c>
    </row>
    <row r="248" spans="1:18" ht="15.75" x14ac:dyDescent="0.25">
      <c r="A248" s="1">
        <v>247</v>
      </c>
      <c r="B248" s="1" t="s">
        <v>17</v>
      </c>
      <c r="C248" s="1" t="s">
        <v>18</v>
      </c>
      <c r="D248" s="1" t="s">
        <v>19</v>
      </c>
      <c r="E248" s="7" t="s">
        <v>523</v>
      </c>
      <c r="F248" s="7" t="s">
        <v>524</v>
      </c>
      <c r="G248" s="7" t="s">
        <v>520</v>
      </c>
      <c r="H248" s="1" t="s">
        <v>324</v>
      </c>
      <c r="I248" s="1" t="s">
        <v>521</v>
      </c>
      <c r="J248" s="1" t="str">
        <f t="shared" si="27"/>
        <v>20</v>
      </c>
      <c r="K248" s="1" t="str">
        <f t="shared" si="28"/>
        <v>40</v>
      </c>
      <c r="L248" s="1" t="str">
        <f t="shared" si="29"/>
        <v>14</v>
      </c>
      <c r="M248" s="1" t="str">
        <f t="shared" si="30"/>
        <v>78</v>
      </c>
      <c r="N248" s="1" t="str">
        <f t="shared" si="31"/>
        <v>41</v>
      </c>
      <c r="O248" s="1" t="str">
        <f t="shared" si="32"/>
        <v>15</v>
      </c>
      <c r="P248" s="2">
        <f t="shared" si="33"/>
        <v>20.670555555555556</v>
      </c>
      <c r="Q248" s="2">
        <f t="shared" si="35"/>
        <v>-78.6875</v>
      </c>
      <c r="R248" s="16" t="s">
        <v>522</v>
      </c>
    </row>
    <row r="249" spans="1:18" ht="15.75" x14ac:dyDescent="0.25">
      <c r="A249" s="1">
        <v>248</v>
      </c>
      <c r="B249" s="1" t="s">
        <v>17</v>
      </c>
      <c r="C249" s="1" t="s">
        <v>18</v>
      </c>
      <c r="D249" s="1" t="s">
        <v>19</v>
      </c>
      <c r="E249" s="7" t="s">
        <v>525</v>
      </c>
      <c r="F249" s="7" t="s">
        <v>526</v>
      </c>
      <c r="G249" s="7" t="s">
        <v>520</v>
      </c>
      <c r="H249" s="1" t="s">
        <v>324</v>
      </c>
      <c r="I249" s="1" t="s">
        <v>521</v>
      </c>
      <c r="J249" s="1" t="str">
        <f t="shared" si="27"/>
        <v>21</v>
      </c>
      <c r="K249" s="1" t="str">
        <f t="shared" si="28"/>
        <v>01</v>
      </c>
      <c r="L249" s="1" t="str">
        <f t="shared" si="29"/>
        <v>12</v>
      </c>
      <c r="M249" s="1" t="str">
        <f t="shared" si="30"/>
        <v>79</v>
      </c>
      <c r="N249" s="1" t="str">
        <f t="shared" si="31"/>
        <v>11</v>
      </c>
      <c r="O249" s="1" t="str">
        <f t="shared" si="32"/>
        <v>32</v>
      </c>
      <c r="P249" s="2">
        <f t="shared" si="33"/>
        <v>21.02</v>
      </c>
      <c r="Q249" s="2">
        <f t="shared" si="35"/>
        <v>-79.192222222222227</v>
      </c>
      <c r="R249" s="16" t="s">
        <v>522</v>
      </c>
    </row>
    <row r="250" spans="1:18" ht="15.75" x14ac:dyDescent="0.25">
      <c r="A250" s="1">
        <v>249</v>
      </c>
      <c r="B250" s="1" t="s">
        <v>17</v>
      </c>
      <c r="C250" s="1" t="s">
        <v>18</v>
      </c>
      <c r="D250" s="1" t="s">
        <v>19</v>
      </c>
      <c r="E250" s="7" t="s">
        <v>527</v>
      </c>
      <c r="F250" s="7" t="s">
        <v>528</v>
      </c>
      <c r="G250" s="7" t="s">
        <v>520</v>
      </c>
      <c r="H250" s="1" t="s">
        <v>324</v>
      </c>
      <c r="I250" s="1" t="s">
        <v>288</v>
      </c>
      <c r="J250" s="1" t="str">
        <f t="shared" si="27"/>
        <v>22</v>
      </c>
      <c r="K250" s="1" t="str">
        <f t="shared" si="28"/>
        <v>02</v>
      </c>
      <c r="L250" s="1" t="str">
        <f t="shared" si="29"/>
        <v>36</v>
      </c>
      <c r="M250" s="1" t="str">
        <f t="shared" si="30"/>
        <v>81</v>
      </c>
      <c r="N250" s="1" t="str">
        <f t="shared" si="31"/>
        <v>38</v>
      </c>
      <c r="O250" s="1" t="str">
        <f t="shared" si="32"/>
        <v>11</v>
      </c>
      <c r="P250" s="2">
        <f t="shared" si="33"/>
        <v>22.043333333333333</v>
      </c>
      <c r="Q250" s="2">
        <f t="shared" si="35"/>
        <v>-81.636388888888888</v>
      </c>
      <c r="R250" s="16" t="s">
        <v>522</v>
      </c>
    </row>
    <row r="251" spans="1:18" ht="15.75" x14ac:dyDescent="0.25">
      <c r="A251" s="1">
        <v>250</v>
      </c>
      <c r="B251" s="1" t="s">
        <v>17</v>
      </c>
      <c r="C251" s="1" t="s">
        <v>18</v>
      </c>
      <c r="D251" s="1" t="s">
        <v>19</v>
      </c>
      <c r="E251" s="7" t="s">
        <v>529</v>
      </c>
      <c r="F251" s="7" t="s">
        <v>530</v>
      </c>
      <c r="G251" s="7" t="s">
        <v>520</v>
      </c>
      <c r="H251" s="1" t="s">
        <v>324</v>
      </c>
      <c r="I251" s="1" t="s">
        <v>288</v>
      </c>
      <c r="J251" s="1" t="str">
        <f t="shared" si="27"/>
        <v>22</v>
      </c>
      <c r="K251" s="1" t="str">
        <f t="shared" si="28"/>
        <v>05</v>
      </c>
      <c r="L251" s="1" t="str">
        <f t="shared" si="29"/>
        <v>54</v>
      </c>
      <c r="M251" s="1" t="str">
        <f t="shared" si="30"/>
        <v>81</v>
      </c>
      <c r="N251" s="1" t="str">
        <f t="shared" si="31"/>
        <v>33</v>
      </c>
      <c r="O251" s="1" t="str">
        <f t="shared" si="32"/>
        <v>56</v>
      </c>
      <c r="P251" s="2">
        <f t="shared" si="33"/>
        <v>22.098333333333333</v>
      </c>
      <c r="Q251" s="2">
        <f t="shared" si="35"/>
        <v>-81.565555555555562</v>
      </c>
      <c r="R251" s="16" t="s">
        <v>522</v>
      </c>
    </row>
    <row r="252" spans="1:18" ht="15.75" x14ac:dyDescent="0.25">
      <c r="A252" s="1">
        <v>251</v>
      </c>
      <c r="B252" s="1" t="s">
        <v>17</v>
      </c>
      <c r="C252" s="1" t="s">
        <v>18</v>
      </c>
      <c r="D252" s="1" t="s">
        <v>19</v>
      </c>
      <c r="E252" s="7" t="s">
        <v>531</v>
      </c>
      <c r="F252" s="7" t="s">
        <v>532</v>
      </c>
      <c r="G252" s="7" t="s">
        <v>520</v>
      </c>
      <c r="H252" s="1" t="s">
        <v>324</v>
      </c>
      <c r="I252" s="1" t="s">
        <v>288</v>
      </c>
      <c r="J252" s="1" t="str">
        <f t="shared" ref="J252:J262" si="36">MID(E252,1,FIND("°",E252,1)-1)</f>
        <v>22</v>
      </c>
      <c r="K252" s="1" t="str">
        <f t="shared" ref="K252:K262" si="37">MID(E252,FIND("°",E252,1)+1,(FIND("′",E252,1)-FIND("°",E252,1))-1)</f>
        <v>01</v>
      </c>
      <c r="L252" s="1" t="str">
        <f t="shared" ref="L252:L262" si="38">MID(E252,FIND("′",E252,1)+1,(FIND("″",E252,1)-FIND("′",E252,1))-1)</f>
        <v>07</v>
      </c>
      <c r="M252" s="1" t="str">
        <f t="shared" ref="M252:M262" si="39">MID(F252,1,FIND("°",F252,1)-1)</f>
        <v>81</v>
      </c>
      <c r="N252" s="1" t="str">
        <f t="shared" ref="N252:N262" si="40">MID(F252,FIND("°",F252,1)+1,(FIND("′",F252,1)-FIND("°",F252,1))-1)</f>
        <v>21</v>
      </c>
      <c r="O252" s="1" t="str">
        <f t="shared" ref="O252:O262" si="41">MID(F252,FIND("′",F252,1)+1,(FIND("″",F252,1)-FIND("′",F252,1))-1)</f>
        <v>43</v>
      </c>
      <c r="P252" s="2">
        <f t="shared" ref="P252:P262" si="42">((((L252/60)+K252)/60)+J252)*IF(C252="S",-1, 1)</f>
        <v>22.01861111111111</v>
      </c>
      <c r="Q252" s="2">
        <f t="shared" si="35"/>
        <v>-81.361944444444447</v>
      </c>
      <c r="R252" s="16" t="s">
        <v>522</v>
      </c>
    </row>
    <row r="253" spans="1:18" ht="15.75" x14ac:dyDescent="0.25">
      <c r="A253" s="1">
        <v>252</v>
      </c>
      <c r="B253" s="1" t="s">
        <v>17</v>
      </c>
      <c r="C253" s="1" t="s">
        <v>18</v>
      </c>
      <c r="D253" s="1" t="s">
        <v>19</v>
      </c>
      <c r="E253" s="7" t="s">
        <v>533</v>
      </c>
      <c r="F253" s="7" t="s">
        <v>534</v>
      </c>
      <c r="G253" s="1" t="s">
        <v>535</v>
      </c>
      <c r="H253" s="1" t="s">
        <v>324</v>
      </c>
      <c r="I253" s="1" t="s">
        <v>536</v>
      </c>
      <c r="J253" s="1" t="str">
        <f t="shared" si="36"/>
        <v>09</v>
      </c>
      <c r="K253" s="1" t="str">
        <f t="shared" si="37"/>
        <v>44</v>
      </c>
      <c r="L253" s="1" t="str">
        <f t="shared" si="38"/>
        <v>15</v>
      </c>
      <c r="M253" s="1" t="str">
        <f t="shared" si="39"/>
        <v>82</v>
      </c>
      <c r="N253" s="1" t="str">
        <f t="shared" si="40"/>
        <v>49</v>
      </c>
      <c r="O253" s="1" t="str">
        <f t="shared" si="41"/>
        <v>28</v>
      </c>
      <c r="P253" s="2">
        <f t="shared" si="42"/>
        <v>9.7375000000000007</v>
      </c>
      <c r="Q253" s="2">
        <f t="shared" si="35"/>
        <v>-82.824444444444438</v>
      </c>
      <c r="R253" s="16" t="s">
        <v>537</v>
      </c>
    </row>
    <row r="254" spans="1:18" ht="15.75" x14ac:dyDescent="0.25">
      <c r="A254" s="1">
        <v>253</v>
      </c>
      <c r="B254" s="1" t="s">
        <v>17</v>
      </c>
      <c r="C254" s="1" t="s">
        <v>18</v>
      </c>
      <c r="D254" s="1" t="s">
        <v>19</v>
      </c>
      <c r="E254" s="7" t="s">
        <v>274</v>
      </c>
      <c r="F254" s="7" t="s">
        <v>538</v>
      </c>
      <c r="G254" s="1" t="s">
        <v>535</v>
      </c>
      <c r="H254" s="1" t="s">
        <v>324</v>
      </c>
      <c r="I254" s="1" t="s">
        <v>536</v>
      </c>
      <c r="J254" s="1" t="str">
        <f t="shared" si="36"/>
        <v>09</v>
      </c>
      <c r="K254" s="1" t="str">
        <f t="shared" si="37"/>
        <v>44</v>
      </c>
      <c r="L254" s="1" t="str">
        <f t="shared" si="38"/>
        <v>24</v>
      </c>
      <c r="M254" s="1" t="str">
        <f t="shared" si="39"/>
        <v>82</v>
      </c>
      <c r="N254" s="1" t="str">
        <f t="shared" si="40"/>
        <v>49</v>
      </c>
      <c r="O254" s="1" t="str">
        <f t="shared" si="41"/>
        <v>19</v>
      </c>
      <c r="P254" s="2">
        <f t="shared" si="42"/>
        <v>9.74</v>
      </c>
      <c r="Q254" s="2">
        <f t="shared" si="35"/>
        <v>-82.821944444444441</v>
      </c>
      <c r="R254" s="16" t="s">
        <v>537</v>
      </c>
    </row>
    <row r="255" spans="1:18" ht="15.75" x14ac:dyDescent="0.25">
      <c r="A255" s="1">
        <v>254</v>
      </c>
      <c r="B255" s="1" t="s">
        <v>17</v>
      </c>
      <c r="C255" s="1" t="s">
        <v>18</v>
      </c>
      <c r="D255" s="1" t="s">
        <v>19</v>
      </c>
      <c r="E255" s="7" t="s">
        <v>539</v>
      </c>
      <c r="F255" s="7" t="s">
        <v>540</v>
      </c>
      <c r="G255" s="1" t="s">
        <v>535</v>
      </c>
      <c r="H255" s="1" t="s">
        <v>324</v>
      </c>
      <c r="I255" s="1" t="s">
        <v>536</v>
      </c>
      <c r="J255" s="1" t="str">
        <f t="shared" si="36"/>
        <v>09</v>
      </c>
      <c r="K255" s="1" t="str">
        <f t="shared" si="37"/>
        <v>44</v>
      </c>
      <c r="L255" s="1" t="str">
        <f t="shared" si="38"/>
        <v>48</v>
      </c>
      <c r="M255" s="1" t="str">
        <f t="shared" si="39"/>
        <v>82</v>
      </c>
      <c r="N255" s="1" t="str">
        <f t="shared" si="40"/>
        <v>49</v>
      </c>
      <c r="O255" s="1" t="str">
        <f t="shared" si="41"/>
        <v>08</v>
      </c>
      <c r="P255" s="2">
        <f t="shared" si="42"/>
        <v>9.7466666666666661</v>
      </c>
      <c r="Q255" s="2">
        <f t="shared" si="35"/>
        <v>-82.818888888888893</v>
      </c>
      <c r="R255" s="16" t="s">
        <v>537</v>
      </c>
    </row>
    <row r="256" spans="1:18" ht="15.75" x14ac:dyDescent="0.25">
      <c r="A256" s="1">
        <v>255</v>
      </c>
      <c r="B256" s="1" t="s">
        <v>17</v>
      </c>
      <c r="C256" s="1" t="s">
        <v>18</v>
      </c>
      <c r="D256" s="1" t="s">
        <v>19</v>
      </c>
      <c r="E256" s="7" t="s">
        <v>541</v>
      </c>
      <c r="F256" s="7" t="s">
        <v>542</v>
      </c>
      <c r="G256" s="1" t="s">
        <v>535</v>
      </c>
      <c r="H256" s="1" t="s">
        <v>324</v>
      </c>
      <c r="I256" s="1" t="s">
        <v>536</v>
      </c>
      <c r="J256" s="1" t="str">
        <f t="shared" si="36"/>
        <v>09</v>
      </c>
      <c r="K256" s="1" t="str">
        <f t="shared" si="37"/>
        <v>44</v>
      </c>
      <c r="L256" s="1" t="str">
        <f t="shared" si="38"/>
        <v>36</v>
      </c>
      <c r="M256" s="1" t="str">
        <f t="shared" si="39"/>
        <v>82</v>
      </c>
      <c r="N256" s="1" t="str">
        <f t="shared" si="40"/>
        <v>48</v>
      </c>
      <c r="O256" s="1" t="str">
        <f t="shared" si="41"/>
        <v>23</v>
      </c>
      <c r="P256" s="2">
        <f t="shared" si="42"/>
        <v>9.7433333333333341</v>
      </c>
      <c r="Q256" s="2">
        <f t="shared" si="35"/>
        <v>-82.80638888888889</v>
      </c>
      <c r="R256" s="16" t="s">
        <v>537</v>
      </c>
    </row>
    <row r="257" spans="1:18" ht="15.75" x14ac:dyDescent="0.25">
      <c r="A257" s="1">
        <v>256</v>
      </c>
      <c r="B257" s="1" t="s">
        <v>17</v>
      </c>
      <c r="C257" s="1" t="s">
        <v>18</v>
      </c>
      <c r="D257" s="1" t="s">
        <v>19</v>
      </c>
      <c r="E257" s="7" t="s">
        <v>543</v>
      </c>
      <c r="F257" s="7" t="s">
        <v>544</v>
      </c>
      <c r="G257" s="1" t="s">
        <v>535</v>
      </c>
      <c r="H257" s="1" t="s">
        <v>324</v>
      </c>
      <c r="I257" s="1" t="s">
        <v>536</v>
      </c>
      <c r="J257" s="1" t="str">
        <f t="shared" si="36"/>
        <v>09</v>
      </c>
      <c r="K257" s="1" t="str">
        <f t="shared" si="37"/>
        <v>44</v>
      </c>
      <c r="L257" s="1" t="str">
        <f t="shared" si="38"/>
        <v>29</v>
      </c>
      <c r="M257" s="1" t="str">
        <f t="shared" si="39"/>
        <v>82</v>
      </c>
      <c r="N257" s="1" t="str">
        <f t="shared" si="40"/>
        <v>48</v>
      </c>
      <c r="O257" s="1" t="str">
        <f t="shared" si="41"/>
        <v>32</v>
      </c>
      <c r="P257" s="2">
        <f t="shared" si="42"/>
        <v>9.7413888888888884</v>
      </c>
      <c r="Q257" s="2">
        <f t="shared" si="35"/>
        <v>-82.808888888888887</v>
      </c>
      <c r="R257" s="16" t="s">
        <v>537</v>
      </c>
    </row>
    <row r="258" spans="1:18" ht="15.75" x14ac:dyDescent="0.25">
      <c r="A258" s="1">
        <v>257</v>
      </c>
      <c r="B258" s="1" t="s">
        <v>17</v>
      </c>
      <c r="C258" s="1" t="s">
        <v>18</v>
      </c>
      <c r="D258" s="1" t="s">
        <v>19</v>
      </c>
      <c r="E258" s="7" t="s">
        <v>545</v>
      </c>
      <c r="F258" s="7" t="s">
        <v>546</v>
      </c>
      <c r="G258" s="1" t="s">
        <v>535</v>
      </c>
      <c r="H258" s="1" t="s">
        <v>324</v>
      </c>
      <c r="I258" s="1" t="s">
        <v>536</v>
      </c>
      <c r="J258" s="1" t="str">
        <f t="shared" si="36"/>
        <v>09</v>
      </c>
      <c r="K258" s="1" t="str">
        <f t="shared" si="37"/>
        <v>44</v>
      </c>
      <c r="L258" s="1" t="str">
        <f t="shared" si="38"/>
        <v>16</v>
      </c>
      <c r="M258" s="1" t="str">
        <f t="shared" si="39"/>
        <v>82</v>
      </c>
      <c r="N258" s="1" t="str">
        <f t="shared" si="40"/>
        <v>48</v>
      </c>
      <c r="O258" s="1" t="str">
        <f t="shared" si="41"/>
        <v>30</v>
      </c>
      <c r="P258" s="2">
        <f t="shared" si="42"/>
        <v>9.7377777777777776</v>
      </c>
      <c r="Q258" s="2">
        <f t="shared" si="35"/>
        <v>-82.808333333333337</v>
      </c>
      <c r="R258" s="16" t="s">
        <v>537</v>
      </c>
    </row>
    <row r="259" spans="1:18" ht="18" customHeight="1" x14ac:dyDescent="0.25">
      <c r="A259" s="1">
        <v>258</v>
      </c>
      <c r="B259" s="20" t="s">
        <v>567</v>
      </c>
      <c r="C259" s="1" t="s">
        <v>26</v>
      </c>
      <c r="D259" s="1" t="s">
        <v>19</v>
      </c>
      <c r="E259" s="19" t="s">
        <v>549</v>
      </c>
      <c r="F259" s="19" t="s">
        <v>558</v>
      </c>
      <c r="G259" s="19" t="s">
        <v>547</v>
      </c>
      <c r="H259" s="1" t="s">
        <v>324</v>
      </c>
      <c r="I259" s="18" t="s">
        <v>579</v>
      </c>
      <c r="J259" s="1" t="str">
        <f t="shared" si="36"/>
        <v>13</v>
      </c>
      <c r="K259" s="1" t="str">
        <f t="shared" si="37"/>
        <v>32</v>
      </c>
      <c r="L259" s="1" t="str">
        <f t="shared" si="38"/>
        <v>10</v>
      </c>
      <c r="M259" s="1" t="str">
        <f t="shared" si="39"/>
        <v>38</v>
      </c>
      <c r="N259" s="1" t="str">
        <f t="shared" si="40"/>
        <v>29</v>
      </c>
      <c r="O259" s="1" t="str">
        <f t="shared" si="41"/>
        <v>42</v>
      </c>
      <c r="P259" s="2">
        <f t="shared" si="42"/>
        <v>-13.536111111111111</v>
      </c>
      <c r="Q259" s="2">
        <f t="shared" si="35"/>
        <v>-38.494999999999997</v>
      </c>
      <c r="R259" s="16" t="s">
        <v>548</v>
      </c>
    </row>
    <row r="260" spans="1:18" ht="18" customHeight="1" x14ac:dyDescent="0.25">
      <c r="A260" s="1">
        <v>259</v>
      </c>
      <c r="B260" s="20" t="s">
        <v>567</v>
      </c>
      <c r="C260" s="1" t="s">
        <v>26</v>
      </c>
      <c r="D260" s="1" t="s">
        <v>19</v>
      </c>
      <c r="E260" s="19" t="s">
        <v>550</v>
      </c>
      <c r="F260" s="19" t="s">
        <v>559</v>
      </c>
      <c r="G260" s="19" t="s">
        <v>547</v>
      </c>
      <c r="H260" s="1" t="s">
        <v>324</v>
      </c>
      <c r="I260" s="18" t="s">
        <v>579</v>
      </c>
      <c r="J260" s="1" t="str">
        <f t="shared" si="36"/>
        <v>21</v>
      </c>
      <c r="K260" s="1" t="str">
        <f t="shared" si="37"/>
        <v>19</v>
      </c>
      <c r="L260" s="1" t="str">
        <f t="shared" si="38"/>
        <v>18</v>
      </c>
      <c r="M260" s="1" t="str">
        <f t="shared" si="39"/>
        <v>40</v>
      </c>
      <c r="N260" s="1" t="str">
        <f t="shared" si="40"/>
        <v>36</v>
      </c>
      <c r="O260" s="1" t="str">
        <f t="shared" si="41"/>
        <v>28</v>
      </c>
      <c r="P260" s="2">
        <f t="shared" si="42"/>
        <v>-21.321666666666665</v>
      </c>
      <c r="Q260" s="2">
        <f t="shared" si="35"/>
        <v>-40.607777777777777</v>
      </c>
      <c r="R260" s="16" t="s">
        <v>548</v>
      </c>
    </row>
    <row r="261" spans="1:18" ht="15" customHeight="1" x14ac:dyDescent="0.25">
      <c r="A261" s="1">
        <v>260</v>
      </c>
      <c r="B261" s="20" t="s">
        <v>567</v>
      </c>
      <c r="C261" s="1" t="s">
        <v>26</v>
      </c>
      <c r="D261" s="1" t="s">
        <v>19</v>
      </c>
      <c r="E261" s="19" t="s">
        <v>551</v>
      </c>
      <c r="F261" s="19" t="s">
        <v>560</v>
      </c>
      <c r="G261" s="19" t="s">
        <v>547</v>
      </c>
      <c r="H261" s="1" t="s">
        <v>324</v>
      </c>
      <c r="I261" s="18" t="s">
        <v>579</v>
      </c>
      <c r="J261" s="1" t="str">
        <f t="shared" si="36"/>
        <v>23</v>
      </c>
      <c r="K261" s="1" t="str">
        <f t="shared" si="37"/>
        <v>11</v>
      </c>
      <c r="L261" s="1" t="str">
        <f t="shared" si="38"/>
        <v>07</v>
      </c>
      <c r="M261" s="1" t="str">
        <f t="shared" si="39"/>
        <v>42</v>
      </c>
      <c r="N261" s="1" t="str">
        <f t="shared" si="40"/>
        <v>59</v>
      </c>
      <c r="O261" s="1" t="str">
        <f t="shared" si="41"/>
        <v>14</v>
      </c>
      <c r="P261" s="2">
        <f t="shared" si="42"/>
        <v>-23.185277777777777</v>
      </c>
      <c r="Q261" s="2">
        <f t="shared" si="35"/>
        <v>-42.987222222222222</v>
      </c>
      <c r="R261" s="16" t="s">
        <v>548</v>
      </c>
    </row>
    <row r="262" spans="1:18" ht="15" customHeight="1" x14ac:dyDescent="0.25">
      <c r="A262" s="1">
        <v>261</v>
      </c>
      <c r="B262" s="20" t="s">
        <v>567</v>
      </c>
      <c r="C262" s="1" t="s">
        <v>26</v>
      </c>
      <c r="D262" s="1" t="s">
        <v>19</v>
      </c>
      <c r="E262" s="19" t="s">
        <v>552</v>
      </c>
      <c r="F262" s="19" t="s">
        <v>561</v>
      </c>
      <c r="G262" s="19" t="s">
        <v>547</v>
      </c>
      <c r="H262" s="1" t="s">
        <v>324</v>
      </c>
      <c r="I262" s="18" t="s">
        <v>579</v>
      </c>
      <c r="J262" s="1" t="str">
        <f t="shared" si="36"/>
        <v>10</v>
      </c>
      <c r="K262" s="1" t="str">
        <f t="shared" si="37"/>
        <v>07</v>
      </c>
      <c r="L262" s="1" t="str">
        <f t="shared" si="38"/>
        <v>02</v>
      </c>
      <c r="M262" s="1" t="str">
        <f t="shared" si="39"/>
        <v>35</v>
      </c>
      <c r="N262" s="1" t="str">
        <f t="shared" si="40"/>
        <v>48</v>
      </c>
      <c r="O262" s="1" t="str">
        <f t="shared" si="41"/>
        <v>03</v>
      </c>
      <c r="P262" s="2">
        <f t="shared" si="42"/>
        <v>-10.117222222222223</v>
      </c>
      <c r="Q262" s="2">
        <f t="shared" si="35"/>
        <v>-35.80083333333333</v>
      </c>
      <c r="R262" s="16" t="s">
        <v>548</v>
      </c>
    </row>
    <row r="263" spans="1:18" ht="15.75" customHeight="1" x14ac:dyDescent="0.25">
      <c r="A263" s="1">
        <v>262</v>
      </c>
      <c r="B263" s="20" t="s">
        <v>567</v>
      </c>
      <c r="C263" s="1" t="s">
        <v>26</v>
      </c>
      <c r="D263" s="1" t="s">
        <v>19</v>
      </c>
      <c r="E263" s="19" t="s">
        <v>553</v>
      </c>
      <c r="F263" s="19" t="s">
        <v>562</v>
      </c>
      <c r="G263" s="19" t="s">
        <v>547</v>
      </c>
      <c r="H263" s="1" t="s">
        <v>324</v>
      </c>
      <c r="I263" s="18" t="s">
        <v>579</v>
      </c>
      <c r="J263" s="1" t="str">
        <f t="shared" ref="J263:J272" si="43">MID(E263,1,FIND("°",E263,1)-1)</f>
        <v>08</v>
      </c>
      <c r="K263" s="1" t="str">
        <f t="shared" ref="K263:K272" si="44">MID(E263,FIND("°",E263,1)+1,(FIND("′",E263,1)-FIND("°",E263,1))-1)</f>
        <v>57</v>
      </c>
      <c r="L263" s="1" t="str">
        <f t="shared" ref="L263:L272" si="45">MID(E263,FIND("′",E263,1)+1,(FIND("″",E263,1)-FIND("′",E263,1))-1)</f>
        <v>39</v>
      </c>
      <c r="M263" s="1" t="str">
        <f t="shared" ref="M263:M272" si="46">MID(F263,1,FIND("°",F263,1)-1)</f>
        <v>34</v>
      </c>
      <c r="N263" s="1" t="str">
        <f t="shared" ref="N263:N272" si="47">MID(F263,FIND("°",F263,1)+1,(FIND("′",F263,1)-FIND("°",F263,1))-1)</f>
        <v>51</v>
      </c>
      <c r="O263" s="1" t="str">
        <f t="shared" ref="O263:O272" si="48">MID(F263,FIND("′",F263,1)+1,(FIND("″",F263,1)-FIND("′",F263,1))-1)</f>
        <v>27</v>
      </c>
      <c r="P263" s="2">
        <f t="shared" ref="P263:P272" si="49">((((L263/60)+K263)/60)+J263)*IF(C263="S",-1, 1)</f>
        <v>-8.9608333333333334</v>
      </c>
      <c r="Q263" s="2">
        <f t="shared" ref="Q263:Q272" si="50">((((O263/60)+N263)/60)+M263)*IF(D264="W",-1, 1)</f>
        <v>-34.857500000000002</v>
      </c>
      <c r="R263" s="16" t="s">
        <v>548</v>
      </c>
    </row>
    <row r="264" spans="1:18" ht="18" customHeight="1" x14ac:dyDescent="0.25">
      <c r="A264" s="1">
        <v>263</v>
      </c>
      <c r="B264" s="20" t="s">
        <v>567</v>
      </c>
      <c r="C264" s="1" t="s">
        <v>26</v>
      </c>
      <c r="D264" s="1" t="s">
        <v>19</v>
      </c>
      <c r="E264" s="19" t="s">
        <v>554</v>
      </c>
      <c r="F264" s="19" t="s">
        <v>563</v>
      </c>
      <c r="G264" s="19" t="s">
        <v>547</v>
      </c>
      <c r="H264" s="1" t="s">
        <v>324</v>
      </c>
      <c r="I264" s="18" t="s">
        <v>579</v>
      </c>
      <c r="J264" s="1" t="str">
        <f t="shared" si="43"/>
        <v>05</v>
      </c>
      <c r="K264" s="1" t="str">
        <f t="shared" si="44"/>
        <v>45</v>
      </c>
      <c r="L264" s="1" t="str">
        <f t="shared" si="45"/>
        <v>48</v>
      </c>
      <c r="M264" s="1" t="str">
        <f t="shared" si="46"/>
        <v>34</v>
      </c>
      <c r="N264" s="1" t="str">
        <f t="shared" si="47"/>
        <v>55</v>
      </c>
      <c r="O264" s="1" t="str">
        <f t="shared" si="48"/>
        <v>53</v>
      </c>
      <c r="P264" s="2">
        <f t="shared" si="49"/>
        <v>-5.7633333333333336</v>
      </c>
      <c r="Q264" s="2">
        <f t="shared" si="50"/>
        <v>-34.93138888888889</v>
      </c>
      <c r="R264" s="16" t="s">
        <v>548</v>
      </c>
    </row>
    <row r="265" spans="1:18" ht="19.5" customHeight="1" x14ac:dyDescent="0.25">
      <c r="A265" s="1">
        <v>264</v>
      </c>
      <c r="B265" s="20" t="s">
        <v>567</v>
      </c>
      <c r="C265" s="1" t="s">
        <v>26</v>
      </c>
      <c r="D265" s="1" t="s">
        <v>19</v>
      </c>
      <c r="E265" s="19" t="s">
        <v>555</v>
      </c>
      <c r="F265" s="19" t="s">
        <v>564</v>
      </c>
      <c r="G265" s="19" t="s">
        <v>547</v>
      </c>
      <c r="H265" s="1" t="s">
        <v>324</v>
      </c>
      <c r="I265" s="18" t="s">
        <v>579</v>
      </c>
      <c r="J265" s="1" t="str">
        <f t="shared" si="43"/>
        <v>04</v>
      </c>
      <c r="K265" s="1" t="str">
        <f t="shared" si="44"/>
        <v>00</v>
      </c>
      <c r="L265" s="1" t="str">
        <f t="shared" si="45"/>
        <v>30</v>
      </c>
      <c r="M265" s="1" t="str">
        <f t="shared" si="46"/>
        <v>37</v>
      </c>
      <c r="N265" s="1" t="str">
        <f t="shared" si="47"/>
        <v>53</v>
      </c>
      <c r="O265" s="1" t="str">
        <f t="shared" si="48"/>
        <v>32</v>
      </c>
      <c r="P265" s="2">
        <f t="shared" si="49"/>
        <v>-4.0083333333333337</v>
      </c>
      <c r="Q265" s="2">
        <f t="shared" si="50"/>
        <v>-37.892222222222223</v>
      </c>
      <c r="R265" s="16" t="s">
        <v>548</v>
      </c>
    </row>
    <row r="266" spans="1:18" ht="18" customHeight="1" x14ac:dyDescent="0.25">
      <c r="A266" s="1">
        <v>265</v>
      </c>
      <c r="B266" s="20" t="s">
        <v>567</v>
      </c>
      <c r="C266" s="1" t="s">
        <v>26</v>
      </c>
      <c r="D266" s="1" t="s">
        <v>19</v>
      </c>
      <c r="E266" s="19" t="s">
        <v>556</v>
      </c>
      <c r="F266" s="19" t="s">
        <v>565</v>
      </c>
      <c r="G266" s="19" t="s">
        <v>547</v>
      </c>
      <c r="H266" s="1" t="s">
        <v>324</v>
      </c>
      <c r="I266" s="18" t="s">
        <v>579</v>
      </c>
      <c r="J266" s="1" t="str">
        <f t="shared" si="43"/>
        <v>00</v>
      </c>
      <c r="K266" s="1" t="str">
        <f t="shared" si="44"/>
        <v>35</v>
      </c>
      <c r="L266" s="1" t="str">
        <f t="shared" si="45"/>
        <v>01</v>
      </c>
      <c r="M266" s="1" t="str">
        <f t="shared" si="46"/>
        <v>48</v>
      </c>
      <c r="N266" s="1" t="str">
        <f t="shared" si="47"/>
        <v>13</v>
      </c>
      <c r="O266" s="1" t="str">
        <f t="shared" si="48"/>
        <v>07</v>
      </c>
      <c r="P266" s="2">
        <f t="shared" si="49"/>
        <v>-0.58361111111111108</v>
      </c>
      <c r="Q266" s="2">
        <f t="shared" si="50"/>
        <v>-48.218611111111109</v>
      </c>
      <c r="R266" s="16" t="s">
        <v>548</v>
      </c>
    </row>
    <row r="267" spans="1:18" ht="15.75" customHeight="1" x14ac:dyDescent="0.25">
      <c r="A267" s="1">
        <v>266</v>
      </c>
      <c r="B267" s="20" t="s">
        <v>567</v>
      </c>
      <c r="C267" s="1" t="s">
        <v>26</v>
      </c>
      <c r="D267" s="1" t="s">
        <v>19</v>
      </c>
      <c r="E267" s="19" t="s">
        <v>557</v>
      </c>
      <c r="F267" s="19" t="s">
        <v>566</v>
      </c>
      <c r="G267" s="19" t="s">
        <v>547</v>
      </c>
      <c r="H267" s="1" t="s">
        <v>324</v>
      </c>
      <c r="I267" s="18" t="s">
        <v>579</v>
      </c>
      <c r="J267" s="1" t="str">
        <f t="shared" si="43"/>
        <v>02</v>
      </c>
      <c r="K267" s="1" t="str">
        <f t="shared" si="44"/>
        <v>13</v>
      </c>
      <c r="L267" s="1" t="str">
        <f t="shared" si="45"/>
        <v>36</v>
      </c>
      <c r="M267" s="1" t="str">
        <f t="shared" si="46"/>
        <v>44</v>
      </c>
      <c r="N267" s="1" t="str">
        <f t="shared" si="47"/>
        <v>07</v>
      </c>
      <c r="O267" s="1" t="str">
        <f t="shared" si="48"/>
        <v>04</v>
      </c>
      <c r="P267" s="2">
        <f t="shared" si="49"/>
        <v>-2.2266666666666666</v>
      </c>
      <c r="Q267" s="2">
        <f t="shared" si="50"/>
        <v>-44.117777777777775</v>
      </c>
      <c r="R267" s="16" t="s">
        <v>548</v>
      </c>
    </row>
    <row r="268" spans="1:18" ht="16.5" customHeight="1" x14ac:dyDescent="0.25">
      <c r="A268" s="1">
        <v>267</v>
      </c>
      <c r="B268" s="20" t="s">
        <v>568</v>
      </c>
      <c r="C268" s="1" t="s">
        <v>18</v>
      </c>
      <c r="D268" s="1" t="s">
        <v>19</v>
      </c>
      <c r="E268" s="19" t="s">
        <v>569</v>
      </c>
      <c r="F268" s="19" t="s">
        <v>572</v>
      </c>
      <c r="G268" s="19" t="s">
        <v>547</v>
      </c>
      <c r="H268" s="1" t="s">
        <v>324</v>
      </c>
      <c r="I268" s="18" t="s">
        <v>579</v>
      </c>
      <c r="J268" s="1" t="str">
        <f t="shared" si="43"/>
        <v>10</v>
      </c>
      <c r="K268" s="1" t="str">
        <f t="shared" si="44"/>
        <v>39</v>
      </c>
      <c r="L268" s="1" t="str">
        <f t="shared" si="45"/>
        <v>46</v>
      </c>
      <c r="M268" s="1" t="str">
        <f t="shared" si="46"/>
        <v>66</v>
      </c>
      <c r="N268" s="1" t="str">
        <f t="shared" si="47"/>
        <v>54</v>
      </c>
      <c r="O268" s="1" t="str">
        <f t="shared" si="48"/>
        <v>58</v>
      </c>
      <c r="P268" s="2">
        <f t="shared" si="49"/>
        <v>10.662777777777778</v>
      </c>
      <c r="Q268" s="2">
        <f t="shared" si="50"/>
        <v>-66.916111111111107</v>
      </c>
      <c r="R268" s="16" t="s">
        <v>548</v>
      </c>
    </row>
    <row r="269" spans="1:18" ht="16.5" customHeight="1" x14ac:dyDescent="0.25">
      <c r="A269" s="1">
        <v>268</v>
      </c>
      <c r="B269" s="20" t="s">
        <v>568</v>
      </c>
      <c r="C269" s="1" t="s">
        <v>18</v>
      </c>
      <c r="D269" s="1" t="s">
        <v>19</v>
      </c>
      <c r="E269" s="19" t="s">
        <v>570</v>
      </c>
      <c r="F269" s="19" t="s">
        <v>573</v>
      </c>
      <c r="G269" s="19" t="s">
        <v>547</v>
      </c>
      <c r="H269" s="1" t="s">
        <v>324</v>
      </c>
      <c r="I269" s="18" t="s">
        <v>579</v>
      </c>
      <c r="J269" s="1" t="str">
        <f t="shared" si="43"/>
        <v>11</v>
      </c>
      <c r="K269" s="1" t="str">
        <f t="shared" si="44"/>
        <v>46</v>
      </c>
      <c r="L269" s="1" t="str">
        <f t="shared" si="45"/>
        <v>07</v>
      </c>
      <c r="M269" s="1" t="str">
        <f t="shared" si="46"/>
        <v>72</v>
      </c>
      <c r="N269" s="1" t="str">
        <f t="shared" si="47"/>
        <v>44</v>
      </c>
      <c r="O269" s="1" t="str">
        <f t="shared" si="48"/>
        <v>40</v>
      </c>
      <c r="P269" s="2">
        <f t="shared" si="49"/>
        <v>11.768611111111111</v>
      </c>
      <c r="Q269" s="2">
        <f t="shared" si="50"/>
        <v>-72.74444444444444</v>
      </c>
      <c r="R269" s="16" t="s">
        <v>548</v>
      </c>
    </row>
    <row r="270" spans="1:18" ht="15.75" customHeight="1" x14ac:dyDescent="0.25">
      <c r="A270" s="1">
        <v>269</v>
      </c>
      <c r="B270" s="20" t="s">
        <v>568</v>
      </c>
      <c r="C270" s="1" t="s">
        <v>18</v>
      </c>
      <c r="D270" s="1" t="s">
        <v>19</v>
      </c>
      <c r="E270" s="19" t="s">
        <v>571</v>
      </c>
      <c r="F270" s="19" t="s">
        <v>574</v>
      </c>
      <c r="G270" s="19" t="s">
        <v>547</v>
      </c>
      <c r="H270" s="1" t="s">
        <v>324</v>
      </c>
      <c r="I270" s="18" t="s">
        <v>579</v>
      </c>
      <c r="J270" s="1" t="str">
        <f t="shared" si="43"/>
        <v>11</v>
      </c>
      <c r="K270" s="1" t="str">
        <f t="shared" si="44"/>
        <v>34</v>
      </c>
      <c r="L270" s="1" t="str">
        <f t="shared" si="45"/>
        <v>37</v>
      </c>
      <c r="M270" s="1" t="str">
        <f t="shared" si="46"/>
        <v>73</v>
      </c>
      <c r="N270" s="1" t="str">
        <f t="shared" si="47"/>
        <v>13</v>
      </c>
      <c r="O270" s="1" t="str">
        <f t="shared" si="48"/>
        <v>25</v>
      </c>
      <c r="P270" s="2">
        <f t="shared" si="49"/>
        <v>11.576944444444445</v>
      </c>
      <c r="Q270" s="2">
        <f t="shared" si="50"/>
        <v>-73.223611111111111</v>
      </c>
      <c r="R270" s="16" t="s">
        <v>548</v>
      </c>
    </row>
    <row r="271" spans="1:18" ht="16.5" customHeight="1" x14ac:dyDescent="0.25">
      <c r="A271" s="1">
        <v>270</v>
      </c>
      <c r="B271" s="20" t="s">
        <v>568</v>
      </c>
      <c r="C271" s="1" t="s">
        <v>18</v>
      </c>
      <c r="D271" s="1" t="s">
        <v>19</v>
      </c>
      <c r="E271" s="19" t="s">
        <v>575</v>
      </c>
      <c r="F271" s="19" t="s">
        <v>576</v>
      </c>
      <c r="G271" s="19" t="s">
        <v>547</v>
      </c>
      <c r="H271" s="1" t="s">
        <v>324</v>
      </c>
      <c r="I271" s="18" t="s">
        <v>579</v>
      </c>
      <c r="J271" s="1" t="str">
        <f t="shared" si="43"/>
        <v>11</v>
      </c>
      <c r="K271" s="1" t="str">
        <f t="shared" si="44"/>
        <v>24</v>
      </c>
      <c r="L271" s="1" t="str">
        <f t="shared" si="45"/>
        <v>46</v>
      </c>
      <c r="M271" s="1" t="str">
        <f t="shared" si="46"/>
        <v>73</v>
      </c>
      <c r="N271" s="1" t="str">
        <f t="shared" si="47"/>
        <v>55</v>
      </c>
      <c r="O271" s="1" t="str">
        <f t="shared" si="48"/>
        <v>49</v>
      </c>
      <c r="P271" s="2">
        <f t="shared" si="49"/>
        <v>11.412777777777778</v>
      </c>
      <c r="Q271" s="2">
        <f t="shared" si="50"/>
        <v>-73.930277777777775</v>
      </c>
      <c r="R271" s="16" t="s">
        <v>548</v>
      </c>
    </row>
    <row r="272" spans="1:18" ht="19.5" customHeight="1" x14ac:dyDescent="0.25">
      <c r="A272" s="1">
        <v>271</v>
      </c>
      <c r="B272" s="20" t="s">
        <v>568</v>
      </c>
      <c r="C272" s="1" t="s">
        <v>18</v>
      </c>
      <c r="D272" s="1" t="s">
        <v>19</v>
      </c>
      <c r="E272" s="19" t="s">
        <v>577</v>
      </c>
      <c r="F272" s="19" t="s">
        <v>578</v>
      </c>
      <c r="G272" s="19" t="s">
        <v>547</v>
      </c>
      <c r="H272" s="1" t="s">
        <v>324</v>
      </c>
      <c r="I272" s="18" t="s">
        <v>579</v>
      </c>
      <c r="J272" s="1" t="str">
        <f t="shared" si="43"/>
        <v>12</v>
      </c>
      <c r="K272" s="1" t="str">
        <f t="shared" si="44"/>
        <v>36</v>
      </c>
      <c r="L272" s="1" t="str">
        <f t="shared" si="45"/>
        <v>05</v>
      </c>
      <c r="M272" s="1" t="str">
        <f t="shared" si="46"/>
        <v>82</v>
      </c>
      <c r="N272" s="1" t="str">
        <f t="shared" si="47"/>
        <v>48</v>
      </c>
      <c r="O272" s="1" t="str">
        <f t="shared" si="48"/>
        <v>45</v>
      </c>
      <c r="P272" s="2">
        <f t="shared" si="49"/>
        <v>12.60138888888889</v>
      </c>
      <c r="Q272" s="2">
        <f t="shared" si="50"/>
        <v>-82.8125</v>
      </c>
      <c r="R272" s="16" t="s">
        <v>548</v>
      </c>
    </row>
    <row r="273" spans="1:18" ht="15.75" x14ac:dyDescent="0.25">
      <c r="A273" s="1">
        <v>272</v>
      </c>
      <c r="B273" s="1" t="s">
        <v>17</v>
      </c>
      <c r="C273" s="1" t="s">
        <v>18</v>
      </c>
      <c r="D273" s="1" t="s">
        <v>19</v>
      </c>
      <c r="E273" s="19" t="s">
        <v>582</v>
      </c>
      <c r="F273" s="19" t="s">
        <v>601</v>
      </c>
      <c r="G273" s="19" t="s">
        <v>581</v>
      </c>
      <c r="H273" s="1" t="s">
        <v>324</v>
      </c>
      <c r="I273" s="1" t="s">
        <v>602</v>
      </c>
      <c r="J273" s="1" t="str">
        <f t="shared" ref="J273:J314" si="51">MID(E273,1,FIND("°",E273,1)-1)</f>
        <v>19</v>
      </c>
      <c r="K273" s="1" t="str">
        <f t="shared" ref="K273:K314" si="52">MID(E273,FIND("°",E273,1)+1,(FIND("′",E273,1)-FIND("°",E273,1))-1)</f>
        <v>05</v>
      </c>
      <c r="L273" s="1" t="str">
        <f t="shared" ref="L273:L314" si="53">MID(E273,FIND("′",E273,1)+1,(FIND("″",E273,1)-FIND("′",E273,1))-1)</f>
        <v>44</v>
      </c>
      <c r="M273" s="1" t="str">
        <f t="shared" ref="M273:M314" si="54">MID(F273,1,FIND("°",F273,1)-1)</f>
        <v>87</v>
      </c>
      <c r="N273" s="1" t="str">
        <f t="shared" ref="N273:N314" si="55">MID(F273,FIND("°",F273,1)+1,(FIND("′",F273,1)-FIND("°",F273,1))-1)</f>
        <v>23</v>
      </c>
      <c r="O273" s="1" t="str">
        <f t="shared" ref="O273:O314" si="56">MID(F273,FIND("′",F273,1)+1,(FIND("″",F273,1)-FIND("′",F273,1))-1)</f>
        <v>22</v>
      </c>
      <c r="P273" s="2">
        <f t="shared" ref="P273:P314" si="57">((((L273/60)+K273)/60)+J273)*IF(C273="S",-1, 1)</f>
        <v>19.095555555555556</v>
      </c>
      <c r="Q273" s="2">
        <f t="shared" ref="Q273:Q314" si="58">((((O273/60)+N273)/60)+M273)*IF(D274="W",-1, 1)</f>
        <v>-87.38944444444445</v>
      </c>
      <c r="R273" s="16" t="s">
        <v>580</v>
      </c>
    </row>
    <row r="274" spans="1:18" ht="15.75" x14ac:dyDescent="0.25">
      <c r="A274" s="1">
        <v>273</v>
      </c>
      <c r="B274" s="1" t="s">
        <v>17</v>
      </c>
      <c r="C274" s="1" t="s">
        <v>18</v>
      </c>
      <c r="D274" s="1" t="s">
        <v>19</v>
      </c>
      <c r="E274" s="19" t="s">
        <v>583</v>
      </c>
      <c r="F274" s="19" t="s">
        <v>600</v>
      </c>
      <c r="G274" s="19" t="s">
        <v>581</v>
      </c>
      <c r="H274" s="1" t="s">
        <v>324</v>
      </c>
      <c r="I274" s="1" t="s">
        <v>602</v>
      </c>
      <c r="J274" s="1" t="str">
        <f t="shared" si="51"/>
        <v>19</v>
      </c>
      <c r="K274" s="1" t="str">
        <f t="shared" si="52"/>
        <v>01</v>
      </c>
      <c r="L274" s="1" t="str">
        <f t="shared" si="53"/>
        <v>25</v>
      </c>
      <c r="M274" s="1" t="str">
        <f t="shared" si="54"/>
        <v>87</v>
      </c>
      <c r="N274" s="1" t="str">
        <f t="shared" si="55"/>
        <v>11</v>
      </c>
      <c r="O274" s="1" t="str">
        <f t="shared" si="56"/>
        <v>20</v>
      </c>
      <c r="P274" s="2">
        <f t="shared" si="57"/>
        <v>19.023611111111112</v>
      </c>
      <c r="Q274" s="2">
        <f t="shared" si="58"/>
        <v>-87.188888888888883</v>
      </c>
      <c r="R274" s="16" t="s">
        <v>580</v>
      </c>
    </row>
    <row r="275" spans="1:18" ht="15.75" x14ac:dyDescent="0.25">
      <c r="A275" s="1">
        <v>274</v>
      </c>
      <c r="B275" s="1" t="s">
        <v>17</v>
      </c>
      <c r="C275" s="1" t="s">
        <v>18</v>
      </c>
      <c r="D275" s="1" t="s">
        <v>19</v>
      </c>
      <c r="E275" s="19" t="s">
        <v>584</v>
      </c>
      <c r="F275" s="19" t="s">
        <v>599</v>
      </c>
      <c r="G275" s="19" t="s">
        <v>581</v>
      </c>
      <c r="H275" s="1" t="s">
        <v>324</v>
      </c>
      <c r="I275" s="1" t="s">
        <v>602</v>
      </c>
      <c r="J275" s="1" t="str">
        <f t="shared" si="51"/>
        <v>18</v>
      </c>
      <c r="K275" s="1" t="str">
        <f t="shared" si="52"/>
        <v>57</v>
      </c>
      <c r="L275" s="1" t="str">
        <f t="shared" si="53"/>
        <v>22</v>
      </c>
      <c r="M275" s="1" t="str">
        <f t="shared" si="54"/>
        <v>86</v>
      </c>
      <c r="N275" s="1" t="str">
        <f t="shared" si="55"/>
        <v>57</v>
      </c>
      <c r="O275" s="1" t="str">
        <f t="shared" si="56"/>
        <v>43</v>
      </c>
      <c r="P275" s="2">
        <f t="shared" si="57"/>
        <v>18.95611111111111</v>
      </c>
      <c r="Q275" s="2">
        <f t="shared" si="58"/>
        <v>-86.961944444444441</v>
      </c>
      <c r="R275" s="16" t="s">
        <v>580</v>
      </c>
    </row>
    <row r="276" spans="1:18" ht="15.75" x14ac:dyDescent="0.25">
      <c r="A276" s="1">
        <v>275</v>
      </c>
      <c r="B276" s="1" t="s">
        <v>17</v>
      </c>
      <c r="C276" s="1" t="s">
        <v>18</v>
      </c>
      <c r="D276" s="1" t="s">
        <v>19</v>
      </c>
      <c r="E276" s="19" t="s">
        <v>585</v>
      </c>
      <c r="F276" s="19" t="s">
        <v>598</v>
      </c>
      <c r="G276" s="19" t="s">
        <v>581</v>
      </c>
      <c r="H276" s="1" t="s">
        <v>324</v>
      </c>
      <c r="I276" s="1" t="s">
        <v>602</v>
      </c>
      <c r="J276" s="1" t="str">
        <f t="shared" si="51"/>
        <v>18</v>
      </c>
      <c r="K276" s="1" t="str">
        <f t="shared" si="52"/>
        <v>51</v>
      </c>
      <c r="L276" s="1" t="str">
        <f t="shared" si="53"/>
        <v>45</v>
      </c>
      <c r="M276" s="1" t="str">
        <f t="shared" si="54"/>
        <v>86</v>
      </c>
      <c r="N276" s="1" t="str">
        <f t="shared" si="55"/>
        <v>42</v>
      </c>
      <c r="O276" s="1" t="str">
        <f t="shared" si="56"/>
        <v>33</v>
      </c>
      <c r="P276" s="2">
        <f t="shared" si="57"/>
        <v>18.862500000000001</v>
      </c>
      <c r="Q276" s="2">
        <f t="shared" si="58"/>
        <v>-86.709166666666661</v>
      </c>
      <c r="R276" s="16" t="s">
        <v>580</v>
      </c>
    </row>
    <row r="277" spans="1:18" ht="15.75" x14ac:dyDescent="0.25">
      <c r="A277" s="1">
        <v>276</v>
      </c>
      <c r="B277" s="1" t="s">
        <v>17</v>
      </c>
      <c r="C277" s="1" t="s">
        <v>18</v>
      </c>
      <c r="D277" s="1" t="s">
        <v>19</v>
      </c>
      <c r="E277" s="19" t="s">
        <v>586</v>
      </c>
      <c r="F277" s="19" t="s">
        <v>597</v>
      </c>
      <c r="G277" s="19" t="s">
        <v>581</v>
      </c>
      <c r="H277" s="1" t="s">
        <v>324</v>
      </c>
      <c r="I277" s="1" t="s">
        <v>602</v>
      </c>
      <c r="J277" s="1" t="str">
        <f t="shared" si="51"/>
        <v>19</v>
      </c>
      <c r="K277" s="1" t="str">
        <f t="shared" si="52"/>
        <v>26</v>
      </c>
      <c r="L277" s="1" t="str">
        <f t="shared" si="53"/>
        <v>27</v>
      </c>
      <c r="M277" s="1" t="str">
        <f t="shared" si="54"/>
        <v>87</v>
      </c>
      <c r="N277" s="1" t="str">
        <f t="shared" si="55"/>
        <v>14</v>
      </c>
      <c r="O277" s="1" t="str">
        <f t="shared" si="56"/>
        <v>30</v>
      </c>
      <c r="P277" s="2">
        <f t="shared" si="57"/>
        <v>19.440833333333334</v>
      </c>
      <c r="Q277" s="2">
        <f t="shared" si="58"/>
        <v>-87.24166666666666</v>
      </c>
      <c r="R277" s="16" t="s">
        <v>580</v>
      </c>
    </row>
    <row r="278" spans="1:18" ht="15.75" x14ac:dyDescent="0.25">
      <c r="A278" s="1">
        <v>277</v>
      </c>
      <c r="B278" s="1" t="s">
        <v>17</v>
      </c>
      <c r="C278" s="1" t="s">
        <v>18</v>
      </c>
      <c r="D278" s="1" t="s">
        <v>19</v>
      </c>
      <c r="E278" s="19" t="s">
        <v>587</v>
      </c>
      <c r="F278" s="19" t="s">
        <v>596</v>
      </c>
      <c r="G278" s="19" t="s">
        <v>581</v>
      </c>
      <c r="H278" s="1" t="s">
        <v>324</v>
      </c>
      <c r="I278" s="1" t="s">
        <v>602</v>
      </c>
      <c r="J278" s="1" t="str">
        <f t="shared" si="51"/>
        <v>19</v>
      </c>
      <c r="K278" s="1" t="str">
        <f t="shared" si="52"/>
        <v>24</v>
      </c>
      <c r="L278" s="1" t="str">
        <f t="shared" si="53"/>
        <v>32</v>
      </c>
      <c r="M278" s="1" t="str">
        <f t="shared" si="54"/>
        <v>87</v>
      </c>
      <c r="N278" s="1" t="str">
        <f t="shared" si="55"/>
        <v>02</v>
      </c>
      <c r="O278" s="1" t="str">
        <f t="shared" si="56"/>
        <v>45</v>
      </c>
      <c r="P278" s="2">
        <f t="shared" si="57"/>
        <v>19.408888888888889</v>
      </c>
      <c r="Q278" s="2">
        <f t="shared" si="58"/>
        <v>-87.045833333333334</v>
      </c>
      <c r="R278" s="16" t="s">
        <v>580</v>
      </c>
    </row>
    <row r="279" spans="1:18" ht="15.75" x14ac:dyDescent="0.25">
      <c r="A279" s="1">
        <v>278</v>
      </c>
      <c r="B279" s="1" t="s">
        <v>17</v>
      </c>
      <c r="C279" s="1" t="s">
        <v>18</v>
      </c>
      <c r="D279" s="1" t="s">
        <v>19</v>
      </c>
      <c r="E279" s="19" t="s">
        <v>588</v>
      </c>
      <c r="F279" s="19" t="s">
        <v>595</v>
      </c>
      <c r="G279" s="19" t="s">
        <v>581</v>
      </c>
      <c r="H279" s="1" t="s">
        <v>324</v>
      </c>
      <c r="I279" s="1" t="s">
        <v>602</v>
      </c>
      <c r="J279" s="1" t="str">
        <f t="shared" si="51"/>
        <v>19</v>
      </c>
      <c r="K279" s="1" t="str">
        <f t="shared" si="52"/>
        <v>22</v>
      </c>
      <c r="L279" s="1" t="str">
        <f t="shared" si="53"/>
        <v>01</v>
      </c>
      <c r="M279" s="1" t="str">
        <f t="shared" si="54"/>
        <v>86</v>
      </c>
      <c r="N279" s="1" t="str">
        <f t="shared" si="55"/>
        <v>51</v>
      </c>
      <c r="O279" s="1" t="str">
        <f t="shared" si="56"/>
        <v>20</v>
      </c>
      <c r="P279" s="2">
        <f t="shared" si="57"/>
        <v>19.366944444444446</v>
      </c>
      <c r="Q279" s="2">
        <f t="shared" si="58"/>
        <v>-86.855555555555554</v>
      </c>
      <c r="R279" s="16" t="s">
        <v>580</v>
      </c>
    </row>
    <row r="280" spans="1:18" ht="15.75" x14ac:dyDescent="0.25">
      <c r="A280" s="1">
        <v>279</v>
      </c>
      <c r="B280" s="1" t="s">
        <v>17</v>
      </c>
      <c r="C280" s="1" t="s">
        <v>18</v>
      </c>
      <c r="D280" s="1" t="s">
        <v>19</v>
      </c>
      <c r="E280" s="19" t="s">
        <v>589</v>
      </c>
      <c r="F280" s="19" t="s">
        <v>594</v>
      </c>
      <c r="G280" s="19" t="s">
        <v>581</v>
      </c>
      <c r="H280" s="1" t="s">
        <v>324</v>
      </c>
      <c r="I280" s="1" t="s">
        <v>602</v>
      </c>
      <c r="J280" s="1" t="str">
        <f t="shared" si="51"/>
        <v>19</v>
      </c>
      <c r="K280" s="1" t="str">
        <f t="shared" si="52"/>
        <v>18</v>
      </c>
      <c r="L280" s="1" t="str">
        <f t="shared" si="53"/>
        <v>32</v>
      </c>
      <c r="M280" s="1" t="str">
        <f t="shared" si="54"/>
        <v>86</v>
      </c>
      <c r="N280" s="1" t="str">
        <f t="shared" si="55"/>
        <v>37</v>
      </c>
      <c r="O280" s="1" t="str">
        <f t="shared" si="56"/>
        <v>24</v>
      </c>
      <c r="P280" s="2">
        <f t="shared" si="57"/>
        <v>19.308888888888887</v>
      </c>
      <c r="Q280" s="2">
        <f t="shared" si="58"/>
        <v>-86.623333333333335</v>
      </c>
      <c r="R280" s="16" t="s">
        <v>580</v>
      </c>
    </row>
    <row r="281" spans="1:18" ht="15.75" x14ac:dyDescent="0.25">
      <c r="A281" s="1">
        <v>280</v>
      </c>
      <c r="B281" s="1" t="s">
        <v>17</v>
      </c>
      <c r="C281" s="1" t="s">
        <v>18</v>
      </c>
      <c r="D281" s="1" t="s">
        <v>19</v>
      </c>
      <c r="E281" s="19" t="s">
        <v>590</v>
      </c>
      <c r="F281" s="19" t="s">
        <v>593</v>
      </c>
      <c r="G281" s="19" t="s">
        <v>581</v>
      </c>
      <c r="H281" s="1" t="s">
        <v>324</v>
      </c>
      <c r="I281" s="1" t="s">
        <v>602</v>
      </c>
      <c r="J281" s="1" t="str">
        <f t="shared" si="51"/>
        <v>19</v>
      </c>
      <c r="K281" s="1" t="str">
        <f t="shared" si="52"/>
        <v>14</v>
      </c>
      <c r="L281" s="1" t="str">
        <f t="shared" si="53"/>
        <v>28</v>
      </c>
      <c r="M281" s="1" t="str">
        <f t="shared" si="54"/>
        <v>86</v>
      </c>
      <c r="N281" s="1" t="str">
        <f t="shared" si="55"/>
        <v>25</v>
      </c>
      <c r="O281" s="1" t="str">
        <f t="shared" si="56"/>
        <v>23</v>
      </c>
      <c r="P281" s="2">
        <f t="shared" si="57"/>
        <v>19.24111111111111</v>
      </c>
      <c r="Q281" s="2">
        <f t="shared" si="58"/>
        <v>-86.42305555555555</v>
      </c>
      <c r="R281" s="16" t="s">
        <v>580</v>
      </c>
    </row>
    <row r="282" spans="1:18" ht="15.75" x14ac:dyDescent="0.25">
      <c r="A282" s="1">
        <v>281</v>
      </c>
      <c r="B282" s="1" t="s">
        <v>17</v>
      </c>
      <c r="C282" s="1" t="s">
        <v>18</v>
      </c>
      <c r="D282" s="1" t="s">
        <v>19</v>
      </c>
      <c r="E282" s="19" t="s">
        <v>591</v>
      </c>
      <c r="F282" s="19" t="s">
        <v>592</v>
      </c>
      <c r="G282" s="19" t="s">
        <v>581</v>
      </c>
      <c r="H282" s="1" t="s">
        <v>324</v>
      </c>
      <c r="I282" s="1" t="s">
        <v>602</v>
      </c>
      <c r="J282" s="1" t="str">
        <f t="shared" si="51"/>
        <v>19</v>
      </c>
      <c r="K282" s="1" t="str">
        <f t="shared" si="52"/>
        <v>11</v>
      </c>
      <c r="L282" s="1" t="str">
        <f t="shared" si="53"/>
        <v>54</v>
      </c>
      <c r="M282" s="1" t="str">
        <f t="shared" si="54"/>
        <v>86</v>
      </c>
      <c r="N282" s="1" t="str">
        <f t="shared" si="55"/>
        <v>15</v>
      </c>
      <c r="O282" s="1" t="str">
        <f t="shared" si="56"/>
        <v>33</v>
      </c>
      <c r="P282" s="2">
        <f t="shared" si="57"/>
        <v>19.198333333333334</v>
      </c>
      <c r="Q282" s="2">
        <f t="shared" si="58"/>
        <v>-86.259166666666673</v>
      </c>
      <c r="R282" s="16" t="s">
        <v>580</v>
      </c>
    </row>
    <row r="283" spans="1:18" ht="15.75" x14ac:dyDescent="0.25">
      <c r="A283" s="1">
        <v>282</v>
      </c>
      <c r="B283" s="1" t="s">
        <v>17</v>
      </c>
      <c r="C283" s="1" t="s">
        <v>18</v>
      </c>
      <c r="D283" s="1" t="s">
        <v>19</v>
      </c>
      <c r="E283" s="19" t="s">
        <v>603</v>
      </c>
      <c r="F283" s="19" t="s">
        <v>629</v>
      </c>
      <c r="G283" s="19" t="s">
        <v>581</v>
      </c>
      <c r="H283" s="1" t="s">
        <v>324</v>
      </c>
      <c r="I283" s="1" t="s">
        <v>602</v>
      </c>
      <c r="J283" s="1" t="str">
        <f t="shared" si="51"/>
        <v>19</v>
      </c>
      <c r="K283" s="1" t="str">
        <f t="shared" si="52"/>
        <v>49</v>
      </c>
      <c r="L283" s="1" t="str">
        <f t="shared" si="53"/>
        <v>18</v>
      </c>
      <c r="M283" s="1" t="str">
        <f t="shared" si="54"/>
        <v>87</v>
      </c>
      <c r="N283" s="1" t="str">
        <f t="shared" si="55"/>
        <v>24</v>
      </c>
      <c r="O283" s="1" t="str">
        <f t="shared" si="56"/>
        <v>21</v>
      </c>
      <c r="P283" s="2">
        <f t="shared" si="57"/>
        <v>19.821666666666665</v>
      </c>
      <c r="Q283" s="2">
        <f t="shared" si="58"/>
        <v>-87.405833333333334</v>
      </c>
      <c r="R283" s="16" t="s">
        <v>580</v>
      </c>
    </row>
    <row r="284" spans="1:18" ht="15.75" x14ac:dyDescent="0.25">
      <c r="A284" s="1">
        <v>283</v>
      </c>
      <c r="B284" s="1" t="s">
        <v>17</v>
      </c>
      <c r="C284" s="1" t="s">
        <v>18</v>
      </c>
      <c r="D284" s="1" t="s">
        <v>19</v>
      </c>
      <c r="E284" s="19" t="s">
        <v>604</v>
      </c>
      <c r="F284" s="19" t="s">
        <v>628</v>
      </c>
      <c r="G284" s="19" t="s">
        <v>581</v>
      </c>
      <c r="H284" s="1" t="s">
        <v>324</v>
      </c>
      <c r="I284" s="1" t="s">
        <v>602</v>
      </c>
      <c r="J284" s="1" t="str">
        <f t="shared" si="51"/>
        <v>19</v>
      </c>
      <c r="K284" s="1" t="str">
        <f t="shared" si="52"/>
        <v>45</v>
      </c>
      <c r="L284" s="1" t="str">
        <f t="shared" si="53"/>
        <v>51</v>
      </c>
      <c r="M284" s="1" t="str">
        <f t="shared" si="54"/>
        <v>87</v>
      </c>
      <c r="N284" s="1" t="str">
        <f t="shared" si="55"/>
        <v>12</v>
      </c>
      <c r="O284" s="1" t="str">
        <f t="shared" si="56"/>
        <v>24</v>
      </c>
      <c r="P284" s="2">
        <f t="shared" si="57"/>
        <v>19.764166666666668</v>
      </c>
      <c r="Q284" s="2">
        <f t="shared" si="58"/>
        <v>-87.206666666666663</v>
      </c>
      <c r="R284" s="16" t="s">
        <v>580</v>
      </c>
    </row>
    <row r="285" spans="1:18" ht="15.75" x14ac:dyDescent="0.25">
      <c r="A285" s="1">
        <v>284</v>
      </c>
      <c r="B285" s="1" t="s">
        <v>17</v>
      </c>
      <c r="C285" s="1" t="s">
        <v>18</v>
      </c>
      <c r="D285" s="1" t="s">
        <v>19</v>
      </c>
      <c r="E285" s="19" t="s">
        <v>666</v>
      </c>
      <c r="F285" s="19" t="s">
        <v>627</v>
      </c>
      <c r="G285" s="19" t="s">
        <v>581</v>
      </c>
      <c r="H285" s="1" t="s">
        <v>324</v>
      </c>
      <c r="I285" s="1" t="s">
        <v>602</v>
      </c>
      <c r="J285" s="1" t="str">
        <f t="shared" si="51"/>
        <v>19</v>
      </c>
      <c r="K285" s="1" t="str">
        <f t="shared" si="52"/>
        <v>48</v>
      </c>
      <c r="L285" s="1" t="str">
        <f t="shared" si="53"/>
        <v>21</v>
      </c>
      <c r="M285" s="1" t="str">
        <f t="shared" si="54"/>
        <v>86</v>
      </c>
      <c r="N285" s="1" t="str">
        <f t="shared" si="55"/>
        <v>59</v>
      </c>
      <c r="O285" s="1" t="str">
        <f t="shared" si="56"/>
        <v>06</v>
      </c>
      <c r="P285" s="2">
        <f t="shared" si="57"/>
        <v>19.805833333333332</v>
      </c>
      <c r="Q285" s="2">
        <f t="shared" si="58"/>
        <v>-86.984999999999999</v>
      </c>
      <c r="R285" s="16" t="s">
        <v>580</v>
      </c>
    </row>
    <row r="286" spans="1:18" ht="15.75" x14ac:dyDescent="0.25">
      <c r="A286" s="1">
        <v>285</v>
      </c>
      <c r="B286" s="1" t="s">
        <v>17</v>
      </c>
      <c r="C286" s="1" t="s">
        <v>18</v>
      </c>
      <c r="D286" s="1" t="s">
        <v>19</v>
      </c>
      <c r="E286" s="19" t="s">
        <v>605</v>
      </c>
      <c r="F286" s="19" t="s">
        <v>626</v>
      </c>
      <c r="G286" s="19" t="s">
        <v>581</v>
      </c>
      <c r="H286" s="1" t="s">
        <v>324</v>
      </c>
      <c r="I286" s="1" t="s">
        <v>602</v>
      </c>
      <c r="J286" s="1" t="str">
        <f t="shared" si="51"/>
        <v>19</v>
      </c>
      <c r="K286" s="1" t="str">
        <f t="shared" si="52"/>
        <v>59</v>
      </c>
      <c r="L286" s="1" t="str">
        <f t="shared" si="53"/>
        <v>09</v>
      </c>
      <c r="M286" s="1" t="str">
        <f t="shared" si="54"/>
        <v>87</v>
      </c>
      <c r="N286" s="1" t="str">
        <f t="shared" si="55"/>
        <v>26</v>
      </c>
      <c r="O286" s="1" t="str">
        <f t="shared" si="56"/>
        <v>19</v>
      </c>
      <c r="P286" s="2">
        <f t="shared" si="57"/>
        <v>19.985833333333332</v>
      </c>
      <c r="Q286" s="2">
        <f t="shared" si="58"/>
        <v>-87.438611111111115</v>
      </c>
      <c r="R286" s="16" t="s">
        <v>580</v>
      </c>
    </row>
    <row r="287" spans="1:18" ht="15.75" x14ac:dyDescent="0.25">
      <c r="A287" s="1">
        <v>286</v>
      </c>
      <c r="B287" s="1" t="s">
        <v>17</v>
      </c>
      <c r="C287" s="1" t="s">
        <v>18</v>
      </c>
      <c r="D287" s="1" t="s">
        <v>19</v>
      </c>
      <c r="E287" s="19" t="s">
        <v>606</v>
      </c>
      <c r="F287" s="19" t="s">
        <v>625</v>
      </c>
      <c r="G287" s="19" t="s">
        <v>581</v>
      </c>
      <c r="H287" s="1" t="s">
        <v>324</v>
      </c>
      <c r="I287" s="1" t="s">
        <v>602</v>
      </c>
      <c r="J287" s="1" t="str">
        <f t="shared" si="51"/>
        <v>20</v>
      </c>
      <c r="K287" s="1" t="str">
        <f t="shared" si="52"/>
        <v>00</v>
      </c>
      <c r="L287" s="1" t="str">
        <f t="shared" si="53"/>
        <v>22</v>
      </c>
      <c r="M287" s="1" t="str">
        <f t="shared" si="54"/>
        <v>87</v>
      </c>
      <c r="N287" s="1" t="str">
        <f t="shared" si="55"/>
        <v>13</v>
      </c>
      <c r="O287" s="1" t="str">
        <f t="shared" si="56"/>
        <v>16</v>
      </c>
      <c r="P287" s="2">
        <f t="shared" si="57"/>
        <v>20.00611111111111</v>
      </c>
      <c r="Q287" s="2">
        <f t="shared" si="58"/>
        <v>-87.221111111111114</v>
      </c>
      <c r="R287" s="16" t="s">
        <v>580</v>
      </c>
    </row>
    <row r="288" spans="1:18" ht="15.75" x14ac:dyDescent="0.25">
      <c r="A288" s="1">
        <v>287</v>
      </c>
      <c r="B288" s="1" t="s">
        <v>17</v>
      </c>
      <c r="C288" s="1" t="s">
        <v>18</v>
      </c>
      <c r="D288" s="1" t="s">
        <v>19</v>
      </c>
      <c r="E288" s="19" t="s">
        <v>607</v>
      </c>
      <c r="F288" s="19" t="s">
        <v>624</v>
      </c>
      <c r="G288" s="19" t="s">
        <v>581</v>
      </c>
      <c r="H288" s="1" t="s">
        <v>324</v>
      </c>
      <c r="I288" s="1" t="s">
        <v>602</v>
      </c>
      <c r="J288" s="1" t="str">
        <f t="shared" si="51"/>
        <v>19</v>
      </c>
      <c r="K288" s="1" t="str">
        <f t="shared" si="52"/>
        <v>58</v>
      </c>
      <c r="L288" s="1" t="str">
        <f t="shared" si="53"/>
        <v>01</v>
      </c>
      <c r="M288" s="1" t="str">
        <f t="shared" si="54"/>
        <v>87</v>
      </c>
      <c r="N288" s="1" t="str">
        <f t="shared" si="55"/>
        <v>07</v>
      </c>
      <c r="O288" s="1" t="str">
        <f t="shared" si="56"/>
        <v>18</v>
      </c>
      <c r="P288" s="2">
        <f t="shared" si="57"/>
        <v>19.966944444444444</v>
      </c>
      <c r="Q288" s="2">
        <f t="shared" si="58"/>
        <v>-87.12166666666667</v>
      </c>
      <c r="R288" s="16" t="s">
        <v>580</v>
      </c>
    </row>
    <row r="289" spans="1:18" ht="15.75" x14ac:dyDescent="0.25">
      <c r="A289" s="1">
        <v>288</v>
      </c>
      <c r="B289" s="1" t="s">
        <v>17</v>
      </c>
      <c r="C289" s="1" t="s">
        <v>18</v>
      </c>
      <c r="D289" s="1" t="s">
        <v>19</v>
      </c>
      <c r="E289" s="19" t="s">
        <v>608</v>
      </c>
      <c r="F289" s="19" t="s">
        <v>623</v>
      </c>
      <c r="G289" s="19" t="s">
        <v>581</v>
      </c>
      <c r="H289" s="1" t="s">
        <v>324</v>
      </c>
      <c r="I289" s="1" t="s">
        <v>602</v>
      </c>
      <c r="J289" s="1" t="str">
        <f t="shared" si="51"/>
        <v>20</v>
      </c>
      <c r="K289" s="1" t="str">
        <f t="shared" si="52"/>
        <v>00</v>
      </c>
      <c r="L289" s="1" t="str">
        <f t="shared" si="53"/>
        <v>33</v>
      </c>
      <c r="M289" s="1" t="str">
        <f t="shared" si="54"/>
        <v>86</v>
      </c>
      <c r="N289" s="1" t="str">
        <f t="shared" si="55"/>
        <v>58</v>
      </c>
      <c r="O289" s="1" t="str">
        <f t="shared" si="56"/>
        <v>42</v>
      </c>
      <c r="P289" s="2">
        <f t="shared" si="57"/>
        <v>20.009166666666665</v>
      </c>
      <c r="Q289" s="2">
        <f t="shared" si="58"/>
        <v>-86.978333333333339</v>
      </c>
      <c r="R289" s="16" t="s">
        <v>580</v>
      </c>
    </row>
    <row r="290" spans="1:18" ht="15.75" x14ac:dyDescent="0.25">
      <c r="A290" s="1">
        <v>289</v>
      </c>
      <c r="B290" s="1" t="s">
        <v>17</v>
      </c>
      <c r="C290" s="1" t="s">
        <v>18</v>
      </c>
      <c r="D290" s="1" t="s">
        <v>19</v>
      </c>
      <c r="E290" s="19" t="s">
        <v>609</v>
      </c>
      <c r="F290" s="19" t="s">
        <v>622</v>
      </c>
      <c r="G290" s="19" t="s">
        <v>581</v>
      </c>
      <c r="H290" s="1" t="s">
        <v>324</v>
      </c>
      <c r="I290" s="1" t="s">
        <v>602</v>
      </c>
      <c r="J290" s="1" t="str">
        <f t="shared" si="51"/>
        <v>20</v>
      </c>
      <c r="K290" s="1" t="str">
        <f t="shared" si="52"/>
        <v>02</v>
      </c>
      <c r="L290" s="1" t="str">
        <f t="shared" si="53"/>
        <v>16</v>
      </c>
      <c r="M290" s="1" t="str">
        <f t="shared" si="54"/>
        <v>86</v>
      </c>
      <c r="N290" s="1" t="str">
        <f t="shared" si="55"/>
        <v>41</v>
      </c>
      <c r="O290" s="1" t="str">
        <f t="shared" si="56"/>
        <v>19</v>
      </c>
      <c r="P290" s="2">
        <f t="shared" si="57"/>
        <v>20.037777777777777</v>
      </c>
      <c r="Q290" s="2">
        <f t="shared" si="58"/>
        <v>-86.688611111111115</v>
      </c>
      <c r="R290" s="16" t="s">
        <v>580</v>
      </c>
    </row>
    <row r="291" spans="1:18" ht="15.75" x14ac:dyDescent="0.25">
      <c r="A291" s="1">
        <v>290</v>
      </c>
      <c r="B291" s="1" t="s">
        <v>17</v>
      </c>
      <c r="C291" s="1" t="s">
        <v>18</v>
      </c>
      <c r="D291" s="1" t="s">
        <v>19</v>
      </c>
      <c r="E291" s="19" t="s">
        <v>610</v>
      </c>
      <c r="F291" s="19" t="s">
        <v>621</v>
      </c>
      <c r="G291" s="19" t="s">
        <v>581</v>
      </c>
      <c r="H291" s="1" t="s">
        <v>324</v>
      </c>
      <c r="I291" s="1" t="s">
        <v>602</v>
      </c>
      <c r="J291" s="1" t="str">
        <f t="shared" si="51"/>
        <v>20</v>
      </c>
      <c r="K291" s="1" t="str">
        <f t="shared" si="52"/>
        <v>01</v>
      </c>
      <c r="L291" s="1" t="str">
        <f t="shared" si="53"/>
        <v>15</v>
      </c>
      <c r="M291" s="1" t="str">
        <f t="shared" si="54"/>
        <v>86</v>
      </c>
      <c r="N291" s="1" t="str">
        <f t="shared" si="55"/>
        <v>30</v>
      </c>
      <c r="O291" s="1" t="str">
        <f t="shared" si="56"/>
        <v>41</v>
      </c>
      <c r="P291" s="2">
        <f t="shared" si="57"/>
        <v>20.020833333333332</v>
      </c>
      <c r="Q291" s="2">
        <f t="shared" si="58"/>
        <v>-86.511388888888888</v>
      </c>
      <c r="R291" s="16" t="s">
        <v>580</v>
      </c>
    </row>
    <row r="292" spans="1:18" ht="15.75" x14ac:dyDescent="0.25">
      <c r="A292" s="1">
        <v>291</v>
      </c>
      <c r="B292" s="1" t="s">
        <v>17</v>
      </c>
      <c r="C292" s="1" t="s">
        <v>18</v>
      </c>
      <c r="D292" s="1" t="s">
        <v>19</v>
      </c>
      <c r="E292" s="19" t="s">
        <v>611</v>
      </c>
      <c r="F292" s="19" t="s">
        <v>620</v>
      </c>
      <c r="G292" s="19" t="s">
        <v>581</v>
      </c>
      <c r="H292" s="1" t="s">
        <v>324</v>
      </c>
      <c r="I292" s="1" t="s">
        <v>602</v>
      </c>
      <c r="J292" s="1" t="str">
        <f t="shared" si="51"/>
        <v>20</v>
      </c>
      <c r="K292" s="1" t="str">
        <f t="shared" si="52"/>
        <v>14</v>
      </c>
      <c r="L292" s="1" t="str">
        <f t="shared" si="53"/>
        <v>26</v>
      </c>
      <c r="M292" s="1" t="str">
        <f t="shared" si="54"/>
        <v>87</v>
      </c>
      <c r="N292" s="1" t="str">
        <f t="shared" si="55"/>
        <v>16</v>
      </c>
      <c r="O292" s="1" t="str">
        <f t="shared" si="56"/>
        <v>43</v>
      </c>
      <c r="P292" s="2">
        <f t="shared" si="57"/>
        <v>20.240555555555556</v>
      </c>
      <c r="Q292" s="2">
        <f t="shared" si="58"/>
        <v>-87.278611111111104</v>
      </c>
      <c r="R292" s="16" t="s">
        <v>580</v>
      </c>
    </row>
    <row r="293" spans="1:18" ht="15.75" x14ac:dyDescent="0.25">
      <c r="A293" s="1">
        <v>292</v>
      </c>
      <c r="B293" s="1" t="s">
        <v>17</v>
      </c>
      <c r="C293" s="1" t="s">
        <v>18</v>
      </c>
      <c r="D293" s="1" t="s">
        <v>19</v>
      </c>
      <c r="E293" s="19" t="s">
        <v>612</v>
      </c>
      <c r="F293" s="19" t="s">
        <v>619</v>
      </c>
      <c r="G293" s="19" t="s">
        <v>581</v>
      </c>
      <c r="H293" s="1" t="s">
        <v>324</v>
      </c>
      <c r="I293" s="1" t="s">
        <v>602</v>
      </c>
      <c r="J293" s="1" t="str">
        <f t="shared" si="51"/>
        <v>20</v>
      </c>
      <c r="K293" s="1" t="str">
        <f t="shared" si="52"/>
        <v>13</v>
      </c>
      <c r="L293" s="1" t="str">
        <f t="shared" si="53"/>
        <v>06</v>
      </c>
      <c r="M293" s="1" t="str">
        <f t="shared" si="54"/>
        <v>87</v>
      </c>
      <c r="N293" s="1" t="str">
        <f t="shared" si="55"/>
        <v>08</v>
      </c>
      <c r="O293" s="1" t="str">
        <f t="shared" si="56"/>
        <v>06</v>
      </c>
      <c r="P293" s="2">
        <f t="shared" si="57"/>
        <v>20.218333333333334</v>
      </c>
      <c r="Q293" s="2">
        <f t="shared" si="58"/>
        <v>-87.135000000000005</v>
      </c>
      <c r="R293" s="16" t="s">
        <v>580</v>
      </c>
    </row>
    <row r="294" spans="1:18" ht="15.75" x14ac:dyDescent="0.25">
      <c r="A294" s="1">
        <v>293</v>
      </c>
      <c r="B294" s="1" t="s">
        <v>17</v>
      </c>
      <c r="C294" s="1" t="s">
        <v>18</v>
      </c>
      <c r="D294" s="1" t="s">
        <v>19</v>
      </c>
      <c r="E294" s="19" t="s">
        <v>613</v>
      </c>
      <c r="F294" s="19" t="s">
        <v>618</v>
      </c>
      <c r="G294" s="19" t="s">
        <v>581</v>
      </c>
      <c r="H294" s="1" t="s">
        <v>324</v>
      </c>
      <c r="I294" s="1" t="s">
        <v>602</v>
      </c>
      <c r="J294" s="1" t="str">
        <f t="shared" si="51"/>
        <v>20</v>
      </c>
      <c r="K294" s="1" t="str">
        <f t="shared" si="52"/>
        <v>08</v>
      </c>
      <c r="L294" s="1" t="str">
        <f t="shared" si="53"/>
        <v>38</v>
      </c>
      <c r="M294" s="1" t="str">
        <f t="shared" si="54"/>
        <v>86</v>
      </c>
      <c r="N294" s="1" t="str">
        <f t="shared" si="55"/>
        <v>59</v>
      </c>
      <c r="O294" s="1" t="str">
        <f t="shared" si="56"/>
        <v>43</v>
      </c>
      <c r="P294" s="2">
        <f t="shared" si="57"/>
        <v>20.143888888888888</v>
      </c>
      <c r="Q294" s="2">
        <f t="shared" si="58"/>
        <v>-86.995277777777773</v>
      </c>
      <c r="R294" s="16" t="s">
        <v>580</v>
      </c>
    </row>
    <row r="295" spans="1:18" ht="15.75" x14ac:dyDescent="0.25">
      <c r="A295" s="1">
        <v>294</v>
      </c>
      <c r="B295" s="1" t="s">
        <v>17</v>
      </c>
      <c r="C295" s="1" t="s">
        <v>18</v>
      </c>
      <c r="D295" s="1" t="s">
        <v>19</v>
      </c>
      <c r="E295" s="19" t="s">
        <v>614</v>
      </c>
      <c r="F295" s="19" t="s">
        <v>617</v>
      </c>
      <c r="G295" s="19" t="s">
        <v>581</v>
      </c>
      <c r="H295" s="1" t="s">
        <v>324</v>
      </c>
      <c r="I295" s="1" t="s">
        <v>602</v>
      </c>
      <c r="J295" s="1" t="str">
        <f t="shared" si="51"/>
        <v>20</v>
      </c>
      <c r="K295" s="1" t="str">
        <f t="shared" si="52"/>
        <v>12</v>
      </c>
      <c r="L295" s="1" t="str">
        <f t="shared" si="53"/>
        <v>54</v>
      </c>
      <c r="M295" s="1" t="str">
        <f t="shared" si="54"/>
        <v>86</v>
      </c>
      <c r="N295" s="1" t="str">
        <f t="shared" si="55"/>
        <v>50</v>
      </c>
      <c r="O295" s="1" t="str">
        <f t="shared" si="56"/>
        <v>07</v>
      </c>
      <c r="P295" s="2">
        <f t="shared" si="57"/>
        <v>20.215</v>
      </c>
      <c r="Q295" s="2">
        <f t="shared" si="58"/>
        <v>-86.835277777777776</v>
      </c>
      <c r="R295" s="16" t="s">
        <v>580</v>
      </c>
    </row>
    <row r="296" spans="1:18" ht="15.75" x14ac:dyDescent="0.25">
      <c r="A296" s="1">
        <v>295</v>
      </c>
      <c r="B296" s="1" t="s">
        <v>17</v>
      </c>
      <c r="C296" s="1" t="s">
        <v>18</v>
      </c>
      <c r="D296" s="1" t="s">
        <v>19</v>
      </c>
      <c r="E296" s="19" t="s">
        <v>615</v>
      </c>
      <c r="F296" s="19" t="s">
        <v>616</v>
      </c>
      <c r="G296" s="19" t="s">
        <v>581</v>
      </c>
      <c r="H296" s="1" t="s">
        <v>324</v>
      </c>
      <c r="I296" s="1" t="s">
        <v>602</v>
      </c>
      <c r="J296" s="1" t="str">
        <f t="shared" si="51"/>
        <v>20</v>
      </c>
      <c r="K296" s="1" t="str">
        <f t="shared" si="52"/>
        <v>13</v>
      </c>
      <c r="L296" s="1" t="str">
        <f t="shared" si="53"/>
        <v>16</v>
      </c>
      <c r="M296" s="1" t="str">
        <f t="shared" si="54"/>
        <v>86</v>
      </c>
      <c r="N296" s="1" t="str">
        <f t="shared" si="55"/>
        <v>37</v>
      </c>
      <c r="O296" s="1" t="str">
        <f t="shared" si="56"/>
        <v>47</v>
      </c>
      <c r="P296" s="2">
        <f t="shared" si="57"/>
        <v>20.22111111111111</v>
      </c>
      <c r="Q296" s="2">
        <f t="shared" si="58"/>
        <v>-86.629722222222227</v>
      </c>
      <c r="R296" s="16" t="s">
        <v>580</v>
      </c>
    </row>
    <row r="297" spans="1:18" ht="15.75" x14ac:dyDescent="0.25">
      <c r="A297" s="1">
        <v>296</v>
      </c>
      <c r="B297" s="1" t="s">
        <v>17</v>
      </c>
      <c r="C297" s="1" t="s">
        <v>18</v>
      </c>
      <c r="D297" s="1" t="s">
        <v>19</v>
      </c>
      <c r="E297" s="19" t="s">
        <v>630</v>
      </c>
      <c r="F297" s="19" t="s">
        <v>665</v>
      </c>
      <c r="G297" s="19" t="s">
        <v>581</v>
      </c>
      <c r="H297" s="1" t="s">
        <v>324</v>
      </c>
      <c r="I297" s="1" t="s">
        <v>602</v>
      </c>
      <c r="J297" s="1" t="str">
        <f t="shared" si="51"/>
        <v>20</v>
      </c>
      <c r="K297" s="1" t="str">
        <f t="shared" si="52"/>
        <v>41</v>
      </c>
      <c r="L297" s="1" t="str">
        <f t="shared" si="53"/>
        <v>46</v>
      </c>
      <c r="M297" s="1" t="str">
        <f t="shared" si="54"/>
        <v>86</v>
      </c>
      <c r="N297" s="1" t="str">
        <f t="shared" si="55"/>
        <v>52</v>
      </c>
      <c r="O297" s="1" t="str">
        <f t="shared" si="56"/>
        <v>49</v>
      </c>
      <c r="P297" s="2">
        <f t="shared" si="57"/>
        <v>20.696111111111112</v>
      </c>
      <c r="Q297" s="2">
        <f t="shared" si="58"/>
        <v>-86.880277777777778</v>
      </c>
      <c r="R297" s="16" t="s">
        <v>580</v>
      </c>
    </row>
    <row r="298" spans="1:18" ht="15.75" x14ac:dyDescent="0.25">
      <c r="A298" s="1">
        <v>297</v>
      </c>
      <c r="B298" s="1" t="s">
        <v>17</v>
      </c>
      <c r="C298" s="1" t="s">
        <v>18</v>
      </c>
      <c r="D298" s="1" t="s">
        <v>19</v>
      </c>
      <c r="E298" s="19" t="s">
        <v>631</v>
      </c>
      <c r="F298" s="19" t="s">
        <v>664</v>
      </c>
      <c r="G298" s="19" t="s">
        <v>581</v>
      </c>
      <c r="H298" s="1" t="s">
        <v>324</v>
      </c>
      <c r="I298" s="1" t="s">
        <v>602</v>
      </c>
      <c r="J298" s="1" t="str">
        <f t="shared" si="51"/>
        <v>20</v>
      </c>
      <c r="K298" s="1" t="str">
        <f t="shared" si="52"/>
        <v>32</v>
      </c>
      <c r="L298" s="1" t="str">
        <f t="shared" si="53"/>
        <v>40</v>
      </c>
      <c r="M298" s="1" t="str">
        <f t="shared" si="54"/>
        <v>86</v>
      </c>
      <c r="N298" s="1" t="str">
        <f t="shared" si="55"/>
        <v>29</v>
      </c>
      <c r="O298" s="1" t="str">
        <f t="shared" si="56"/>
        <v>49</v>
      </c>
      <c r="P298" s="2">
        <f t="shared" si="57"/>
        <v>20.544444444444444</v>
      </c>
      <c r="Q298" s="2">
        <f t="shared" si="58"/>
        <v>-86.496944444444438</v>
      </c>
      <c r="R298" s="16" t="s">
        <v>580</v>
      </c>
    </row>
    <row r="299" spans="1:18" ht="15.75" x14ac:dyDescent="0.25">
      <c r="A299" s="1">
        <v>298</v>
      </c>
      <c r="B299" s="1" t="s">
        <v>17</v>
      </c>
      <c r="C299" s="1" t="s">
        <v>18</v>
      </c>
      <c r="D299" s="1" t="s">
        <v>19</v>
      </c>
      <c r="E299" s="19" t="s">
        <v>632</v>
      </c>
      <c r="F299" s="19" t="s">
        <v>663</v>
      </c>
      <c r="G299" s="19" t="s">
        <v>581</v>
      </c>
      <c r="H299" s="1" t="s">
        <v>324</v>
      </c>
      <c r="I299" s="1" t="s">
        <v>602</v>
      </c>
      <c r="J299" s="1" t="str">
        <f t="shared" si="51"/>
        <v>20</v>
      </c>
      <c r="K299" s="1" t="str">
        <f t="shared" si="52"/>
        <v>30</v>
      </c>
      <c r="L299" s="1" t="str">
        <f t="shared" si="53"/>
        <v>05</v>
      </c>
      <c r="M299" s="1" t="str">
        <f t="shared" si="54"/>
        <v>86</v>
      </c>
      <c r="N299" s="1" t="str">
        <f t="shared" si="55"/>
        <v>20</v>
      </c>
      <c r="O299" s="1" t="str">
        <f t="shared" si="56"/>
        <v>32</v>
      </c>
      <c r="P299" s="2">
        <f t="shared" si="57"/>
        <v>20.50138888888889</v>
      </c>
      <c r="Q299" s="2">
        <f t="shared" si="58"/>
        <v>-86.342222222222219</v>
      </c>
      <c r="R299" s="16" t="s">
        <v>580</v>
      </c>
    </row>
    <row r="300" spans="1:18" ht="15.75" x14ac:dyDescent="0.25">
      <c r="A300" s="1">
        <v>299</v>
      </c>
      <c r="B300" s="1" t="s">
        <v>17</v>
      </c>
      <c r="C300" s="1" t="s">
        <v>18</v>
      </c>
      <c r="D300" s="1" t="s">
        <v>19</v>
      </c>
      <c r="E300" s="19" t="s">
        <v>633</v>
      </c>
      <c r="F300" s="19" t="s">
        <v>662</v>
      </c>
      <c r="G300" s="19" t="s">
        <v>581</v>
      </c>
      <c r="H300" s="1" t="s">
        <v>324</v>
      </c>
      <c r="I300" s="1" t="s">
        <v>602</v>
      </c>
      <c r="J300" s="1" t="str">
        <f t="shared" si="51"/>
        <v>20</v>
      </c>
      <c r="K300" s="1" t="str">
        <f t="shared" si="52"/>
        <v>31</v>
      </c>
      <c r="L300" s="1" t="str">
        <f t="shared" si="53"/>
        <v>51</v>
      </c>
      <c r="M300" s="1" t="str">
        <f t="shared" si="54"/>
        <v>85</v>
      </c>
      <c r="N300" s="1" t="str">
        <f t="shared" si="55"/>
        <v>59</v>
      </c>
      <c r="O300" s="1" t="str">
        <f t="shared" si="56"/>
        <v>29</v>
      </c>
      <c r="P300" s="2">
        <f t="shared" si="57"/>
        <v>20.530833333333334</v>
      </c>
      <c r="Q300" s="2">
        <f t="shared" si="58"/>
        <v>-85.991388888888892</v>
      </c>
      <c r="R300" s="16" t="s">
        <v>580</v>
      </c>
    </row>
    <row r="301" spans="1:18" ht="15.75" x14ac:dyDescent="0.25">
      <c r="A301" s="1">
        <v>300</v>
      </c>
      <c r="B301" s="1" t="s">
        <v>17</v>
      </c>
      <c r="C301" s="1" t="s">
        <v>18</v>
      </c>
      <c r="D301" s="1" t="s">
        <v>19</v>
      </c>
      <c r="E301" s="19" t="s">
        <v>634</v>
      </c>
      <c r="F301" s="19" t="s">
        <v>661</v>
      </c>
      <c r="G301" s="19" t="s">
        <v>581</v>
      </c>
      <c r="H301" s="1" t="s">
        <v>324</v>
      </c>
      <c r="I301" s="1" t="s">
        <v>602</v>
      </c>
      <c r="J301" s="1" t="str">
        <f t="shared" si="51"/>
        <v>20</v>
      </c>
      <c r="K301" s="1" t="str">
        <f t="shared" si="52"/>
        <v>47</v>
      </c>
      <c r="L301" s="1" t="str">
        <f t="shared" si="53"/>
        <v>18</v>
      </c>
      <c r="M301" s="1" t="str">
        <f t="shared" si="54"/>
        <v>86</v>
      </c>
      <c r="N301" s="1" t="str">
        <f t="shared" si="55"/>
        <v>45</v>
      </c>
      <c r="O301" s="1" t="str">
        <f t="shared" si="56"/>
        <v>57</v>
      </c>
      <c r="P301" s="2">
        <f t="shared" si="57"/>
        <v>20.788333333333334</v>
      </c>
      <c r="Q301" s="2">
        <f t="shared" si="58"/>
        <v>-86.765833333333333</v>
      </c>
      <c r="R301" s="16" t="s">
        <v>580</v>
      </c>
    </row>
    <row r="302" spans="1:18" ht="15.75" x14ac:dyDescent="0.25">
      <c r="A302" s="1">
        <v>301</v>
      </c>
      <c r="B302" s="1" t="s">
        <v>17</v>
      </c>
      <c r="C302" s="1" t="s">
        <v>18</v>
      </c>
      <c r="D302" s="1" t="s">
        <v>19</v>
      </c>
      <c r="E302" s="19" t="s">
        <v>635</v>
      </c>
      <c r="F302" s="19" t="s">
        <v>660</v>
      </c>
      <c r="G302" s="19" t="s">
        <v>581</v>
      </c>
      <c r="H302" s="1" t="s">
        <v>324</v>
      </c>
      <c r="I302" s="1" t="s">
        <v>602</v>
      </c>
      <c r="J302" s="1" t="str">
        <f t="shared" si="51"/>
        <v>21</v>
      </c>
      <c r="K302" s="1" t="str">
        <f t="shared" si="52"/>
        <v>02</v>
      </c>
      <c r="L302" s="1" t="str">
        <f t="shared" si="53"/>
        <v>26</v>
      </c>
      <c r="M302" s="1" t="str">
        <f t="shared" si="54"/>
        <v>86</v>
      </c>
      <c r="N302" s="1" t="str">
        <f t="shared" si="55"/>
        <v>29</v>
      </c>
      <c r="O302" s="1" t="str">
        <f t="shared" si="56"/>
        <v>47</v>
      </c>
      <c r="P302" s="2">
        <f t="shared" si="57"/>
        <v>21.040555555555557</v>
      </c>
      <c r="Q302" s="2">
        <f t="shared" si="58"/>
        <v>-86.496388888888887</v>
      </c>
      <c r="R302" s="16" t="s">
        <v>580</v>
      </c>
    </row>
    <row r="303" spans="1:18" ht="15.75" x14ac:dyDescent="0.25">
      <c r="A303" s="1">
        <v>302</v>
      </c>
      <c r="B303" s="1" t="s">
        <v>17</v>
      </c>
      <c r="C303" s="1" t="s">
        <v>18</v>
      </c>
      <c r="D303" s="1" t="s">
        <v>19</v>
      </c>
      <c r="E303" s="19" t="s">
        <v>636</v>
      </c>
      <c r="F303" s="19" t="s">
        <v>659</v>
      </c>
      <c r="G303" s="19" t="s">
        <v>581</v>
      </c>
      <c r="H303" s="1" t="s">
        <v>324</v>
      </c>
      <c r="I303" s="1" t="s">
        <v>602</v>
      </c>
      <c r="J303" s="1" t="str">
        <f t="shared" si="51"/>
        <v>20</v>
      </c>
      <c r="K303" s="1" t="str">
        <f t="shared" si="52"/>
        <v>57</v>
      </c>
      <c r="L303" s="1" t="str">
        <f t="shared" si="53"/>
        <v>52</v>
      </c>
      <c r="M303" s="1" t="str">
        <f t="shared" si="54"/>
        <v>86</v>
      </c>
      <c r="N303" s="1" t="str">
        <f t="shared" si="55"/>
        <v>19</v>
      </c>
      <c r="O303" s="1" t="str">
        <f t="shared" si="56"/>
        <v>30</v>
      </c>
      <c r="P303" s="2">
        <f t="shared" si="57"/>
        <v>20.964444444444446</v>
      </c>
      <c r="Q303" s="2">
        <f t="shared" si="58"/>
        <v>-86.325000000000003</v>
      </c>
      <c r="R303" s="16" t="s">
        <v>580</v>
      </c>
    </row>
    <row r="304" spans="1:18" ht="15.75" x14ac:dyDescent="0.25">
      <c r="A304" s="1">
        <v>303</v>
      </c>
      <c r="B304" s="1" t="s">
        <v>17</v>
      </c>
      <c r="C304" s="1" t="s">
        <v>18</v>
      </c>
      <c r="D304" s="1" t="s">
        <v>19</v>
      </c>
      <c r="E304" s="19" t="s">
        <v>637</v>
      </c>
      <c r="F304" s="19" t="s">
        <v>658</v>
      </c>
      <c r="G304" s="19" t="s">
        <v>581</v>
      </c>
      <c r="H304" s="1" t="s">
        <v>324</v>
      </c>
      <c r="I304" s="1" t="s">
        <v>602</v>
      </c>
      <c r="J304" s="1" t="str">
        <f t="shared" si="51"/>
        <v>20</v>
      </c>
      <c r="K304" s="1" t="str">
        <f t="shared" si="52"/>
        <v>52</v>
      </c>
      <c r="L304" s="1" t="str">
        <f t="shared" si="53"/>
        <v>54</v>
      </c>
      <c r="M304" s="1" t="str">
        <f t="shared" si="54"/>
        <v>86</v>
      </c>
      <c r="N304" s="1" t="str">
        <f t="shared" si="55"/>
        <v>08</v>
      </c>
      <c r="O304" s="1" t="str">
        <f t="shared" si="56"/>
        <v>30</v>
      </c>
      <c r="P304" s="2">
        <f t="shared" si="57"/>
        <v>20.881666666666668</v>
      </c>
      <c r="Q304" s="2">
        <f t="shared" si="58"/>
        <v>-86.141666666666666</v>
      </c>
      <c r="R304" s="16" t="s">
        <v>580</v>
      </c>
    </row>
    <row r="305" spans="1:18" ht="15.75" x14ac:dyDescent="0.25">
      <c r="A305" s="1">
        <v>304</v>
      </c>
      <c r="B305" s="1" t="s">
        <v>17</v>
      </c>
      <c r="C305" s="1" t="s">
        <v>18</v>
      </c>
      <c r="D305" s="1" t="s">
        <v>19</v>
      </c>
      <c r="E305" s="19" t="s">
        <v>638</v>
      </c>
      <c r="F305" s="19" t="s">
        <v>657</v>
      </c>
      <c r="G305" s="19" t="s">
        <v>581</v>
      </c>
      <c r="H305" s="1" t="s">
        <v>324</v>
      </c>
      <c r="I305" s="1" t="s">
        <v>602</v>
      </c>
      <c r="J305" s="1" t="str">
        <f t="shared" si="51"/>
        <v>20</v>
      </c>
      <c r="K305" s="1" t="str">
        <f t="shared" si="52"/>
        <v>50</v>
      </c>
      <c r="L305" s="1" t="str">
        <f t="shared" si="53"/>
        <v>55</v>
      </c>
      <c r="M305" s="1" t="str">
        <f t="shared" si="54"/>
        <v>85</v>
      </c>
      <c r="N305" s="1" t="str">
        <f t="shared" si="55"/>
        <v>53</v>
      </c>
      <c r="O305" s="1" t="str">
        <f t="shared" si="56"/>
        <v>52</v>
      </c>
      <c r="P305" s="2">
        <f t="shared" si="57"/>
        <v>20.848611111111111</v>
      </c>
      <c r="Q305" s="2">
        <f t="shared" si="58"/>
        <v>-85.897777777777776</v>
      </c>
      <c r="R305" s="16" t="s">
        <v>580</v>
      </c>
    </row>
    <row r="306" spans="1:18" ht="15.75" x14ac:dyDescent="0.25">
      <c r="A306" s="1">
        <v>305</v>
      </c>
      <c r="B306" s="1" t="s">
        <v>17</v>
      </c>
      <c r="C306" s="1" t="s">
        <v>18</v>
      </c>
      <c r="D306" s="1" t="s">
        <v>19</v>
      </c>
      <c r="E306" s="19" t="s">
        <v>639</v>
      </c>
      <c r="F306" s="19" t="s">
        <v>656</v>
      </c>
      <c r="G306" s="19" t="s">
        <v>581</v>
      </c>
      <c r="H306" s="1" t="s">
        <v>324</v>
      </c>
      <c r="I306" s="1" t="s">
        <v>602</v>
      </c>
      <c r="J306" s="1" t="str">
        <f t="shared" si="51"/>
        <v>20</v>
      </c>
      <c r="K306" s="1" t="str">
        <f t="shared" si="52"/>
        <v>47</v>
      </c>
      <c r="L306" s="1" t="str">
        <f t="shared" si="53"/>
        <v>16</v>
      </c>
      <c r="M306" s="1" t="str">
        <f t="shared" si="54"/>
        <v>85</v>
      </c>
      <c r="N306" s="1" t="str">
        <f t="shared" si="55"/>
        <v>46</v>
      </c>
      <c r="O306" s="1" t="str">
        <f t="shared" si="56"/>
        <v>28</v>
      </c>
      <c r="P306" s="2">
        <f t="shared" si="57"/>
        <v>20.787777777777777</v>
      </c>
      <c r="Q306" s="2">
        <f t="shared" si="58"/>
        <v>-85.774444444444441</v>
      </c>
      <c r="R306" s="16" t="s">
        <v>580</v>
      </c>
    </row>
    <row r="307" spans="1:18" ht="15.75" x14ac:dyDescent="0.25">
      <c r="A307" s="1">
        <v>306</v>
      </c>
      <c r="B307" s="1" t="s">
        <v>17</v>
      </c>
      <c r="C307" s="1" t="s">
        <v>18</v>
      </c>
      <c r="D307" s="1" t="s">
        <v>19</v>
      </c>
      <c r="E307" s="19" t="s">
        <v>640</v>
      </c>
      <c r="F307" s="19" t="s">
        <v>655</v>
      </c>
      <c r="G307" s="19" t="s">
        <v>581</v>
      </c>
      <c r="H307" s="1" t="s">
        <v>324</v>
      </c>
      <c r="I307" s="1" t="s">
        <v>602</v>
      </c>
      <c r="J307" s="1" t="str">
        <f t="shared" si="51"/>
        <v>21</v>
      </c>
      <c r="K307" s="1" t="str">
        <f t="shared" si="52"/>
        <v>15</v>
      </c>
      <c r="L307" s="1" t="str">
        <f t="shared" si="53"/>
        <v>14</v>
      </c>
      <c r="M307" s="1" t="str">
        <f t="shared" si="54"/>
        <v>86</v>
      </c>
      <c r="N307" s="1" t="str">
        <f t="shared" si="55"/>
        <v>29</v>
      </c>
      <c r="O307" s="1" t="str">
        <f t="shared" si="56"/>
        <v>13</v>
      </c>
      <c r="P307" s="2">
        <f t="shared" si="57"/>
        <v>21.253888888888888</v>
      </c>
      <c r="Q307" s="2">
        <f t="shared" si="58"/>
        <v>-86.486944444444447</v>
      </c>
      <c r="R307" s="16" t="s">
        <v>580</v>
      </c>
    </row>
    <row r="308" spans="1:18" ht="15.75" x14ac:dyDescent="0.25">
      <c r="A308" s="1">
        <v>307</v>
      </c>
      <c r="B308" s="1" t="s">
        <v>17</v>
      </c>
      <c r="C308" s="1" t="s">
        <v>18</v>
      </c>
      <c r="D308" s="1" t="s">
        <v>19</v>
      </c>
      <c r="E308" s="19" t="s">
        <v>641</v>
      </c>
      <c r="F308" s="19" t="s">
        <v>654</v>
      </c>
      <c r="G308" s="19" t="s">
        <v>581</v>
      </c>
      <c r="H308" s="1" t="s">
        <v>324</v>
      </c>
      <c r="I308" s="1" t="s">
        <v>602</v>
      </c>
      <c r="J308" s="1" t="str">
        <f t="shared" si="51"/>
        <v>21</v>
      </c>
      <c r="K308" s="1" t="str">
        <f t="shared" si="52"/>
        <v>12</v>
      </c>
      <c r="L308" s="1" t="str">
        <f t="shared" si="53"/>
        <v>57</v>
      </c>
      <c r="M308" s="1" t="str">
        <f t="shared" si="54"/>
        <v>86</v>
      </c>
      <c r="N308" s="1" t="str">
        <f t="shared" si="55"/>
        <v>16</v>
      </c>
      <c r="O308" s="1" t="str">
        <f t="shared" si="56"/>
        <v>38</v>
      </c>
      <c r="P308" s="2">
        <f t="shared" si="57"/>
        <v>21.215833333333332</v>
      </c>
      <c r="Q308" s="2">
        <f t="shared" si="58"/>
        <v>-86.277222222222221</v>
      </c>
      <c r="R308" s="16" t="s">
        <v>580</v>
      </c>
    </row>
    <row r="309" spans="1:18" ht="15.75" x14ac:dyDescent="0.25">
      <c r="A309" s="1">
        <v>308</v>
      </c>
      <c r="B309" s="1" t="s">
        <v>17</v>
      </c>
      <c r="C309" s="1" t="s">
        <v>18</v>
      </c>
      <c r="D309" s="1" t="s">
        <v>19</v>
      </c>
      <c r="E309" s="19" t="s">
        <v>642</v>
      </c>
      <c r="F309" s="19" t="s">
        <v>653</v>
      </c>
      <c r="G309" s="19" t="s">
        <v>581</v>
      </c>
      <c r="H309" s="1" t="s">
        <v>324</v>
      </c>
      <c r="I309" s="1" t="s">
        <v>602</v>
      </c>
      <c r="J309" s="1" t="str">
        <f t="shared" si="51"/>
        <v>21</v>
      </c>
      <c r="K309" s="1" t="str">
        <f t="shared" si="52"/>
        <v>09</v>
      </c>
      <c r="L309" s="1" t="str">
        <f t="shared" si="53"/>
        <v>28</v>
      </c>
      <c r="M309" s="1" t="str">
        <f t="shared" si="54"/>
        <v>86</v>
      </c>
      <c r="N309" s="1" t="str">
        <f t="shared" si="55"/>
        <v>06</v>
      </c>
      <c r="O309" s="1" t="str">
        <f t="shared" si="56"/>
        <v>54</v>
      </c>
      <c r="P309" s="2">
        <f t="shared" si="57"/>
        <v>21.157777777777778</v>
      </c>
      <c r="Q309" s="2">
        <f t="shared" si="58"/>
        <v>-86.114999999999995</v>
      </c>
      <c r="R309" s="16" t="s">
        <v>580</v>
      </c>
    </row>
    <row r="310" spans="1:18" ht="15.75" x14ac:dyDescent="0.25">
      <c r="A310" s="1">
        <v>309</v>
      </c>
      <c r="B310" s="1" t="s">
        <v>17</v>
      </c>
      <c r="C310" s="1" t="s">
        <v>18</v>
      </c>
      <c r="D310" s="1" t="s">
        <v>19</v>
      </c>
      <c r="E310" s="19" t="s">
        <v>643</v>
      </c>
      <c r="F310" s="19" t="s">
        <v>652</v>
      </c>
      <c r="G310" s="19" t="s">
        <v>581</v>
      </c>
      <c r="H310" s="1" t="s">
        <v>324</v>
      </c>
      <c r="I310" s="1" t="s">
        <v>602</v>
      </c>
      <c r="J310" s="1" t="str">
        <f t="shared" si="51"/>
        <v>21</v>
      </c>
      <c r="K310" s="1" t="str">
        <f t="shared" si="52"/>
        <v>05</v>
      </c>
      <c r="L310" s="1" t="str">
        <f t="shared" si="53"/>
        <v>58</v>
      </c>
      <c r="M310" s="1" t="str">
        <f t="shared" si="54"/>
        <v>85</v>
      </c>
      <c r="N310" s="1" t="str">
        <f t="shared" si="55"/>
        <v>45</v>
      </c>
      <c r="O310" s="1" t="str">
        <f t="shared" si="56"/>
        <v>38</v>
      </c>
      <c r="P310" s="2">
        <f t="shared" si="57"/>
        <v>21.099444444444444</v>
      </c>
      <c r="Q310" s="2">
        <f t="shared" si="58"/>
        <v>-85.760555555555555</v>
      </c>
      <c r="R310" s="16" t="s">
        <v>580</v>
      </c>
    </row>
    <row r="311" spans="1:18" ht="15.75" x14ac:dyDescent="0.25">
      <c r="A311" s="1">
        <v>310</v>
      </c>
      <c r="B311" s="1" t="s">
        <v>17</v>
      </c>
      <c r="C311" s="1" t="s">
        <v>18</v>
      </c>
      <c r="D311" s="1" t="s">
        <v>19</v>
      </c>
      <c r="E311" s="19" t="s">
        <v>644</v>
      </c>
      <c r="F311" s="19" t="s">
        <v>651</v>
      </c>
      <c r="G311" s="19" t="s">
        <v>581</v>
      </c>
      <c r="H311" s="1" t="s">
        <v>324</v>
      </c>
      <c r="I311" s="1" t="s">
        <v>602</v>
      </c>
      <c r="J311" s="1" t="str">
        <f t="shared" si="51"/>
        <v>21</v>
      </c>
      <c r="K311" s="1" t="str">
        <f t="shared" si="52"/>
        <v>36</v>
      </c>
      <c r="L311" s="1" t="str">
        <f t="shared" si="53"/>
        <v>50</v>
      </c>
      <c r="M311" s="1" t="str">
        <f t="shared" si="54"/>
        <v>86</v>
      </c>
      <c r="N311" s="1" t="str">
        <f t="shared" si="55"/>
        <v>17</v>
      </c>
      <c r="O311" s="1" t="str">
        <f t="shared" si="56"/>
        <v>07</v>
      </c>
      <c r="P311" s="2">
        <f t="shared" si="57"/>
        <v>21.613888888888887</v>
      </c>
      <c r="Q311" s="2">
        <f t="shared" si="58"/>
        <v>-86.285277777777779</v>
      </c>
      <c r="R311" s="16" t="s">
        <v>580</v>
      </c>
    </row>
    <row r="312" spans="1:18" ht="15.75" x14ac:dyDescent="0.25">
      <c r="A312" s="1">
        <v>311</v>
      </c>
      <c r="B312" s="1" t="s">
        <v>17</v>
      </c>
      <c r="C312" s="1" t="s">
        <v>18</v>
      </c>
      <c r="D312" s="1" t="s">
        <v>19</v>
      </c>
      <c r="E312" s="19" t="s">
        <v>645</v>
      </c>
      <c r="F312" s="19" t="s">
        <v>650</v>
      </c>
      <c r="G312" s="19" t="s">
        <v>581</v>
      </c>
      <c r="H312" s="1" t="s">
        <v>324</v>
      </c>
      <c r="I312" s="1" t="s">
        <v>602</v>
      </c>
      <c r="J312" s="1" t="str">
        <f t="shared" si="51"/>
        <v>21</v>
      </c>
      <c r="K312" s="1" t="str">
        <f t="shared" si="52"/>
        <v>35</v>
      </c>
      <c r="L312" s="1" t="str">
        <f t="shared" si="53"/>
        <v>49</v>
      </c>
      <c r="M312" s="1" t="str">
        <f t="shared" si="54"/>
        <v>86</v>
      </c>
      <c r="N312" s="1" t="str">
        <f t="shared" si="55"/>
        <v>07</v>
      </c>
      <c r="O312" s="1" t="str">
        <f t="shared" si="56"/>
        <v>40</v>
      </c>
      <c r="P312" s="2">
        <f t="shared" si="57"/>
        <v>21.596944444444446</v>
      </c>
      <c r="Q312" s="2">
        <f t="shared" si="58"/>
        <v>-86.12777777777778</v>
      </c>
      <c r="R312" s="16" t="s">
        <v>580</v>
      </c>
    </row>
    <row r="313" spans="1:18" ht="15.75" x14ac:dyDescent="0.25">
      <c r="A313" s="1">
        <v>312</v>
      </c>
      <c r="B313" s="1" t="s">
        <v>17</v>
      </c>
      <c r="C313" s="1" t="s">
        <v>18</v>
      </c>
      <c r="D313" s="1" t="s">
        <v>19</v>
      </c>
      <c r="E313" s="19" t="s">
        <v>646</v>
      </c>
      <c r="F313" s="19" t="s">
        <v>649</v>
      </c>
      <c r="G313" s="19" t="s">
        <v>581</v>
      </c>
      <c r="H313" s="1" t="s">
        <v>324</v>
      </c>
      <c r="I313" s="1" t="s">
        <v>602</v>
      </c>
      <c r="J313" s="1" t="str">
        <f t="shared" si="51"/>
        <v>21</v>
      </c>
      <c r="K313" s="1" t="str">
        <f t="shared" si="52"/>
        <v>34</v>
      </c>
      <c r="L313" s="1" t="str">
        <f t="shared" si="53"/>
        <v>51</v>
      </c>
      <c r="M313" s="1" t="str">
        <f t="shared" si="54"/>
        <v>85</v>
      </c>
      <c r="N313" s="1" t="str">
        <f t="shared" si="55"/>
        <v>59</v>
      </c>
      <c r="O313" s="1" t="str">
        <f t="shared" si="56"/>
        <v>26</v>
      </c>
      <c r="P313" s="2">
        <f t="shared" si="57"/>
        <v>21.580833333333334</v>
      </c>
      <c r="Q313" s="2">
        <f t="shared" si="58"/>
        <v>-85.990555555555559</v>
      </c>
      <c r="R313" s="16" t="s">
        <v>580</v>
      </c>
    </row>
    <row r="314" spans="1:18" ht="15.75" x14ac:dyDescent="0.25">
      <c r="A314" s="1">
        <v>313</v>
      </c>
      <c r="B314" s="1" t="s">
        <v>17</v>
      </c>
      <c r="C314" s="1" t="s">
        <v>18</v>
      </c>
      <c r="D314" s="1" t="s">
        <v>19</v>
      </c>
      <c r="E314" s="19" t="s">
        <v>647</v>
      </c>
      <c r="F314" s="19" t="s">
        <v>648</v>
      </c>
      <c r="G314" s="19" t="s">
        <v>581</v>
      </c>
      <c r="H314" s="1" t="s">
        <v>324</v>
      </c>
      <c r="I314" s="1" t="s">
        <v>602</v>
      </c>
      <c r="J314" s="1" t="str">
        <f t="shared" si="51"/>
        <v>21</v>
      </c>
      <c r="K314" s="1" t="str">
        <f t="shared" si="52"/>
        <v>29</v>
      </c>
      <c r="L314" s="1" t="str">
        <f t="shared" si="53"/>
        <v>14</v>
      </c>
      <c r="M314" s="1" t="str">
        <f t="shared" si="54"/>
        <v>85</v>
      </c>
      <c r="N314" s="1" t="str">
        <f t="shared" si="55"/>
        <v>31</v>
      </c>
      <c r="O314" s="1" t="str">
        <f t="shared" si="56"/>
        <v>58</v>
      </c>
      <c r="P314" s="2">
        <f t="shared" si="57"/>
        <v>21.487222222222222</v>
      </c>
      <c r="Q314" s="2">
        <f t="shared" si="58"/>
        <v>-85.532777777777781</v>
      </c>
      <c r="R314" s="16" t="s">
        <v>580</v>
      </c>
    </row>
    <row r="315" spans="1:18" ht="15.75" x14ac:dyDescent="0.25">
      <c r="A315" s="1">
        <v>314</v>
      </c>
      <c r="B315" s="1" t="s">
        <v>17</v>
      </c>
      <c r="C315" s="1" t="s">
        <v>18</v>
      </c>
      <c r="D315" s="1" t="s">
        <v>19</v>
      </c>
      <c r="E315" s="19" t="s">
        <v>678</v>
      </c>
      <c r="F315" s="19" t="s">
        <v>679</v>
      </c>
      <c r="G315" s="19" t="s">
        <v>667</v>
      </c>
      <c r="H315" s="1" t="s">
        <v>324</v>
      </c>
      <c r="I315" s="1" t="s">
        <v>668</v>
      </c>
      <c r="J315" s="1" t="str">
        <f t="shared" ref="J315:J378" si="59">MID(E315,1,FIND("°",E315,1)-1)</f>
        <v>12</v>
      </c>
      <c r="K315" s="1" t="str">
        <f t="shared" ref="K315:K378" si="60">MID(E315,FIND("°",E315,1)+1,(FIND("′",E315,1)-FIND("°",E315,1))-1)</f>
        <v>24</v>
      </c>
      <c r="L315" s="1" t="str">
        <f t="shared" ref="L315:L378" si="61">MID(E315,FIND("′",E315,1)+1,(FIND("″",E315,1)-FIND("′",E315,1))-1)</f>
        <v>56</v>
      </c>
      <c r="M315" s="1" t="str">
        <f t="shared" ref="M315:M378" si="62">MID(F315,1,FIND("°",F315,1)-1)</f>
        <v>81</v>
      </c>
      <c r="N315" s="1" t="str">
        <f t="shared" ref="N315:N378" si="63">MID(F315,FIND("°",F315,1)+1,(FIND("′",F315,1)-FIND("°",F315,1))-1)</f>
        <v>28</v>
      </c>
      <c r="O315" s="1" t="str">
        <f t="shared" ref="O315:O378" si="64">MID(F315,FIND("′",F315,1)+1,(FIND("″",F315,1)-FIND("′",F315,1))-1)</f>
        <v>28</v>
      </c>
      <c r="P315" s="2">
        <f t="shared" ref="P315:P378" si="65">((((L315/60)+K315)/60)+J315)*IF(C315="S",-1, 1)</f>
        <v>12.415555555555555</v>
      </c>
      <c r="Q315" s="2">
        <f t="shared" ref="Q315:Q323" si="66">((((O315/60)+N315)/60)+M315)*IF(D316="W",-1, 1)</f>
        <v>-81.474444444444444</v>
      </c>
      <c r="R315" s="16" t="s">
        <v>677</v>
      </c>
    </row>
    <row r="316" spans="1:18" ht="15.75" x14ac:dyDescent="0.25">
      <c r="A316" s="1">
        <v>315</v>
      </c>
      <c r="B316" s="1" t="s">
        <v>17</v>
      </c>
      <c r="C316" s="1" t="s">
        <v>18</v>
      </c>
      <c r="D316" s="1" t="s">
        <v>19</v>
      </c>
      <c r="E316" s="19" t="s">
        <v>695</v>
      </c>
      <c r="F316" s="19" t="s">
        <v>680</v>
      </c>
      <c r="G316" s="19" t="s">
        <v>667</v>
      </c>
      <c r="H316" s="1" t="s">
        <v>324</v>
      </c>
      <c r="I316" s="1" t="s">
        <v>669</v>
      </c>
      <c r="J316" s="1" t="str">
        <f t="shared" si="59"/>
        <v>15</v>
      </c>
      <c r="K316" s="1" t="str">
        <f t="shared" si="60"/>
        <v>51</v>
      </c>
      <c r="L316" s="1" t="str">
        <f t="shared" si="61"/>
        <v>53</v>
      </c>
      <c r="M316" s="1" t="str">
        <f t="shared" si="62"/>
        <v>79</v>
      </c>
      <c r="N316" s="1" t="str">
        <f t="shared" si="63"/>
        <v>52</v>
      </c>
      <c r="O316" s="1" t="str">
        <f t="shared" si="64"/>
        <v>54</v>
      </c>
      <c r="P316" s="2">
        <f t="shared" si="65"/>
        <v>15.864722222222222</v>
      </c>
      <c r="Q316" s="2">
        <f t="shared" si="66"/>
        <v>-79.881666666666661</v>
      </c>
      <c r="R316" s="16" t="s">
        <v>677</v>
      </c>
    </row>
    <row r="317" spans="1:18" ht="15.75" x14ac:dyDescent="0.25">
      <c r="A317" s="1">
        <v>316</v>
      </c>
      <c r="B317" s="1" t="s">
        <v>17</v>
      </c>
      <c r="C317" s="1" t="s">
        <v>18</v>
      </c>
      <c r="D317" s="1" t="s">
        <v>19</v>
      </c>
      <c r="E317" s="19" t="s">
        <v>694</v>
      </c>
      <c r="F317" s="19" t="s">
        <v>681</v>
      </c>
      <c r="G317" s="19" t="s">
        <v>667</v>
      </c>
      <c r="H317" s="1" t="s">
        <v>324</v>
      </c>
      <c r="I317" s="19" t="s">
        <v>671</v>
      </c>
      <c r="J317" s="1" t="str">
        <f t="shared" si="59"/>
        <v>16</v>
      </c>
      <c r="K317" s="1" t="str">
        <f t="shared" si="60"/>
        <v>04</v>
      </c>
      <c r="L317" s="1" t="str">
        <f t="shared" si="61"/>
        <v>56</v>
      </c>
      <c r="M317" s="1" t="str">
        <f t="shared" si="62"/>
        <v>79</v>
      </c>
      <c r="N317" s="1" t="str">
        <f t="shared" si="63"/>
        <v>22</v>
      </c>
      <c r="O317" s="1" t="str">
        <f t="shared" si="64"/>
        <v>00</v>
      </c>
      <c r="P317" s="2">
        <f t="shared" si="65"/>
        <v>16.082222222222221</v>
      </c>
      <c r="Q317" s="2">
        <f t="shared" si="66"/>
        <v>-79.36666666666666</v>
      </c>
      <c r="R317" s="16" t="s">
        <v>677</v>
      </c>
    </row>
    <row r="318" spans="1:18" ht="15.75" x14ac:dyDescent="0.25">
      <c r="A318" s="1">
        <v>317</v>
      </c>
      <c r="B318" s="1" t="s">
        <v>17</v>
      </c>
      <c r="C318" s="1" t="s">
        <v>18</v>
      </c>
      <c r="D318" s="1" t="s">
        <v>19</v>
      </c>
      <c r="E318" s="19" t="s">
        <v>693</v>
      </c>
      <c r="F318" s="19" t="s">
        <v>682</v>
      </c>
      <c r="G318" s="19" t="s">
        <v>667</v>
      </c>
      <c r="H318" s="1" t="s">
        <v>324</v>
      </c>
      <c r="I318" s="19" t="s">
        <v>672</v>
      </c>
      <c r="J318" s="1" t="str">
        <f t="shared" si="59"/>
        <v>15</v>
      </c>
      <c r="K318" s="1" t="str">
        <f t="shared" si="60"/>
        <v>52</v>
      </c>
      <c r="L318" s="1" t="str">
        <f t="shared" si="61"/>
        <v>08</v>
      </c>
      <c r="M318" s="1" t="str">
        <f t="shared" si="62"/>
        <v>78</v>
      </c>
      <c r="N318" s="1" t="str">
        <f t="shared" si="63"/>
        <v>40</v>
      </c>
      <c r="O318" s="1" t="str">
        <f t="shared" si="64"/>
        <v>01</v>
      </c>
      <c r="P318" s="2">
        <f t="shared" si="65"/>
        <v>15.86888888888889</v>
      </c>
      <c r="Q318" s="2">
        <f t="shared" si="66"/>
        <v>-78.666944444444439</v>
      </c>
      <c r="R318" s="16" t="s">
        <v>677</v>
      </c>
    </row>
    <row r="319" spans="1:18" ht="15.75" x14ac:dyDescent="0.25">
      <c r="A319" s="1">
        <v>318</v>
      </c>
      <c r="B319" s="1" t="s">
        <v>17</v>
      </c>
      <c r="C319" s="1" t="s">
        <v>18</v>
      </c>
      <c r="D319" s="1" t="s">
        <v>19</v>
      </c>
      <c r="E319" s="19" t="s">
        <v>692</v>
      </c>
      <c r="F319" s="19" t="s">
        <v>683</v>
      </c>
      <c r="G319" s="19" t="s">
        <v>667</v>
      </c>
      <c r="H319" s="1" t="s">
        <v>324</v>
      </c>
      <c r="I319" s="19" t="s">
        <v>670</v>
      </c>
      <c r="J319" s="1" t="str">
        <f t="shared" si="59"/>
        <v>14</v>
      </c>
      <c r="K319" s="1" t="str">
        <f t="shared" si="60"/>
        <v>23</v>
      </c>
      <c r="L319" s="1" t="str">
        <f t="shared" si="61"/>
        <v>58</v>
      </c>
      <c r="M319" s="1" t="str">
        <f t="shared" si="62"/>
        <v>80</v>
      </c>
      <c r="N319" s="1" t="str">
        <f t="shared" si="63"/>
        <v>16</v>
      </c>
      <c r="O319" s="1" t="str">
        <f t="shared" si="64"/>
        <v>00</v>
      </c>
      <c r="P319" s="2">
        <f t="shared" si="65"/>
        <v>14.399444444444445</v>
      </c>
      <c r="Q319" s="2">
        <f t="shared" si="66"/>
        <v>-80.266666666666666</v>
      </c>
      <c r="R319" s="16" t="s">
        <v>677</v>
      </c>
    </row>
    <row r="320" spans="1:18" ht="15.75" x14ac:dyDescent="0.25">
      <c r="A320" s="1">
        <v>319</v>
      </c>
      <c r="B320" s="1" t="s">
        <v>17</v>
      </c>
      <c r="C320" s="1" t="s">
        <v>18</v>
      </c>
      <c r="D320" s="1" t="s">
        <v>19</v>
      </c>
      <c r="E320" s="19" t="s">
        <v>691</v>
      </c>
      <c r="F320" s="19" t="s">
        <v>684</v>
      </c>
      <c r="G320" s="19" t="s">
        <v>667</v>
      </c>
      <c r="H320" s="1" t="s">
        <v>324</v>
      </c>
      <c r="I320" s="19" t="s">
        <v>673</v>
      </c>
      <c r="J320" s="1" t="str">
        <f t="shared" si="59"/>
        <v>13</v>
      </c>
      <c r="K320" s="1" t="str">
        <f t="shared" si="60"/>
        <v>33</v>
      </c>
      <c r="L320" s="1" t="str">
        <f t="shared" si="61"/>
        <v>57</v>
      </c>
      <c r="M320" s="1" t="str">
        <f t="shared" si="62"/>
        <v>80</v>
      </c>
      <c r="N320" s="1" t="str">
        <f t="shared" si="63"/>
        <v>03</v>
      </c>
      <c r="O320" s="1" t="str">
        <f t="shared" si="64"/>
        <v>60</v>
      </c>
      <c r="P320" s="2">
        <f t="shared" si="65"/>
        <v>13.565833333333334</v>
      </c>
      <c r="Q320" s="2">
        <f t="shared" si="66"/>
        <v>-80.066666666666663</v>
      </c>
      <c r="R320" s="16" t="s">
        <v>677</v>
      </c>
    </row>
    <row r="321" spans="1:18" ht="15.75" x14ac:dyDescent="0.25">
      <c r="A321" s="1">
        <v>320</v>
      </c>
      <c r="B321" s="1" t="s">
        <v>17</v>
      </c>
      <c r="C321" s="1" t="s">
        <v>18</v>
      </c>
      <c r="D321" s="1" t="s">
        <v>19</v>
      </c>
      <c r="E321" s="19" t="s">
        <v>690</v>
      </c>
      <c r="F321" s="19" t="s">
        <v>685</v>
      </c>
      <c r="G321" s="19" t="s">
        <v>667</v>
      </c>
      <c r="H321" s="1" t="s">
        <v>324</v>
      </c>
      <c r="I321" s="1" t="s">
        <v>674</v>
      </c>
      <c r="J321" s="1" t="str">
        <f t="shared" si="59"/>
        <v>13</v>
      </c>
      <c r="K321" s="1" t="str">
        <f t="shared" si="60"/>
        <v>23</v>
      </c>
      <c r="L321" s="1" t="str">
        <f t="shared" si="61"/>
        <v>16</v>
      </c>
      <c r="M321" s="1" t="str">
        <f t="shared" si="62"/>
        <v>81</v>
      </c>
      <c r="N321" s="1" t="str">
        <f t="shared" si="63"/>
        <v>21</v>
      </c>
      <c r="O321" s="1" t="str">
        <f t="shared" si="64"/>
        <v>13</v>
      </c>
      <c r="P321" s="2">
        <f t="shared" si="65"/>
        <v>13.387777777777778</v>
      </c>
      <c r="Q321" s="2">
        <f t="shared" si="66"/>
        <v>-81.353611111111107</v>
      </c>
      <c r="R321" s="16" t="s">
        <v>677</v>
      </c>
    </row>
    <row r="322" spans="1:18" ht="15.75" x14ac:dyDescent="0.25">
      <c r="A322" s="1">
        <v>321</v>
      </c>
      <c r="B322" s="1" t="s">
        <v>17</v>
      </c>
      <c r="C322" s="1" t="s">
        <v>18</v>
      </c>
      <c r="D322" s="1" t="s">
        <v>19</v>
      </c>
      <c r="E322" s="19" t="s">
        <v>689</v>
      </c>
      <c r="F322" s="19" t="s">
        <v>686</v>
      </c>
      <c r="G322" s="19" t="s">
        <v>667</v>
      </c>
      <c r="H322" s="1" t="s">
        <v>324</v>
      </c>
      <c r="I322" s="19" t="s">
        <v>675</v>
      </c>
      <c r="J322" s="1" t="str">
        <f t="shared" si="59"/>
        <v>12</v>
      </c>
      <c r="K322" s="1" t="str">
        <f t="shared" si="60"/>
        <v>34</v>
      </c>
      <c r="L322" s="1" t="str">
        <f t="shared" si="61"/>
        <v>38</v>
      </c>
      <c r="M322" s="1" t="str">
        <f t="shared" si="62"/>
        <v>81</v>
      </c>
      <c r="N322" s="1" t="str">
        <f t="shared" si="63"/>
        <v>40</v>
      </c>
      <c r="O322" s="1" t="str">
        <f t="shared" si="64"/>
        <v>59</v>
      </c>
      <c r="P322" s="2">
        <f t="shared" si="65"/>
        <v>12.577222222222222</v>
      </c>
      <c r="Q322" s="2">
        <f t="shared" si="66"/>
        <v>-81.683055555555555</v>
      </c>
      <c r="R322" s="16" t="s">
        <v>677</v>
      </c>
    </row>
    <row r="323" spans="1:18" ht="15.75" x14ac:dyDescent="0.25">
      <c r="A323" s="1">
        <v>322</v>
      </c>
      <c r="B323" s="1" t="s">
        <v>17</v>
      </c>
      <c r="C323" s="1" t="s">
        <v>18</v>
      </c>
      <c r="D323" s="1" t="s">
        <v>19</v>
      </c>
      <c r="E323" s="19" t="s">
        <v>688</v>
      </c>
      <c r="F323" s="19" t="s">
        <v>687</v>
      </c>
      <c r="G323" s="19" t="s">
        <v>667</v>
      </c>
      <c r="H323" s="1" t="s">
        <v>324</v>
      </c>
      <c r="I323" s="19" t="s">
        <v>676</v>
      </c>
      <c r="J323" s="1" t="str">
        <f t="shared" si="59"/>
        <v>12</v>
      </c>
      <c r="K323" s="1" t="str">
        <f t="shared" si="60"/>
        <v>09</v>
      </c>
      <c r="L323" s="1" t="str">
        <f t="shared" si="61"/>
        <v>57</v>
      </c>
      <c r="M323" s="1" t="str">
        <f t="shared" si="62"/>
        <v>81</v>
      </c>
      <c r="N323" s="1" t="str">
        <f t="shared" si="63"/>
        <v>51</v>
      </c>
      <c r="O323" s="1" t="str">
        <f t="shared" si="64"/>
        <v>00</v>
      </c>
      <c r="P323" s="2">
        <f t="shared" si="65"/>
        <v>12.165833333333333</v>
      </c>
      <c r="Q323" s="2">
        <f t="shared" si="66"/>
        <v>-81.849999999999994</v>
      </c>
      <c r="R323" s="16" t="s">
        <v>677</v>
      </c>
    </row>
    <row r="324" spans="1:18" ht="15.75" x14ac:dyDescent="0.25">
      <c r="A324" s="1">
        <v>323</v>
      </c>
      <c r="B324" s="1" t="s">
        <v>696</v>
      </c>
      <c r="C324" s="1" t="s">
        <v>18</v>
      </c>
      <c r="D324" s="1" t="s">
        <v>19</v>
      </c>
      <c r="E324" s="7" t="s">
        <v>286</v>
      </c>
      <c r="F324" s="7" t="s">
        <v>287</v>
      </c>
      <c r="G324" s="7" t="s">
        <v>244</v>
      </c>
      <c r="H324" s="1" t="s">
        <v>23</v>
      </c>
      <c r="I324" s="7" t="s">
        <v>288</v>
      </c>
      <c r="J324" s="1" t="str">
        <f t="shared" si="59"/>
        <v>21</v>
      </c>
      <c r="K324" s="1" t="str">
        <f t="shared" si="60"/>
        <v>31</v>
      </c>
      <c r="L324" s="1" t="str">
        <f t="shared" si="61"/>
        <v>12</v>
      </c>
      <c r="M324" s="1" t="str">
        <f t="shared" si="62"/>
        <v>80</v>
      </c>
      <c r="N324" s="1" t="str">
        <f t="shared" si="63"/>
        <v>39</v>
      </c>
      <c r="O324" s="1" t="str">
        <f t="shared" si="64"/>
        <v>00</v>
      </c>
      <c r="P324" s="2">
        <f t="shared" si="65"/>
        <v>21.52</v>
      </c>
      <c r="Q324" s="2">
        <f t="shared" ref="Q324:Q335" si="67">((((O324/60)+N324)/60)+M324)*IF(D324="W",-1, 1)</f>
        <v>-80.650000000000006</v>
      </c>
      <c r="R324" s="16" t="s">
        <v>246</v>
      </c>
    </row>
    <row r="325" spans="1:18" ht="15.75" x14ac:dyDescent="0.25">
      <c r="A325" s="1">
        <v>324</v>
      </c>
      <c r="B325" s="1" t="s">
        <v>696</v>
      </c>
      <c r="C325" s="1" t="s">
        <v>18</v>
      </c>
      <c r="D325" s="1" t="s">
        <v>19</v>
      </c>
      <c r="E325" s="7" t="s">
        <v>289</v>
      </c>
      <c r="F325" s="7" t="s">
        <v>290</v>
      </c>
      <c r="G325" s="7" t="s">
        <v>244</v>
      </c>
      <c r="H325" s="1" t="s">
        <v>23</v>
      </c>
      <c r="I325" s="7" t="s">
        <v>288</v>
      </c>
      <c r="J325" s="1" t="str">
        <f t="shared" si="59"/>
        <v>21</v>
      </c>
      <c r="K325" s="1" t="str">
        <f t="shared" si="60"/>
        <v>24</v>
      </c>
      <c r="L325" s="1" t="str">
        <f t="shared" si="61"/>
        <v>36</v>
      </c>
      <c r="M325" s="1" t="str">
        <f t="shared" si="62"/>
        <v>, 82</v>
      </c>
      <c r="N325" s="1" t="str">
        <f t="shared" si="63"/>
        <v>19</v>
      </c>
      <c r="O325" s="1" t="str">
        <f t="shared" si="64"/>
        <v>12</v>
      </c>
      <c r="P325" s="2">
        <f t="shared" si="65"/>
        <v>21.41</v>
      </c>
      <c r="Q325" s="2" t="e">
        <f t="shared" si="67"/>
        <v>#VALUE!</v>
      </c>
      <c r="R325" s="16" t="s">
        <v>246</v>
      </c>
    </row>
    <row r="326" spans="1:18" ht="15.75" x14ac:dyDescent="0.25">
      <c r="A326" s="1">
        <v>325</v>
      </c>
      <c r="B326" s="1" t="s">
        <v>696</v>
      </c>
      <c r="C326" s="1" t="s">
        <v>18</v>
      </c>
      <c r="D326" s="1" t="s">
        <v>19</v>
      </c>
      <c r="E326" s="7" t="s">
        <v>291</v>
      </c>
      <c r="F326" s="7" t="s">
        <v>292</v>
      </c>
      <c r="G326" s="7" t="s">
        <v>244</v>
      </c>
      <c r="H326" s="1" t="s">
        <v>23</v>
      </c>
      <c r="I326" s="7" t="s">
        <v>288</v>
      </c>
      <c r="J326" s="1" t="str">
        <f t="shared" si="59"/>
        <v>21</v>
      </c>
      <c r="K326" s="1" t="str">
        <f t="shared" si="60"/>
        <v>10</v>
      </c>
      <c r="L326" s="1" t="str">
        <f t="shared" si="61"/>
        <v>48</v>
      </c>
      <c r="M326" s="1" t="str">
        <f t="shared" si="62"/>
        <v>84</v>
      </c>
      <c r="N326" s="1" t="str">
        <f t="shared" si="63"/>
        <v>51</v>
      </c>
      <c r="O326" s="1" t="str">
        <f t="shared" si="64"/>
        <v>36</v>
      </c>
      <c r="P326" s="2">
        <f t="shared" si="65"/>
        <v>21.18</v>
      </c>
      <c r="Q326" s="2">
        <f t="shared" si="67"/>
        <v>-84.86</v>
      </c>
      <c r="R326" s="16" t="s">
        <v>246</v>
      </c>
    </row>
    <row r="327" spans="1:18" ht="15.75" x14ac:dyDescent="0.25">
      <c r="A327" s="1">
        <v>326</v>
      </c>
      <c r="B327" s="1" t="s">
        <v>696</v>
      </c>
      <c r="C327" s="1" t="s">
        <v>18</v>
      </c>
      <c r="D327" s="1" t="s">
        <v>19</v>
      </c>
      <c r="E327" s="7" t="s">
        <v>293</v>
      </c>
      <c r="F327" s="7" t="s">
        <v>294</v>
      </c>
      <c r="G327" s="7" t="s">
        <v>244</v>
      </c>
      <c r="H327" s="1" t="s">
        <v>23</v>
      </c>
      <c r="I327" s="7" t="s">
        <v>288</v>
      </c>
      <c r="J327" s="1" t="str">
        <f t="shared" si="59"/>
        <v>20</v>
      </c>
      <c r="K327" s="1" t="str">
        <f t="shared" si="60"/>
        <v>00</v>
      </c>
      <c r="L327" s="1" t="str">
        <f t="shared" si="61"/>
        <v>00</v>
      </c>
      <c r="M327" s="1" t="str">
        <f t="shared" si="62"/>
        <v>84</v>
      </c>
      <c r="N327" s="1" t="str">
        <f t="shared" si="63"/>
        <v>53</v>
      </c>
      <c r="O327" s="1" t="str">
        <f t="shared" si="64"/>
        <v>24</v>
      </c>
      <c r="P327" s="2">
        <f t="shared" si="65"/>
        <v>20</v>
      </c>
      <c r="Q327" s="2">
        <f t="shared" si="67"/>
        <v>-84.89</v>
      </c>
      <c r="R327" s="16" t="s">
        <v>246</v>
      </c>
    </row>
    <row r="328" spans="1:18" ht="15.75" x14ac:dyDescent="0.25">
      <c r="A328" s="1">
        <v>327</v>
      </c>
      <c r="B328" s="1" t="s">
        <v>696</v>
      </c>
      <c r="C328" s="1" t="s">
        <v>18</v>
      </c>
      <c r="D328" s="1" t="s">
        <v>19</v>
      </c>
      <c r="E328" s="7" t="s">
        <v>295</v>
      </c>
      <c r="F328" s="7" t="s">
        <v>296</v>
      </c>
      <c r="G328" s="7" t="s">
        <v>244</v>
      </c>
      <c r="H328" s="1" t="s">
        <v>23</v>
      </c>
      <c r="I328" s="7" t="s">
        <v>288</v>
      </c>
      <c r="J328" s="1" t="str">
        <f t="shared" si="59"/>
        <v>19</v>
      </c>
      <c r="K328" s="1" t="str">
        <f t="shared" si="60"/>
        <v>16</v>
      </c>
      <c r="L328" s="1" t="str">
        <f t="shared" si="61"/>
        <v>12</v>
      </c>
      <c r="M328" s="1" t="str">
        <f t="shared" si="62"/>
        <v>82</v>
      </c>
      <c r="N328" s="1" t="str">
        <f t="shared" si="63"/>
        <v>25</v>
      </c>
      <c r="O328" s="1" t="str">
        <f t="shared" si="64"/>
        <v>12</v>
      </c>
      <c r="P328" s="2">
        <f t="shared" si="65"/>
        <v>19.27</v>
      </c>
      <c r="Q328" s="2">
        <f t="shared" si="67"/>
        <v>-82.42</v>
      </c>
      <c r="R328" s="16" t="s">
        <v>246</v>
      </c>
    </row>
    <row r="329" spans="1:18" ht="15.75" x14ac:dyDescent="0.25">
      <c r="A329" s="1">
        <v>328</v>
      </c>
      <c r="B329" s="1" t="s">
        <v>696</v>
      </c>
      <c r="C329" s="1" t="s">
        <v>18</v>
      </c>
      <c r="D329" s="1" t="s">
        <v>19</v>
      </c>
      <c r="E329" s="7" t="s">
        <v>297</v>
      </c>
      <c r="F329" s="7" t="s">
        <v>298</v>
      </c>
      <c r="G329" s="7" t="s">
        <v>244</v>
      </c>
      <c r="H329" s="1" t="s">
        <v>23</v>
      </c>
      <c r="I329" s="7" t="s">
        <v>288</v>
      </c>
      <c r="J329" s="1" t="str">
        <f t="shared" si="59"/>
        <v>20</v>
      </c>
      <c r="K329" s="1" t="str">
        <f t="shared" si="60"/>
        <v>10</v>
      </c>
      <c r="L329" s="1" t="str">
        <f t="shared" si="61"/>
        <v>12</v>
      </c>
      <c r="M329" s="1" t="str">
        <f t="shared" si="62"/>
        <v>79</v>
      </c>
      <c r="N329" s="1" t="str">
        <f t="shared" si="63"/>
        <v>54</v>
      </c>
      <c r="O329" s="1" t="str">
        <f t="shared" si="64"/>
        <v>00</v>
      </c>
      <c r="P329" s="2">
        <f t="shared" si="65"/>
        <v>20.170000000000002</v>
      </c>
      <c r="Q329" s="2">
        <f t="shared" si="67"/>
        <v>-79.900000000000006</v>
      </c>
      <c r="R329" s="16" t="s">
        <v>246</v>
      </c>
    </row>
    <row r="330" spans="1:18" ht="15.75" x14ac:dyDescent="0.25">
      <c r="A330" s="1">
        <v>329</v>
      </c>
      <c r="B330" s="1" t="s">
        <v>696</v>
      </c>
      <c r="C330" s="1" t="s">
        <v>18</v>
      </c>
      <c r="D330" s="1" t="s">
        <v>19</v>
      </c>
      <c r="E330" s="7" t="s">
        <v>299</v>
      </c>
      <c r="F330" s="7" t="s">
        <v>300</v>
      </c>
      <c r="G330" s="7" t="s">
        <v>244</v>
      </c>
      <c r="H330" s="1" t="s">
        <v>23</v>
      </c>
      <c r="I330" s="1" t="s">
        <v>301</v>
      </c>
      <c r="J330" s="1" t="str">
        <f t="shared" si="59"/>
        <v>21</v>
      </c>
      <c r="K330" s="1" t="str">
        <f t="shared" si="60"/>
        <v>34</v>
      </c>
      <c r="L330" s="1" t="e">
        <f t="shared" si="61"/>
        <v>#VALUE!</v>
      </c>
      <c r="M330" s="1" t="str">
        <f t="shared" si="62"/>
        <v>83</v>
      </c>
      <c r="N330" s="1" t="str">
        <f t="shared" si="63"/>
        <v>31</v>
      </c>
      <c r="O330" s="1" t="e">
        <f t="shared" si="64"/>
        <v>#VALUE!</v>
      </c>
      <c r="P330" s="2" t="e">
        <f t="shared" si="65"/>
        <v>#VALUE!</v>
      </c>
      <c r="Q330" s="2" t="e">
        <f t="shared" si="67"/>
        <v>#VALUE!</v>
      </c>
      <c r="R330" s="16" t="s">
        <v>246</v>
      </c>
    </row>
    <row r="331" spans="1:18" ht="15.75" x14ac:dyDescent="0.25">
      <c r="A331" s="1">
        <v>330</v>
      </c>
      <c r="B331" s="1" t="s">
        <v>696</v>
      </c>
      <c r="C331" s="1" t="s">
        <v>18</v>
      </c>
      <c r="D331" s="1" t="s">
        <v>19</v>
      </c>
      <c r="E331" s="7" t="s">
        <v>478</v>
      </c>
      <c r="F331" s="7" t="s">
        <v>479</v>
      </c>
      <c r="G331" s="1" t="s">
        <v>480</v>
      </c>
      <c r="H331" s="1" t="s">
        <v>324</v>
      </c>
      <c r="I331" s="1" t="s">
        <v>481</v>
      </c>
      <c r="J331" s="1" t="str">
        <f t="shared" si="59"/>
        <v>19</v>
      </c>
      <c r="K331" s="1" t="str">
        <f t="shared" si="60"/>
        <v>41</v>
      </c>
      <c r="L331" s="1" t="str">
        <f t="shared" si="61"/>
        <v>54</v>
      </c>
      <c r="M331" s="1" t="str">
        <f t="shared" si="62"/>
        <v>87</v>
      </c>
      <c r="N331" s="1" t="str">
        <f t="shared" si="63"/>
        <v>27</v>
      </c>
      <c r="O331" s="1" t="str">
        <f t="shared" si="64"/>
        <v>43</v>
      </c>
      <c r="P331" s="2">
        <f t="shared" si="65"/>
        <v>19.698333333333334</v>
      </c>
      <c r="Q331" s="2">
        <f t="shared" si="67"/>
        <v>-87.461944444444441</v>
      </c>
      <c r="R331" s="16" t="s">
        <v>482</v>
      </c>
    </row>
    <row r="332" spans="1:18" ht="15.75" x14ac:dyDescent="0.25">
      <c r="A332" s="1">
        <v>331</v>
      </c>
      <c r="B332" s="1" t="s">
        <v>696</v>
      </c>
      <c r="C332" s="1" t="s">
        <v>18</v>
      </c>
      <c r="D332" s="1" t="s">
        <v>19</v>
      </c>
      <c r="E332" s="7" t="s">
        <v>483</v>
      </c>
      <c r="F332" s="7" t="s">
        <v>484</v>
      </c>
      <c r="G332" s="1" t="s">
        <v>480</v>
      </c>
      <c r="H332" s="1" t="s">
        <v>324</v>
      </c>
      <c r="I332" s="1" t="s">
        <v>481</v>
      </c>
      <c r="J332" s="1" t="str">
        <f t="shared" si="59"/>
        <v>19</v>
      </c>
      <c r="K332" s="1" t="str">
        <f t="shared" si="60"/>
        <v>43</v>
      </c>
      <c r="L332" s="1" t="str">
        <f t="shared" si="61"/>
        <v>35</v>
      </c>
      <c r="M332" s="1" t="str">
        <f t="shared" si="62"/>
        <v>87</v>
      </c>
      <c r="N332" s="1" t="str">
        <f t="shared" si="63"/>
        <v>25</v>
      </c>
      <c r="O332" s="1" t="str">
        <f t="shared" si="64"/>
        <v>06</v>
      </c>
      <c r="P332" s="2">
        <f t="shared" si="65"/>
        <v>19.726388888888888</v>
      </c>
      <c r="Q332" s="2">
        <f t="shared" si="67"/>
        <v>-87.418333333333337</v>
      </c>
      <c r="R332" s="16" t="s">
        <v>482</v>
      </c>
    </row>
    <row r="333" spans="1:18" ht="15.75" x14ac:dyDescent="0.25">
      <c r="A333" s="1">
        <v>332</v>
      </c>
      <c r="B333" s="1" t="s">
        <v>696</v>
      </c>
      <c r="C333" s="1" t="s">
        <v>18</v>
      </c>
      <c r="D333" s="1" t="s">
        <v>19</v>
      </c>
      <c r="E333" s="7" t="s">
        <v>485</v>
      </c>
      <c r="F333" s="7" t="s">
        <v>486</v>
      </c>
      <c r="G333" s="1" t="s">
        <v>480</v>
      </c>
      <c r="H333" s="1" t="s">
        <v>324</v>
      </c>
      <c r="I333" s="1" t="s">
        <v>481</v>
      </c>
      <c r="J333" s="1" t="str">
        <f t="shared" si="59"/>
        <v>19</v>
      </c>
      <c r="K333" s="1" t="str">
        <f t="shared" si="60"/>
        <v>44</v>
      </c>
      <c r="L333" s="1" t="str">
        <f t="shared" si="61"/>
        <v>04</v>
      </c>
      <c r="M333" s="1" t="str">
        <f t="shared" si="62"/>
        <v>87</v>
      </c>
      <c r="N333" s="1" t="str">
        <f t="shared" si="63"/>
        <v>25</v>
      </c>
      <c r="O333" s="1" t="str">
        <f t="shared" si="64"/>
        <v>23</v>
      </c>
      <c r="P333" s="2">
        <f t="shared" si="65"/>
        <v>19.734444444444446</v>
      </c>
      <c r="Q333" s="2">
        <f t="shared" si="67"/>
        <v>-87.42305555555555</v>
      </c>
      <c r="R333" s="16" t="s">
        <v>482</v>
      </c>
    </row>
    <row r="334" spans="1:18" ht="15.75" x14ac:dyDescent="0.25">
      <c r="A334" s="1">
        <v>333</v>
      </c>
      <c r="B334" s="1" t="s">
        <v>696</v>
      </c>
      <c r="C334" s="1" t="s">
        <v>18</v>
      </c>
      <c r="D334" s="1" t="s">
        <v>19</v>
      </c>
      <c r="E334" s="7" t="s">
        <v>487</v>
      </c>
      <c r="F334" s="7" t="s">
        <v>488</v>
      </c>
      <c r="G334" s="1" t="s">
        <v>480</v>
      </c>
      <c r="H334" s="1" t="s">
        <v>324</v>
      </c>
      <c r="I334" s="1" t="s">
        <v>481</v>
      </c>
      <c r="J334" s="1" t="str">
        <f t="shared" si="59"/>
        <v>19</v>
      </c>
      <c r="K334" s="1" t="str">
        <f t="shared" si="60"/>
        <v>46</v>
      </c>
      <c r="L334" s="1" t="str">
        <f t="shared" si="61"/>
        <v>33</v>
      </c>
      <c r="M334" s="1" t="str">
        <f t="shared" si="62"/>
        <v>87</v>
      </c>
      <c r="N334" s="1" t="str">
        <f t="shared" si="63"/>
        <v>28</v>
      </c>
      <c r="O334" s="1" t="str">
        <f t="shared" si="64"/>
        <v>37</v>
      </c>
      <c r="P334" s="2">
        <f t="shared" si="65"/>
        <v>19.775833333333335</v>
      </c>
      <c r="Q334" s="2">
        <f t="shared" si="67"/>
        <v>-87.476944444444442</v>
      </c>
      <c r="R334" s="16" t="s">
        <v>482</v>
      </c>
    </row>
    <row r="335" spans="1:18" ht="15.75" x14ac:dyDescent="0.25">
      <c r="A335" s="1">
        <v>334</v>
      </c>
      <c r="B335" s="1" t="s">
        <v>696</v>
      </c>
      <c r="C335" s="1" t="s">
        <v>18</v>
      </c>
      <c r="D335" s="1" t="s">
        <v>19</v>
      </c>
      <c r="E335" s="7" t="s">
        <v>489</v>
      </c>
      <c r="F335" s="7" t="s">
        <v>490</v>
      </c>
      <c r="G335" s="1" t="s">
        <v>480</v>
      </c>
      <c r="H335" s="1" t="s">
        <v>324</v>
      </c>
      <c r="I335" s="1" t="s">
        <v>481</v>
      </c>
      <c r="J335" s="1" t="str">
        <f t="shared" si="59"/>
        <v>19</v>
      </c>
      <c r="K335" s="1" t="str">
        <f t="shared" si="60"/>
        <v>38</v>
      </c>
      <c r="L335" s="1" t="str">
        <f t="shared" si="61"/>
        <v>59</v>
      </c>
      <c r="M335" s="1" t="str">
        <f t="shared" si="62"/>
        <v>87</v>
      </c>
      <c r="N335" s="1" t="str">
        <f t="shared" si="63"/>
        <v>27</v>
      </c>
      <c r="O335" s="1" t="str">
        <f t="shared" si="64"/>
        <v>21</v>
      </c>
      <c r="P335" s="2">
        <f t="shared" si="65"/>
        <v>19.649722222222223</v>
      </c>
      <c r="Q335" s="2">
        <f t="shared" si="67"/>
        <v>-87.455833333333331</v>
      </c>
      <c r="R335" s="16" t="s">
        <v>482</v>
      </c>
    </row>
    <row r="336" spans="1:18" ht="15.75" x14ac:dyDescent="0.25">
      <c r="A336" s="1">
        <v>335</v>
      </c>
      <c r="B336" s="1" t="s">
        <v>696</v>
      </c>
      <c r="C336" s="1" t="s">
        <v>18</v>
      </c>
      <c r="D336" s="1" t="s">
        <v>19</v>
      </c>
      <c r="E336" s="7" t="s">
        <v>491</v>
      </c>
      <c r="F336" s="7" t="s">
        <v>492</v>
      </c>
      <c r="G336" s="1" t="s">
        <v>480</v>
      </c>
      <c r="H336" s="1" t="s">
        <v>324</v>
      </c>
      <c r="I336" s="1" t="s">
        <v>481</v>
      </c>
      <c r="J336" s="1" t="str">
        <f t="shared" si="59"/>
        <v>19</v>
      </c>
      <c r="K336" s="1" t="str">
        <f t="shared" si="60"/>
        <v>38</v>
      </c>
      <c r="L336" s="1" t="str">
        <f t="shared" si="61"/>
        <v>36</v>
      </c>
      <c r="M336" s="1" t="str">
        <f t="shared" si="62"/>
        <v>87</v>
      </c>
      <c r="N336" s="1" t="str">
        <f t="shared" si="63"/>
        <v>27</v>
      </c>
      <c r="O336" s="1" t="str">
        <f t="shared" si="64"/>
        <v>36</v>
      </c>
      <c r="P336" s="2">
        <f t="shared" si="65"/>
        <v>19.643333333333334</v>
      </c>
      <c r="Q336" s="2">
        <f t="shared" ref="Q336:Q384" si="68">((((O336/60)+N336)/60)+M336)*IF(D337="W",-1, 1)</f>
        <v>-87.46</v>
      </c>
      <c r="R336" s="16" t="s">
        <v>482</v>
      </c>
    </row>
    <row r="337" spans="1:18" ht="15.75" x14ac:dyDescent="0.25">
      <c r="A337" s="1">
        <v>336</v>
      </c>
      <c r="B337" s="1" t="s">
        <v>696</v>
      </c>
      <c r="C337" s="1" t="s">
        <v>18</v>
      </c>
      <c r="D337" s="1" t="s">
        <v>19</v>
      </c>
      <c r="E337" s="7" t="s">
        <v>533</v>
      </c>
      <c r="F337" s="7" t="s">
        <v>534</v>
      </c>
      <c r="G337" s="1" t="s">
        <v>535</v>
      </c>
      <c r="H337" s="1" t="s">
        <v>324</v>
      </c>
      <c r="I337" s="1" t="s">
        <v>536</v>
      </c>
      <c r="J337" s="1" t="str">
        <f t="shared" si="59"/>
        <v>09</v>
      </c>
      <c r="K337" s="1" t="str">
        <f t="shared" si="60"/>
        <v>44</v>
      </c>
      <c r="L337" s="1" t="str">
        <f t="shared" si="61"/>
        <v>15</v>
      </c>
      <c r="M337" s="1" t="str">
        <f t="shared" si="62"/>
        <v>82</v>
      </c>
      <c r="N337" s="1" t="str">
        <f t="shared" si="63"/>
        <v>49</v>
      </c>
      <c r="O337" s="1" t="str">
        <f t="shared" si="64"/>
        <v>28</v>
      </c>
      <c r="P337" s="2">
        <f t="shared" si="65"/>
        <v>9.7375000000000007</v>
      </c>
      <c r="Q337" s="2">
        <f t="shared" si="68"/>
        <v>-82.824444444444438</v>
      </c>
      <c r="R337" s="16" t="s">
        <v>537</v>
      </c>
    </row>
    <row r="338" spans="1:18" ht="15.75" x14ac:dyDescent="0.25">
      <c r="A338" s="1">
        <v>337</v>
      </c>
      <c r="B338" s="1" t="s">
        <v>696</v>
      </c>
      <c r="C338" s="1" t="s">
        <v>18</v>
      </c>
      <c r="D338" s="1" t="s">
        <v>19</v>
      </c>
      <c r="E338" s="7" t="s">
        <v>274</v>
      </c>
      <c r="F338" s="7" t="s">
        <v>538</v>
      </c>
      <c r="G338" s="1" t="s">
        <v>535</v>
      </c>
      <c r="H338" s="1" t="s">
        <v>324</v>
      </c>
      <c r="I338" s="1" t="s">
        <v>536</v>
      </c>
      <c r="J338" s="1" t="str">
        <f t="shared" si="59"/>
        <v>09</v>
      </c>
      <c r="K338" s="1" t="str">
        <f t="shared" si="60"/>
        <v>44</v>
      </c>
      <c r="L338" s="1" t="str">
        <f t="shared" si="61"/>
        <v>24</v>
      </c>
      <c r="M338" s="1" t="str">
        <f t="shared" si="62"/>
        <v>82</v>
      </c>
      <c r="N338" s="1" t="str">
        <f t="shared" si="63"/>
        <v>49</v>
      </c>
      <c r="O338" s="1" t="str">
        <f t="shared" si="64"/>
        <v>19</v>
      </c>
      <c r="P338" s="2">
        <f t="shared" si="65"/>
        <v>9.74</v>
      </c>
      <c r="Q338" s="2">
        <f t="shared" si="68"/>
        <v>-82.821944444444441</v>
      </c>
      <c r="R338" s="16" t="s">
        <v>537</v>
      </c>
    </row>
    <row r="339" spans="1:18" ht="15.75" x14ac:dyDescent="0.25">
      <c r="A339" s="1">
        <v>338</v>
      </c>
      <c r="B339" s="1" t="s">
        <v>696</v>
      </c>
      <c r="C339" s="1" t="s">
        <v>18</v>
      </c>
      <c r="D339" s="1" t="s">
        <v>19</v>
      </c>
      <c r="E339" s="7" t="s">
        <v>539</v>
      </c>
      <c r="F339" s="7" t="s">
        <v>540</v>
      </c>
      <c r="G339" s="1" t="s">
        <v>535</v>
      </c>
      <c r="H339" s="1" t="s">
        <v>324</v>
      </c>
      <c r="I339" s="1" t="s">
        <v>536</v>
      </c>
      <c r="J339" s="1" t="str">
        <f t="shared" si="59"/>
        <v>09</v>
      </c>
      <c r="K339" s="1" t="str">
        <f t="shared" si="60"/>
        <v>44</v>
      </c>
      <c r="L339" s="1" t="str">
        <f t="shared" si="61"/>
        <v>48</v>
      </c>
      <c r="M339" s="1" t="str">
        <f t="shared" si="62"/>
        <v>82</v>
      </c>
      <c r="N339" s="1" t="str">
        <f t="shared" si="63"/>
        <v>49</v>
      </c>
      <c r="O339" s="1" t="str">
        <f t="shared" si="64"/>
        <v>08</v>
      </c>
      <c r="P339" s="2">
        <f t="shared" si="65"/>
        <v>9.7466666666666661</v>
      </c>
      <c r="Q339" s="2">
        <f t="shared" si="68"/>
        <v>-82.818888888888893</v>
      </c>
      <c r="R339" s="16" t="s">
        <v>537</v>
      </c>
    </row>
    <row r="340" spans="1:18" ht="15.75" x14ac:dyDescent="0.25">
      <c r="A340" s="1">
        <v>339</v>
      </c>
      <c r="B340" s="1" t="s">
        <v>696</v>
      </c>
      <c r="C340" s="1" t="s">
        <v>18</v>
      </c>
      <c r="D340" s="1" t="s">
        <v>19</v>
      </c>
      <c r="E340" s="7" t="s">
        <v>541</v>
      </c>
      <c r="F340" s="7" t="s">
        <v>542</v>
      </c>
      <c r="G340" s="1" t="s">
        <v>535</v>
      </c>
      <c r="H340" s="1" t="s">
        <v>324</v>
      </c>
      <c r="I340" s="1" t="s">
        <v>536</v>
      </c>
      <c r="J340" s="1" t="str">
        <f t="shared" si="59"/>
        <v>09</v>
      </c>
      <c r="K340" s="1" t="str">
        <f t="shared" si="60"/>
        <v>44</v>
      </c>
      <c r="L340" s="1" t="str">
        <f t="shared" si="61"/>
        <v>36</v>
      </c>
      <c r="M340" s="1" t="str">
        <f t="shared" si="62"/>
        <v>82</v>
      </c>
      <c r="N340" s="1" t="str">
        <f t="shared" si="63"/>
        <v>48</v>
      </c>
      <c r="O340" s="1" t="str">
        <f t="shared" si="64"/>
        <v>23</v>
      </c>
      <c r="P340" s="2">
        <f t="shared" si="65"/>
        <v>9.7433333333333341</v>
      </c>
      <c r="Q340" s="2">
        <f t="shared" si="68"/>
        <v>-82.80638888888889</v>
      </c>
      <c r="R340" s="16" t="s">
        <v>537</v>
      </c>
    </row>
    <row r="341" spans="1:18" ht="15.75" x14ac:dyDescent="0.25">
      <c r="A341" s="1">
        <v>340</v>
      </c>
      <c r="B341" s="1" t="s">
        <v>696</v>
      </c>
      <c r="C341" s="1" t="s">
        <v>18</v>
      </c>
      <c r="D341" s="1" t="s">
        <v>19</v>
      </c>
      <c r="E341" s="7" t="s">
        <v>543</v>
      </c>
      <c r="F341" s="7" t="s">
        <v>544</v>
      </c>
      <c r="G341" s="1" t="s">
        <v>535</v>
      </c>
      <c r="H341" s="1" t="s">
        <v>324</v>
      </c>
      <c r="I341" s="1" t="s">
        <v>536</v>
      </c>
      <c r="J341" s="1" t="str">
        <f t="shared" si="59"/>
        <v>09</v>
      </c>
      <c r="K341" s="1" t="str">
        <f t="shared" si="60"/>
        <v>44</v>
      </c>
      <c r="L341" s="1" t="str">
        <f t="shared" si="61"/>
        <v>29</v>
      </c>
      <c r="M341" s="1" t="str">
        <f t="shared" si="62"/>
        <v>82</v>
      </c>
      <c r="N341" s="1" t="str">
        <f t="shared" si="63"/>
        <v>48</v>
      </c>
      <c r="O341" s="1" t="str">
        <f t="shared" si="64"/>
        <v>32</v>
      </c>
      <c r="P341" s="2">
        <f t="shared" si="65"/>
        <v>9.7413888888888884</v>
      </c>
      <c r="Q341" s="2">
        <f t="shared" si="68"/>
        <v>-82.808888888888887</v>
      </c>
      <c r="R341" s="16" t="s">
        <v>537</v>
      </c>
    </row>
    <row r="342" spans="1:18" ht="15.75" x14ac:dyDescent="0.25">
      <c r="A342" s="1">
        <v>341</v>
      </c>
      <c r="B342" s="1" t="s">
        <v>696</v>
      </c>
      <c r="C342" s="1" t="s">
        <v>18</v>
      </c>
      <c r="D342" s="1" t="s">
        <v>19</v>
      </c>
      <c r="E342" s="7" t="s">
        <v>545</v>
      </c>
      <c r="F342" s="7" t="s">
        <v>546</v>
      </c>
      <c r="G342" s="1" t="s">
        <v>535</v>
      </c>
      <c r="H342" s="1" t="s">
        <v>324</v>
      </c>
      <c r="I342" s="1" t="s">
        <v>536</v>
      </c>
      <c r="J342" s="1" t="str">
        <f t="shared" si="59"/>
        <v>09</v>
      </c>
      <c r="K342" s="1" t="str">
        <f t="shared" si="60"/>
        <v>44</v>
      </c>
      <c r="L342" s="1" t="str">
        <f t="shared" si="61"/>
        <v>16</v>
      </c>
      <c r="M342" s="1" t="str">
        <f t="shared" si="62"/>
        <v>82</v>
      </c>
      <c r="N342" s="1" t="str">
        <f t="shared" si="63"/>
        <v>48</v>
      </c>
      <c r="O342" s="1" t="str">
        <f t="shared" si="64"/>
        <v>30</v>
      </c>
      <c r="P342" s="2">
        <f t="shared" si="65"/>
        <v>9.7377777777777776</v>
      </c>
      <c r="Q342" s="2">
        <f t="shared" si="68"/>
        <v>-82.808333333333337</v>
      </c>
      <c r="R342" s="16" t="s">
        <v>537</v>
      </c>
    </row>
    <row r="343" spans="1:18" ht="15.75" x14ac:dyDescent="0.25">
      <c r="A343" s="1">
        <v>342</v>
      </c>
      <c r="B343" s="1" t="s">
        <v>696</v>
      </c>
      <c r="C343" s="1" t="s">
        <v>18</v>
      </c>
      <c r="D343" s="1" t="s">
        <v>19</v>
      </c>
      <c r="E343" s="19" t="s">
        <v>582</v>
      </c>
      <c r="F343" s="19" t="s">
        <v>601</v>
      </c>
      <c r="G343" s="19" t="s">
        <v>581</v>
      </c>
      <c r="H343" s="1" t="s">
        <v>324</v>
      </c>
      <c r="I343" s="1" t="s">
        <v>602</v>
      </c>
      <c r="J343" s="1" t="str">
        <f t="shared" si="59"/>
        <v>19</v>
      </c>
      <c r="K343" s="1" t="str">
        <f t="shared" si="60"/>
        <v>05</v>
      </c>
      <c r="L343" s="1" t="str">
        <f t="shared" si="61"/>
        <v>44</v>
      </c>
      <c r="M343" s="1" t="str">
        <f t="shared" si="62"/>
        <v>87</v>
      </c>
      <c r="N343" s="1" t="str">
        <f t="shared" si="63"/>
        <v>23</v>
      </c>
      <c r="O343" s="1" t="str">
        <f t="shared" si="64"/>
        <v>22</v>
      </c>
      <c r="P343" s="2">
        <f t="shared" si="65"/>
        <v>19.095555555555556</v>
      </c>
      <c r="Q343" s="2">
        <f t="shared" si="68"/>
        <v>-87.38944444444445</v>
      </c>
      <c r="R343" s="16" t="s">
        <v>580</v>
      </c>
    </row>
    <row r="344" spans="1:18" ht="15.75" x14ac:dyDescent="0.25">
      <c r="A344" s="1">
        <v>343</v>
      </c>
      <c r="B344" s="1" t="s">
        <v>696</v>
      </c>
      <c r="C344" s="1" t="s">
        <v>18</v>
      </c>
      <c r="D344" s="1" t="s">
        <v>19</v>
      </c>
      <c r="E344" s="19" t="s">
        <v>583</v>
      </c>
      <c r="F344" s="19" t="s">
        <v>600</v>
      </c>
      <c r="G344" s="19" t="s">
        <v>581</v>
      </c>
      <c r="H344" s="1" t="s">
        <v>324</v>
      </c>
      <c r="I344" s="1" t="s">
        <v>602</v>
      </c>
      <c r="J344" s="1" t="str">
        <f t="shared" si="59"/>
        <v>19</v>
      </c>
      <c r="K344" s="1" t="str">
        <f t="shared" si="60"/>
        <v>01</v>
      </c>
      <c r="L344" s="1" t="str">
        <f t="shared" si="61"/>
        <v>25</v>
      </c>
      <c r="M344" s="1" t="str">
        <f t="shared" si="62"/>
        <v>87</v>
      </c>
      <c r="N344" s="1" t="str">
        <f t="shared" si="63"/>
        <v>11</v>
      </c>
      <c r="O344" s="1" t="str">
        <f t="shared" si="64"/>
        <v>20</v>
      </c>
      <c r="P344" s="2">
        <f t="shared" si="65"/>
        <v>19.023611111111112</v>
      </c>
      <c r="Q344" s="2">
        <f t="shared" si="68"/>
        <v>-87.188888888888883</v>
      </c>
      <c r="R344" s="16" t="s">
        <v>580</v>
      </c>
    </row>
    <row r="345" spans="1:18" ht="15.75" x14ac:dyDescent="0.25">
      <c r="A345" s="1">
        <v>344</v>
      </c>
      <c r="B345" s="1" t="s">
        <v>696</v>
      </c>
      <c r="C345" s="1" t="s">
        <v>18</v>
      </c>
      <c r="D345" s="1" t="s">
        <v>19</v>
      </c>
      <c r="E345" s="19" t="s">
        <v>584</v>
      </c>
      <c r="F345" s="19" t="s">
        <v>599</v>
      </c>
      <c r="G345" s="19" t="s">
        <v>581</v>
      </c>
      <c r="H345" s="1" t="s">
        <v>324</v>
      </c>
      <c r="I345" s="1" t="s">
        <v>602</v>
      </c>
      <c r="J345" s="1" t="str">
        <f t="shared" si="59"/>
        <v>18</v>
      </c>
      <c r="K345" s="1" t="str">
        <f t="shared" si="60"/>
        <v>57</v>
      </c>
      <c r="L345" s="1" t="str">
        <f t="shared" si="61"/>
        <v>22</v>
      </c>
      <c r="M345" s="1" t="str">
        <f t="shared" si="62"/>
        <v>86</v>
      </c>
      <c r="N345" s="1" t="str">
        <f t="shared" si="63"/>
        <v>57</v>
      </c>
      <c r="O345" s="1" t="str">
        <f t="shared" si="64"/>
        <v>43</v>
      </c>
      <c r="P345" s="2">
        <f t="shared" si="65"/>
        <v>18.95611111111111</v>
      </c>
      <c r="Q345" s="2">
        <f t="shared" si="68"/>
        <v>-86.961944444444441</v>
      </c>
      <c r="R345" s="16" t="s">
        <v>580</v>
      </c>
    </row>
    <row r="346" spans="1:18" ht="15.75" x14ac:dyDescent="0.25">
      <c r="A346" s="1">
        <v>345</v>
      </c>
      <c r="B346" s="1" t="s">
        <v>696</v>
      </c>
      <c r="C346" s="1" t="s">
        <v>18</v>
      </c>
      <c r="D346" s="1" t="s">
        <v>19</v>
      </c>
      <c r="E346" s="19" t="s">
        <v>585</v>
      </c>
      <c r="F346" s="19" t="s">
        <v>598</v>
      </c>
      <c r="G346" s="19" t="s">
        <v>581</v>
      </c>
      <c r="H346" s="1" t="s">
        <v>324</v>
      </c>
      <c r="I346" s="1" t="s">
        <v>602</v>
      </c>
      <c r="J346" s="1" t="str">
        <f t="shared" si="59"/>
        <v>18</v>
      </c>
      <c r="K346" s="1" t="str">
        <f t="shared" si="60"/>
        <v>51</v>
      </c>
      <c r="L346" s="1" t="str">
        <f t="shared" si="61"/>
        <v>45</v>
      </c>
      <c r="M346" s="1" t="str">
        <f t="shared" si="62"/>
        <v>86</v>
      </c>
      <c r="N346" s="1" t="str">
        <f t="shared" si="63"/>
        <v>42</v>
      </c>
      <c r="O346" s="1" t="str">
        <f t="shared" si="64"/>
        <v>33</v>
      </c>
      <c r="P346" s="2">
        <f t="shared" si="65"/>
        <v>18.862500000000001</v>
      </c>
      <c r="Q346" s="2">
        <f t="shared" si="68"/>
        <v>-86.709166666666661</v>
      </c>
      <c r="R346" s="16" t="s">
        <v>580</v>
      </c>
    </row>
    <row r="347" spans="1:18" ht="15.75" x14ac:dyDescent="0.25">
      <c r="A347" s="1">
        <v>346</v>
      </c>
      <c r="B347" s="1" t="s">
        <v>696</v>
      </c>
      <c r="C347" s="1" t="s">
        <v>18</v>
      </c>
      <c r="D347" s="1" t="s">
        <v>19</v>
      </c>
      <c r="E347" s="19" t="s">
        <v>586</v>
      </c>
      <c r="F347" s="19" t="s">
        <v>597</v>
      </c>
      <c r="G347" s="19" t="s">
        <v>581</v>
      </c>
      <c r="H347" s="1" t="s">
        <v>324</v>
      </c>
      <c r="I347" s="1" t="s">
        <v>602</v>
      </c>
      <c r="J347" s="1" t="str">
        <f t="shared" si="59"/>
        <v>19</v>
      </c>
      <c r="K347" s="1" t="str">
        <f t="shared" si="60"/>
        <v>26</v>
      </c>
      <c r="L347" s="1" t="str">
        <f t="shared" si="61"/>
        <v>27</v>
      </c>
      <c r="M347" s="1" t="str">
        <f t="shared" si="62"/>
        <v>87</v>
      </c>
      <c r="N347" s="1" t="str">
        <f t="shared" si="63"/>
        <v>14</v>
      </c>
      <c r="O347" s="1" t="str">
        <f t="shared" si="64"/>
        <v>30</v>
      </c>
      <c r="P347" s="2">
        <f t="shared" si="65"/>
        <v>19.440833333333334</v>
      </c>
      <c r="Q347" s="2">
        <f t="shared" si="68"/>
        <v>-87.24166666666666</v>
      </c>
      <c r="R347" s="16" t="s">
        <v>580</v>
      </c>
    </row>
    <row r="348" spans="1:18" ht="15.75" x14ac:dyDescent="0.25">
      <c r="A348" s="1">
        <v>347</v>
      </c>
      <c r="B348" s="1" t="s">
        <v>696</v>
      </c>
      <c r="C348" s="1" t="s">
        <v>18</v>
      </c>
      <c r="D348" s="1" t="s">
        <v>19</v>
      </c>
      <c r="E348" s="19" t="s">
        <v>587</v>
      </c>
      <c r="F348" s="19" t="s">
        <v>596</v>
      </c>
      <c r="G348" s="19" t="s">
        <v>581</v>
      </c>
      <c r="H348" s="1" t="s">
        <v>324</v>
      </c>
      <c r="I348" s="1" t="s">
        <v>602</v>
      </c>
      <c r="J348" s="1" t="str">
        <f t="shared" si="59"/>
        <v>19</v>
      </c>
      <c r="K348" s="1" t="str">
        <f t="shared" si="60"/>
        <v>24</v>
      </c>
      <c r="L348" s="1" t="str">
        <f t="shared" si="61"/>
        <v>32</v>
      </c>
      <c r="M348" s="1" t="str">
        <f t="shared" si="62"/>
        <v>87</v>
      </c>
      <c r="N348" s="1" t="str">
        <f t="shared" si="63"/>
        <v>02</v>
      </c>
      <c r="O348" s="1" t="str">
        <f t="shared" si="64"/>
        <v>45</v>
      </c>
      <c r="P348" s="2">
        <f t="shared" si="65"/>
        <v>19.408888888888889</v>
      </c>
      <c r="Q348" s="2">
        <f t="shared" si="68"/>
        <v>-87.045833333333334</v>
      </c>
      <c r="R348" s="16" t="s">
        <v>580</v>
      </c>
    </row>
    <row r="349" spans="1:18" ht="15.75" x14ac:dyDescent="0.25">
      <c r="A349" s="1">
        <v>348</v>
      </c>
      <c r="B349" s="1" t="s">
        <v>696</v>
      </c>
      <c r="C349" s="1" t="s">
        <v>18</v>
      </c>
      <c r="D349" s="1" t="s">
        <v>19</v>
      </c>
      <c r="E349" s="19" t="s">
        <v>588</v>
      </c>
      <c r="F349" s="19" t="s">
        <v>595</v>
      </c>
      <c r="G349" s="19" t="s">
        <v>581</v>
      </c>
      <c r="H349" s="1" t="s">
        <v>324</v>
      </c>
      <c r="I349" s="1" t="s">
        <v>602</v>
      </c>
      <c r="J349" s="1" t="str">
        <f t="shared" si="59"/>
        <v>19</v>
      </c>
      <c r="K349" s="1" t="str">
        <f t="shared" si="60"/>
        <v>22</v>
      </c>
      <c r="L349" s="1" t="str">
        <f t="shared" si="61"/>
        <v>01</v>
      </c>
      <c r="M349" s="1" t="str">
        <f t="shared" si="62"/>
        <v>86</v>
      </c>
      <c r="N349" s="1" t="str">
        <f t="shared" si="63"/>
        <v>51</v>
      </c>
      <c r="O349" s="1" t="str">
        <f t="shared" si="64"/>
        <v>20</v>
      </c>
      <c r="P349" s="2">
        <f t="shared" si="65"/>
        <v>19.366944444444446</v>
      </c>
      <c r="Q349" s="2">
        <f t="shared" si="68"/>
        <v>-86.855555555555554</v>
      </c>
      <c r="R349" s="16" t="s">
        <v>580</v>
      </c>
    </row>
    <row r="350" spans="1:18" ht="15.75" x14ac:dyDescent="0.25">
      <c r="A350" s="1">
        <v>349</v>
      </c>
      <c r="B350" s="1" t="s">
        <v>696</v>
      </c>
      <c r="C350" s="1" t="s">
        <v>18</v>
      </c>
      <c r="D350" s="1" t="s">
        <v>19</v>
      </c>
      <c r="E350" s="19" t="s">
        <v>589</v>
      </c>
      <c r="F350" s="19" t="s">
        <v>594</v>
      </c>
      <c r="G350" s="19" t="s">
        <v>581</v>
      </c>
      <c r="H350" s="1" t="s">
        <v>324</v>
      </c>
      <c r="I350" s="1" t="s">
        <v>602</v>
      </c>
      <c r="J350" s="1" t="str">
        <f t="shared" si="59"/>
        <v>19</v>
      </c>
      <c r="K350" s="1" t="str">
        <f t="shared" si="60"/>
        <v>18</v>
      </c>
      <c r="L350" s="1" t="str">
        <f t="shared" si="61"/>
        <v>32</v>
      </c>
      <c r="M350" s="1" t="str">
        <f t="shared" si="62"/>
        <v>86</v>
      </c>
      <c r="N350" s="1" t="str">
        <f t="shared" si="63"/>
        <v>37</v>
      </c>
      <c r="O350" s="1" t="str">
        <f t="shared" si="64"/>
        <v>24</v>
      </c>
      <c r="P350" s="2">
        <f t="shared" si="65"/>
        <v>19.308888888888887</v>
      </c>
      <c r="Q350" s="2">
        <f t="shared" si="68"/>
        <v>-86.623333333333335</v>
      </c>
      <c r="R350" s="16" t="s">
        <v>580</v>
      </c>
    </row>
    <row r="351" spans="1:18" ht="15.75" x14ac:dyDescent="0.25">
      <c r="A351" s="1">
        <v>350</v>
      </c>
      <c r="B351" s="1" t="s">
        <v>696</v>
      </c>
      <c r="C351" s="1" t="s">
        <v>18</v>
      </c>
      <c r="D351" s="1" t="s">
        <v>19</v>
      </c>
      <c r="E351" s="19" t="s">
        <v>590</v>
      </c>
      <c r="F351" s="19" t="s">
        <v>593</v>
      </c>
      <c r="G351" s="19" t="s">
        <v>581</v>
      </c>
      <c r="H351" s="1" t="s">
        <v>324</v>
      </c>
      <c r="I351" s="1" t="s">
        <v>602</v>
      </c>
      <c r="J351" s="1" t="str">
        <f t="shared" si="59"/>
        <v>19</v>
      </c>
      <c r="K351" s="1" t="str">
        <f t="shared" si="60"/>
        <v>14</v>
      </c>
      <c r="L351" s="1" t="str">
        <f t="shared" si="61"/>
        <v>28</v>
      </c>
      <c r="M351" s="1" t="str">
        <f t="shared" si="62"/>
        <v>86</v>
      </c>
      <c r="N351" s="1" t="str">
        <f t="shared" si="63"/>
        <v>25</v>
      </c>
      <c r="O351" s="1" t="str">
        <f t="shared" si="64"/>
        <v>23</v>
      </c>
      <c r="P351" s="2">
        <f t="shared" si="65"/>
        <v>19.24111111111111</v>
      </c>
      <c r="Q351" s="2">
        <f t="shared" si="68"/>
        <v>-86.42305555555555</v>
      </c>
      <c r="R351" s="16" t="s">
        <v>580</v>
      </c>
    </row>
    <row r="352" spans="1:18" ht="15.75" x14ac:dyDescent="0.25">
      <c r="A352" s="1">
        <v>351</v>
      </c>
      <c r="B352" s="1" t="s">
        <v>696</v>
      </c>
      <c r="C352" s="1" t="s">
        <v>18</v>
      </c>
      <c r="D352" s="1" t="s">
        <v>19</v>
      </c>
      <c r="E352" s="19" t="s">
        <v>591</v>
      </c>
      <c r="F352" s="19" t="s">
        <v>592</v>
      </c>
      <c r="G352" s="19" t="s">
        <v>581</v>
      </c>
      <c r="H352" s="1" t="s">
        <v>324</v>
      </c>
      <c r="I352" s="1" t="s">
        <v>602</v>
      </c>
      <c r="J352" s="1" t="str">
        <f t="shared" si="59"/>
        <v>19</v>
      </c>
      <c r="K352" s="1" t="str">
        <f t="shared" si="60"/>
        <v>11</v>
      </c>
      <c r="L352" s="1" t="str">
        <f t="shared" si="61"/>
        <v>54</v>
      </c>
      <c r="M352" s="1" t="str">
        <f t="shared" si="62"/>
        <v>86</v>
      </c>
      <c r="N352" s="1" t="str">
        <f t="shared" si="63"/>
        <v>15</v>
      </c>
      <c r="O352" s="1" t="str">
        <f t="shared" si="64"/>
        <v>33</v>
      </c>
      <c r="P352" s="2">
        <f t="shared" si="65"/>
        <v>19.198333333333334</v>
      </c>
      <c r="Q352" s="2">
        <f t="shared" si="68"/>
        <v>-86.259166666666673</v>
      </c>
      <c r="R352" s="16" t="s">
        <v>580</v>
      </c>
    </row>
    <row r="353" spans="1:18" ht="15.75" x14ac:dyDescent="0.25">
      <c r="A353" s="1">
        <v>352</v>
      </c>
      <c r="B353" s="1" t="s">
        <v>696</v>
      </c>
      <c r="C353" s="1" t="s">
        <v>18</v>
      </c>
      <c r="D353" s="1" t="s">
        <v>19</v>
      </c>
      <c r="E353" s="19" t="s">
        <v>603</v>
      </c>
      <c r="F353" s="19" t="s">
        <v>629</v>
      </c>
      <c r="G353" s="19" t="s">
        <v>581</v>
      </c>
      <c r="H353" s="1" t="s">
        <v>324</v>
      </c>
      <c r="I353" s="1" t="s">
        <v>602</v>
      </c>
      <c r="J353" s="1" t="str">
        <f t="shared" si="59"/>
        <v>19</v>
      </c>
      <c r="K353" s="1" t="str">
        <f t="shared" si="60"/>
        <v>49</v>
      </c>
      <c r="L353" s="1" t="str">
        <f t="shared" si="61"/>
        <v>18</v>
      </c>
      <c r="M353" s="1" t="str">
        <f t="shared" si="62"/>
        <v>87</v>
      </c>
      <c r="N353" s="1" t="str">
        <f t="shared" si="63"/>
        <v>24</v>
      </c>
      <c r="O353" s="1" t="str">
        <f t="shared" si="64"/>
        <v>21</v>
      </c>
      <c r="P353" s="2">
        <f t="shared" si="65"/>
        <v>19.821666666666665</v>
      </c>
      <c r="Q353" s="2">
        <f t="shared" si="68"/>
        <v>-87.405833333333334</v>
      </c>
      <c r="R353" s="16" t="s">
        <v>580</v>
      </c>
    </row>
    <row r="354" spans="1:18" ht="15.75" x14ac:dyDescent="0.25">
      <c r="A354" s="1">
        <v>353</v>
      </c>
      <c r="B354" s="1" t="s">
        <v>696</v>
      </c>
      <c r="C354" s="1" t="s">
        <v>18</v>
      </c>
      <c r="D354" s="1" t="s">
        <v>19</v>
      </c>
      <c r="E354" s="19" t="s">
        <v>604</v>
      </c>
      <c r="F354" s="19" t="s">
        <v>628</v>
      </c>
      <c r="G354" s="19" t="s">
        <v>581</v>
      </c>
      <c r="H354" s="1" t="s">
        <v>324</v>
      </c>
      <c r="I354" s="1" t="s">
        <v>602</v>
      </c>
      <c r="J354" s="1" t="str">
        <f t="shared" si="59"/>
        <v>19</v>
      </c>
      <c r="K354" s="1" t="str">
        <f t="shared" si="60"/>
        <v>45</v>
      </c>
      <c r="L354" s="1" t="str">
        <f t="shared" si="61"/>
        <v>51</v>
      </c>
      <c r="M354" s="1" t="str">
        <f t="shared" si="62"/>
        <v>87</v>
      </c>
      <c r="N354" s="1" t="str">
        <f t="shared" si="63"/>
        <v>12</v>
      </c>
      <c r="O354" s="1" t="str">
        <f t="shared" si="64"/>
        <v>24</v>
      </c>
      <c r="P354" s="2">
        <f t="shared" si="65"/>
        <v>19.764166666666668</v>
      </c>
      <c r="Q354" s="2">
        <f t="shared" si="68"/>
        <v>-87.206666666666663</v>
      </c>
      <c r="R354" s="16" t="s">
        <v>580</v>
      </c>
    </row>
    <row r="355" spans="1:18" ht="15.75" x14ac:dyDescent="0.25">
      <c r="A355" s="1">
        <v>354</v>
      </c>
      <c r="B355" s="1" t="s">
        <v>696</v>
      </c>
      <c r="C355" s="1" t="s">
        <v>18</v>
      </c>
      <c r="D355" s="1" t="s">
        <v>19</v>
      </c>
      <c r="E355" s="19" t="s">
        <v>666</v>
      </c>
      <c r="F355" s="19" t="s">
        <v>627</v>
      </c>
      <c r="G355" s="19" t="s">
        <v>581</v>
      </c>
      <c r="H355" s="1" t="s">
        <v>324</v>
      </c>
      <c r="I355" s="1" t="s">
        <v>602</v>
      </c>
      <c r="J355" s="1" t="str">
        <f t="shared" si="59"/>
        <v>19</v>
      </c>
      <c r="K355" s="1" t="str">
        <f t="shared" si="60"/>
        <v>48</v>
      </c>
      <c r="L355" s="1" t="str">
        <f t="shared" si="61"/>
        <v>21</v>
      </c>
      <c r="M355" s="1" t="str">
        <f t="shared" si="62"/>
        <v>86</v>
      </c>
      <c r="N355" s="1" t="str">
        <f t="shared" si="63"/>
        <v>59</v>
      </c>
      <c r="O355" s="1" t="str">
        <f t="shared" si="64"/>
        <v>06</v>
      </c>
      <c r="P355" s="2">
        <f t="shared" si="65"/>
        <v>19.805833333333332</v>
      </c>
      <c r="Q355" s="2">
        <f t="shared" si="68"/>
        <v>-86.984999999999999</v>
      </c>
      <c r="R355" s="16" t="s">
        <v>580</v>
      </c>
    </row>
    <row r="356" spans="1:18" ht="15.75" x14ac:dyDescent="0.25">
      <c r="A356" s="1">
        <v>355</v>
      </c>
      <c r="B356" s="1" t="s">
        <v>696</v>
      </c>
      <c r="C356" s="1" t="s">
        <v>18</v>
      </c>
      <c r="D356" s="1" t="s">
        <v>19</v>
      </c>
      <c r="E356" s="19" t="s">
        <v>605</v>
      </c>
      <c r="F356" s="19" t="s">
        <v>626</v>
      </c>
      <c r="G356" s="19" t="s">
        <v>581</v>
      </c>
      <c r="H356" s="1" t="s">
        <v>324</v>
      </c>
      <c r="I356" s="1" t="s">
        <v>602</v>
      </c>
      <c r="J356" s="1" t="str">
        <f t="shared" si="59"/>
        <v>19</v>
      </c>
      <c r="K356" s="1" t="str">
        <f t="shared" si="60"/>
        <v>59</v>
      </c>
      <c r="L356" s="1" t="str">
        <f t="shared" si="61"/>
        <v>09</v>
      </c>
      <c r="M356" s="1" t="str">
        <f t="shared" si="62"/>
        <v>87</v>
      </c>
      <c r="N356" s="1" t="str">
        <f t="shared" si="63"/>
        <v>26</v>
      </c>
      <c r="O356" s="1" t="str">
        <f t="shared" si="64"/>
        <v>19</v>
      </c>
      <c r="P356" s="2">
        <f t="shared" si="65"/>
        <v>19.985833333333332</v>
      </c>
      <c r="Q356" s="2">
        <f t="shared" si="68"/>
        <v>-87.438611111111115</v>
      </c>
      <c r="R356" s="16" t="s">
        <v>580</v>
      </c>
    </row>
    <row r="357" spans="1:18" ht="15.75" x14ac:dyDescent="0.25">
      <c r="A357" s="1">
        <v>356</v>
      </c>
      <c r="B357" s="1" t="s">
        <v>696</v>
      </c>
      <c r="C357" s="1" t="s">
        <v>18</v>
      </c>
      <c r="D357" s="1" t="s">
        <v>19</v>
      </c>
      <c r="E357" s="19" t="s">
        <v>606</v>
      </c>
      <c r="F357" s="19" t="s">
        <v>625</v>
      </c>
      <c r="G357" s="19" t="s">
        <v>581</v>
      </c>
      <c r="H357" s="1" t="s">
        <v>324</v>
      </c>
      <c r="I357" s="1" t="s">
        <v>602</v>
      </c>
      <c r="J357" s="1" t="str">
        <f t="shared" si="59"/>
        <v>20</v>
      </c>
      <c r="K357" s="1" t="str">
        <f t="shared" si="60"/>
        <v>00</v>
      </c>
      <c r="L357" s="1" t="str">
        <f t="shared" si="61"/>
        <v>22</v>
      </c>
      <c r="M357" s="1" t="str">
        <f t="shared" si="62"/>
        <v>87</v>
      </c>
      <c r="N357" s="1" t="str">
        <f t="shared" si="63"/>
        <v>13</v>
      </c>
      <c r="O357" s="1" t="str">
        <f t="shared" si="64"/>
        <v>16</v>
      </c>
      <c r="P357" s="2">
        <f t="shared" si="65"/>
        <v>20.00611111111111</v>
      </c>
      <c r="Q357" s="2">
        <f t="shared" si="68"/>
        <v>-87.221111111111114</v>
      </c>
      <c r="R357" s="16" t="s">
        <v>580</v>
      </c>
    </row>
    <row r="358" spans="1:18" ht="15.75" x14ac:dyDescent="0.25">
      <c r="A358" s="1">
        <v>357</v>
      </c>
      <c r="B358" s="1" t="s">
        <v>696</v>
      </c>
      <c r="C358" s="1" t="s">
        <v>18</v>
      </c>
      <c r="D358" s="1" t="s">
        <v>19</v>
      </c>
      <c r="E358" s="19" t="s">
        <v>607</v>
      </c>
      <c r="F358" s="19" t="s">
        <v>624</v>
      </c>
      <c r="G358" s="19" t="s">
        <v>581</v>
      </c>
      <c r="H358" s="1" t="s">
        <v>324</v>
      </c>
      <c r="I358" s="1" t="s">
        <v>602</v>
      </c>
      <c r="J358" s="1" t="str">
        <f t="shared" si="59"/>
        <v>19</v>
      </c>
      <c r="K358" s="1" t="str">
        <f t="shared" si="60"/>
        <v>58</v>
      </c>
      <c r="L358" s="1" t="str">
        <f t="shared" si="61"/>
        <v>01</v>
      </c>
      <c r="M358" s="1" t="str">
        <f t="shared" si="62"/>
        <v>87</v>
      </c>
      <c r="N358" s="1" t="str">
        <f t="shared" si="63"/>
        <v>07</v>
      </c>
      <c r="O358" s="1" t="str">
        <f t="shared" si="64"/>
        <v>18</v>
      </c>
      <c r="P358" s="2">
        <f t="shared" si="65"/>
        <v>19.966944444444444</v>
      </c>
      <c r="Q358" s="2">
        <f t="shared" si="68"/>
        <v>-87.12166666666667</v>
      </c>
      <c r="R358" s="16" t="s">
        <v>580</v>
      </c>
    </row>
    <row r="359" spans="1:18" ht="15.75" x14ac:dyDescent="0.25">
      <c r="A359" s="1">
        <v>358</v>
      </c>
      <c r="B359" s="1" t="s">
        <v>696</v>
      </c>
      <c r="C359" s="1" t="s">
        <v>18</v>
      </c>
      <c r="D359" s="1" t="s">
        <v>19</v>
      </c>
      <c r="E359" s="19" t="s">
        <v>608</v>
      </c>
      <c r="F359" s="19" t="s">
        <v>623</v>
      </c>
      <c r="G359" s="19" t="s">
        <v>581</v>
      </c>
      <c r="H359" s="1" t="s">
        <v>324</v>
      </c>
      <c r="I359" s="1" t="s">
        <v>602</v>
      </c>
      <c r="J359" s="1" t="str">
        <f t="shared" si="59"/>
        <v>20</v>
      </c>
      <c r="K359" s="1" t="str">
        <f t="shared" si="60"/>
        <v>00</v>
      </c>
      <c r="L359" s="1" t="str">
        <f t="shared" si="61"/>
        <v>33</v>
      </c>
      <c r="M359" s="1" t="str">
        <f t="shared" si="62"/>
        <v>86</v>
      </c>
      <c r="N359" s="1" t="str">
        <f t="shared" si="63"/>
        <v>58</v>
      </c>
      <c r="O359" s="1" t="str">
        <f t="shared" si="64"/>
        <v>42</v>
      </c>
      <c r="P359" s="2">
        <f t="shared" si="65"/>
        <v>20.009166666666665</v>
      </c>
      <c r="Q359" s="2">
        <f t="shared" si="68"/>
        <v>-86.978333333333339</v>
      </c>
      <c r="R359" s="16" t="s">
        <v>580</v>
      </c>
    </row>
    <row r="360" spans="1:18" ht="15.75" x14ac:dyDescent="0.25">
      <c r="A360" s="1">
        <v>359</v>
      </c>
      <c r="B360" s="1" t="s">
        <v>696</v>
      </c>
      <c r="C360" s="1" t="s">
        <v>18</v>
      </c>
      <c r="D360" s="1" t="s">
        <v>19</v>
      </c>
      <c r="E360" s="19" t="s">
        <v>609</v>
      </c>
      <c r="F360" s="19" t="s">
        <v>622</v>
      </c>
      <c r="G360" s="19" t="s">
        <v>581</v>
      </c>
      <c r="H360" s="1" t="s">
        <v>324</v>
      </c>
      <c r="I360" s="1" t="s">
        <v>602</v>
      </c>
      <c r="J360" s="1" t="str">
        <f t="shared" si="59"/>
        <v>20</v>
      </c>
      <c r="K360" s="1" t="str">
        <f t="shared" si="60"/>
        <v>02</v>
      </c>
      <c r="L360" s="1" t="str">
        <f t="shared" si="61"/>
        <v>16</v>
      </c>
      <c r="M360" s="1" t="str">
        <f t="shared" si="62"/>
        <v>86</v>
      </c>
      <c r="N360" s="1" t="str">
        <f t="shared" si="63"/>
        <v>41</v>
      </c>
      <c r="O360" s="1" t="str">
        <f t="shared" si="64"/>
        <v>19</v>
      </c>
      <c r="P360" s="2">
        <f t="shared" si="65"/>
        <v>20.037777777777777</v>
      </c>
      <c r="Q360" s="2">
        <f t="shared" si="68"/>
        <v>-86.688611111111115</v>
      </c>
      <c r="R360" s="16" t="s">
        <v>580</v>
      </c>
    </row>
    <row r="361" spans="1:18" ht="15.75" x14ac:dyDescent="0.25">
      <c r="A361" s="1">
        <v>360</v>
      </c>
      <c r="B361" s="1" t="s">
        <v>696</v>
      </c>
      <c r="C361" s="1" t="s">
        <v>18</v>
      </c>
      <c r="D361" s="1" t="s">
        <v>19</v>
      </c>
      <c r="E361" s="19" t="s">
        <v>610</v>
      </c>
      <c r="F361" s="19" t="s">
        <v>621</v>
      </c>
      <c r="G361" s="19" t="s">
        <v>581</v>
      </c>
      <c r="H361" s="1" t="s">
        <v>324</v>
      </c>
      <c r="I361" s="1" t="s">
        <v>602</v>
      </c>
      <c r="J361" s="1" t="str">
        <f t="shared" si="59"/>
        <v>20</v>
      </c>
      <c r="K361" s="1" t="str">
        <f t="shared" si="60"/>
        <v>01</v>
      </c>
      <c r="L361" s="1" t="str">
        <f t="shared" si="61"/>
        <v>15</v>
      </c>
      <c r="M361" s="1" t="str">
        <f t="shared" si="62"/>
        <v>86</v>
      </c>
      <c r="N361" s="1" t="str">
        <f t="shared" si="63"/>
        <v>30</v>
      </c>
      <c r="O361" s="1" t="str">
        <f t="shared" si="64"/>
        <v>41</v>
      </c>
      <c r="P361" s="2">
        <f t="shared" si="65"/>
        <v>20.020833333333332</v>
      </c>
      <c r="Q361" s="2">
        <f t="shared" si="68"/>
        <v>-86.511388888888888</v>
      </c>
      <c r="R361" s="16" t="s">
        <v>580</v>
      </c>
    </row>
    <row r="362" spans="1:18" ht="15.75" x14ac:dyDescent="0.25">
      <c r="A362" s="1">
        <v>361</v>
      </c>
      <c r="B362" s="1" t="s">
        <v>696</v>
      </c>
      <c r="C362" s="1" t="s">
        <v>18</v>
      </c>
      <c r="D362" s="1" t="s">
        <v>19</v>
      </c>
      <c r="E362" s="19" t="s">
        <v>611</v>
      </c>
      <c r="F362" s="19" t="s">
        <v>620</v>
      </c>
      <c r="G362" s="19" t="s">
        <v>581</v>
      </c>
      <c r="H362" s="1" t="s">
        <v>324</v>
      </c>
      <c r="I362" s="1" t="s">
        <v>602</v>
      </c>
      <c r="J362" s="1" t="str">
        <f t="shared" si="59"/>
        <v>20</v>
      </c>
      <c r="K362" s="1" t="str">
        <f t="shared" si="60"/>
        <v>14</v>
      </c>
      <c r="L362" s="1" t="str">
        <f t="shared" si="61"/>
        <v>26</v>
      </c>
      <c r="M362" s="1" t="str">
        <f t="shared" si="62"/>
        <v>87</v>
      </c>
      <c r="N362" s="1" t="str">
        <f t="shared" si="63"/>
        <v>16</v>
      </c>
      <c r="O362" s="1" t="str">
        <f t="shared" si="64"/>
        <v>43</v>
      </c>
      <c r="P362" s="2">
        <f t="shared" si="65"/>
        <v>20.240555555555556</v>
      </c>
      <c r="Q362" s="2">
        <f t="shared" si="68"/>
        <v>-87.278611111111104</v>
      </c>
      <c r="R362" s="16" t="s">
        <v>580</v>
      </c>
    </row>
    <row r="363" spans="1:18" ht="15.75" x14ac:dyDescent="0.25">
      <c r="A363" s="1">
        <v>362</v>
      </c>
      <c r="B363" s="1" t="s">
        <v>696</v>
      </c>
      <c r="C363" s="1" t="s">
        <v>18</v>
      </c>
      <c r="D363" s="1" t="s">
        <v>19</v>
      </c>
      <c r="E363" s="19" t="s">
        <v>612</v>
      </c>
      <c r="F363" s="19" t="s">
        <v>619</v>
      </c>
      <c r="G363" s="19" t="s">
        <v>581</v>
      </c>
      <c r="H363" s="1" t="s">
        <v>324</v>
      </c>
      <c r="I363" s="1" t="s">
        <v>602</v>
      </c>
      <c r="J363" s="1" t="str">
        <f t="shared" si="59"/>
        <v>20</v>
      </c>
      <c r="K363" s="1" t="str">
        <f t="shared" si="60"/>
        <v>13</v>
      </c>
      <c r="L363" s="1" t="str">
        <f t="shared" si="61"/>
        <v>06</v>
      </c>
      <c r="M363" s="1" t="str">
        <f t="shared" si="62"/>
        <v>87</v>
      </c>
      <c r="N363" s="1" t="str">
        <f t="shared" si="63"/>
        <v>08</v>
      </c>
      <c r="O363" s="1" t="str">
        <f t="shared" si="64"/>
        <v>06</v>
      </c>
      <c r="P363" s="2">
        <f t="shared" si="65"/>
        <v>20.218333333333334</v>
      </c>
      <c r="Q363" s="2">
        <f t="shared" si="68"/>
        <v>-87.135000000000005</v>
      </c>
      <c r="R363" s="16" t="s">
        <v>580</v>
      </c>
    </row>
    <row r="364" spans="1:18" ht="15.75" x14ac:dyDescent="0.25">
      <c r="A364" s="1">
        <v>363</v>
      </c>
      <c r="B364" s="1" t="s">
        <v>696</v>
      </c>
      <c r="C364" s="1" t="s">
        <v>18</v>
      </c>
      <c r="D364" s="1" t="s">
        <v>19</v>
      </c>
      <c r="E364" s="19" t="s">
        <v>613</v>
      </c>
      <c r="F364" s="19" t="s">
        <v>618</v>
      </c>
      <c r="G364" s="19" t="s">
        <v>581</v>
      </c>
      <c r="H364" s="1" t="s">
        <v>324</v>
      </c>
      <c r="I364" s="1" t="s">
        <v>602</v>
      </c>
      <c r="J364" s="1" t="str">
        <f t="shared" si="59"/>
        <v>20</v>
      </c>
      <c r="K364" s="1" t="str">
        <f t="shared" si="60"/>
        <v>08</v>
      </c>
      <c r="L364" s="1" t="str">
        <f t="shared" si="61"/>
        <v>38</v>
      </c>
      <c r="M364" s="1" t="str">
        <f t="shared" si="62"/>
        <v>86</v>
      </c>
      <c r="N364" s="1" t="str">
        <f t="shared" si="63"/>
        <v>59</v>
      </c>
      <c r="O364" s="1" t="str">
        <f t="shared" si="64"/>
        <v>43</v>
      </c>
      <c r="P364" s="2">
        <f t="shared" si="65"/>
        <v>20.143888888888888</v>
      </c>
      <c r="Q364" s="2">
        <f t="shared" si="68"/>
        <v>-86.995277777777773</v>
      </c>
      <c r="R364" s="16" t="s">
        <v>580</v>
      </c>
    </row>
    <row r="365" spans="1:18" ht="15.75" x14ac:dyDescent="0.25">
      <c r="A365" s="1">
        <v>364</v>
      </c>
      <c r="B365" s="1" t="s">
        <v>696</v>
      </c>
      <c r="C365" s="1" t="s">
        <v>18</v>
      </c>
      <c r="D365" s="1" t="s">
        <v>19</v>
      </c>
      <c r="E365" s="19" t="s">
        <v>614</v>
      </c>
      <c r="F365" s="19" t="s">
        <v>617</v>
      </c>
      <c r="G365" s="19" t="s">
        <v>581</v>
      </c>
      <c r="H365" s="1" t="s">
        <v>324</v>
      </c>
      <c r="I365" s="1" t="s">
        <v>602</v>
      </c>
      <c r="J365" s="1" t="str">
        <f t="shared" si="59"/>
        <v>20</v>
      </c>
      <c r="K365" s="1" t="str">
        <f t="shared" si="60"/>
        <v>12</v>
      </c>
      <c r="L365" s="1" t="str">
        <f t="shared" si="61"/>
        <v>54</v>
      </c>
      <c r="M365" s="1" t="str">
        <f t="shared" si="62"/>
        <v>86</v>
      </c>
      <c r="N365" s="1" t="str">
        <f t="shared" si="63"/>
        <v>50</v>
      </c>
      <c r="O365" s="1" t="str">
        <f t="shared" si="64"/>
        <v>07</v>
      </c>
      <c r="P365" s="2">
        <f t="shared" si="65"/>
        <v>20.215</v>
      </c>
      <c r="Q365" s="2">
        <f t="shared" si="68"/>
        <v>-86.835277777777776</v>
      </c>
      <c r="R365" s="16" t="s">
        <v>580</v>
      </c>
    </row>
    <row r="366" spans="1:18" ht="15.75" x14ac:dyDescent="0.25">
      <c r="A366" s="1">
        <v>365</v>
      </c>
      <c r="B366" s="1" t="s">
        <v>696</v>
      </c>
      <c r="C366" s="1" t="s">
        <v>18</v>
      </c>
      <c r="D366" s="1" t="s">
        <v>19</v>
      </c>
      <c r="E366" s="19" t="s">
        <v>615</v>
      </c>
      <c r="F366" s="19" t="s">
        <v>616</v>
      </c>
      <c r="G366" s="19" t="s">
        <v>581</v>
      </c>
      <c r="H366" s="1" t="s">
        <v>324</v>
      </c>
      <c r="I366" s="1" t="s">
        <v>602</v>
      </c>
      <c r="J366" s="1" t="str">
        <f t="shared" si="59"/>
        <v>20</v>
      </c>
      <c r="K366" s="1" t="str">
        <f t="shared" si="60"/>
        <v>13</v>
      </c>
      <c r="L366" s="1" t="str">
        <f t="shared" si="61"/>
        <v>16</v>
      </c>
      <c r="M366" s="1" t="str">
        <f t="shared" si="62"/>
        <v>86</v>
      </c>
      <c r="N366" s="1" t="str">
        <f t="shared" si="63"/>
        <v>37</v>
      </c>
      <c r="O366" s="1" t="str">
        <f t="shared" si="64"/>
        <v>47</v>
      </c>
      <c r="P366" s="2">
        <f t="shared" si="65"/>
        <v>20.22111111111111</v>
      </c>
      <c r="Q366" s="2">
        <f t="shared" si="68"/>
        <v>-86.629722222222227</v>
      </c>
      <c r="R366" s="16" t="s">
        <v>580</v>
      </c>
    </row>
    <row r="367" spans="1:18" ht="15.75" x14ac:dyDescent="0.25">
      <c r="A367" s="1">
        <v>366</v>
      </c>
      <c r="B367" s="1" t="s">
        <v>696</v>
      </c>
      <c r="C367" s="1" t="s">
        <v>18</v>
      </c>
      <c r="D367" s="1" t="s">
        <v>19</v>
      </c>
      <c r="E367" s="19" t="s">
        <v>630</v>
      </c>
      <c r="F367" s="19" t="s">
        <v>665</v>
      </c>
      <c r="G367" s="19" t="s">
        <v>581</v>
      </c>
      <c r="H367" s="1" t="s">
        <v>324</v>
      </c>
      <c r="I367" s="1" t="s">
        <v>602</v>
      </c>
      <c r="J367" s="1" t="str">
        <f t="shared" si="59"/>
        <v>20</v>
      </c>
      <c r="K367" s="1" t="str">
        <f t="shared" si="60"/>
        <v>41</v>
      </c>
      <c r="L367" s="1" t="str">
        <f t="shared" si="61"/>
        <v>46</v>
      </c>
      <c r="M367" s="1" t="str">
        <f t="shared" si="62"/>
        <v>86</v>
      </c>
      <c r="N367" s="1" t="str">
        <f t="shared" si="63"/>
        <v>52</v>
      </c>
      <c r="O367" s="1" t="str">
        <f t="shared" si="64"/>
        <v>49</v>
      </c>
      <c r="P367" s="2">
        <f t="shared" si="65"/>
        <v>20.696111111111112</v>
      </c>
      <c r="Q367" s="2">
        <f t="shared" si="68"/>
        <v>-86.880277777777778</v>
      </c>
      <c r="R367" s="16" t="s">
        <v>580</v>
      </c>
    </row>
    <row r="368" spans="1:18" ht="15.75" x14ac:dyDescent="0.25">
      <c r="A368" s="1">
        <v>367</v>
      </c>
      <c r="B368" s="1" t="s">
        <v>696</v>
      </c>
      <c r="C368" s="1" t="s">
        <v>18</v>
      </c>
      <c r="D368" s="1" t="s">
        <v>19</v>
      </c>
      <c r="E368" s="19" t="s">
        <v>631</v>
      </c>
      <c r="F368" s="19" t="s">
        <v>664</v>
      </c>
      <c r="G368" s="19" t="s">
        <v>581</v>
      </c>
      <c r="H368" s="1" t="s">
        <v>324</v>
      </c>
      <c r="I368" s="1" t="s">
        <v>602</v>
      </c>
      <c r="J368" s="1" t="str">
        <f t="shared" si="59"/>
        <v>20</v>
      </c>
      <c r="K368" s="1" t="str">
        <f t="shared" si="60"/>
        <v>32</v>
      </c>
      <c r="L368" s="1" t="str">
        <f t="shared" si="61"/>
        <v>40</v>
      </c>
      <c r="M368" s="1" t="str">
        <f t="shared" si="62"/>
        <v>86</v>
      </c>
      <c r="N368" s="1" t="str">
        <f t="shared" si="63"/>
        <v>29</v>
      </c>
      <c r="O368" s="1" t="str">
        <f t="shared" si="64"/>
        <v>49</v>
      </c>
      <c r="P368" s="2">
        <f t="shared" si="65"/>
        <v>20.544444444444444</v>
      </c>
      <c r="Q368" s="2">
        <f t="shared" si="68"/>
        <v>-86.496944444444438</v>
      </c>
      <c r="R368" s="16" t="s">
        <v>580</v>
      </c>
    </row>
    <row r="369" spans="1:18" ht="15.75" x14ac:dyDescent="0.25">
      <c r="A369" s="1">
        <v>368</v>
      </c>
      <c r="B369" s="1" t="s">
        <v>696</v>
      </c>
      <c r="C369" s="1" t="s">
        <v>18</v>
      </c>
      <c r="D369" s="1" t="s">
        <v>19</v>
      </c>
      <c r="E369" s="19" t="s">
        <v>632</v>
      </c>
      <c r="F369" s="19" t="s">
        <v>663</v>
      </c>
      <c r="G369" s="19" t="s">
        <v>581</v>
      </c>
      <c r="H369" s="1" t="s">
        <v>324</v>
      </c>
      <c r="I369" s="1" t="s">
        <v>602</v>
      </c>
      <c r="J369" s="1" t="str">
        <f t="shared" si="59"/>
        <v>20</v>
      </c>
      <c r="K369" s="1" t="str">
        <f t="shared" si="60"/>
        <v>30</v>
      </c>
      <c r="L369" s="1" t="str">
        <f t="shared" si="61"/>
        <v>05</v>
      </c>
      <c r="M369" s="1" t="str">
        <f t="shared" si="62"/>
        <v>86</v>
      </c>
      <c r="N369" s="1" t="str">
        <f t="shared" si="63"/>
        <v>20</v>
      </c>
      <c r="O369" s="1" t="str">
        <f t="shared" si="64"/>
        <v>32</v>
      </c>
      <c r="P369" s="2">
        <f t="shared" si="65"/>
        <v>20.50138888888889</v>
      </c>
      <c r="Q369" s="2">
        <f t="shared" si="68"/>
        <v>-86.342222222222219</v>
      </c>
      <c r="R369" s="16" t="s">
        <v>580</v>
      </c>
    </row>
    <row r="370" spans="1:18" ht="15.75" x14ac:dyDescent="0.25">
      <c r="A370" s="1">
        <v>369</v>
      </c>
      <c r="B370" s="1" t="s">
        <v>696</v>
      </c>
      <c r="C370" s="1" t="s">
        <v>18</v>
      </c>
      <c r="D370" s="1" t="s">
        <v>19</v>
      </c>
      <c r="E370" s="19" t="s">
        <v>633</v>
      </c>
      <c r="F370" s="19" t="s">
        <v>662</v>
      </c>
      <c r="G370" s="19" t="s">
        <v>581</v>
      </c>
      <c r="H370" s="1" t="s">
        <v>324</v>
      </c>
      <c r="I370" s="1" t="s">
        <v>602</v>
      </c>
      <c r="J370" s="1" t="str">
        <f t="shared" si="59"/>
        <v>20</v>
      </c>
      <c r="K370" s="1" t="str">
        <f t="shared" si="60"/>
        <v>31</v>
      </c>
      <c r="L370" s="1" t="str">
        <f t="shared" si="61"/>
        <v>51</v>
      </c>
      <c r="M370" s="1" t="str">
        <f t="shared" si="62"/>
        <v>85</v>
      </c>
      <c r="N370" s="1" t="str">
        <f t="shared" si="63"/>
        <v>59</v>
      </c>
      <c r="O370" s="1" t="str">
        <f t="shared" si="64"/>
        <v>29</v>
      </c>
      <c r="P370" s="2">
        <f t="shared" si="65"/>
        <v>20.530833333333334</v>
      </c>
      <c r="Q370" s="2">
        <f t="shared" si="68"/>
        <v>-85.991388888888892</v>
      </c>
      <c r="R370" s="16" t="s">
        <v>580</v>
      </c>
    </row>
    <row r="371" spans="1:18" ht="15.75" x14ac:dyDescent="0.25">
      <c r="A371" s="1">
        <v>370</v>
      </c>
      <c r="B371" s="1" t="s">
        <v>696</v>
      </c>
      <c r="C371" s="1" t="s">
        <v>18</v>
      </c>
      <c r="D371" s="1" t="s">
        <v>19</v>
      </c>
      <c r="E371" s="19" t="s">
        <v>634</v>
      </c>
      <c r="F371" s="19" t="s">
        <v>661</v>
      </c>
      <c r="G371" s="19" t="s">
        <v>581</v>
      </c>
      <c r="H371" s="1" t="s">
        <v>324</v>
      </c>
      <c r="I371" s="1" t="s">
        <v>602</v>
      </c>
      <c r="J371" s="1" t="str">
        <f t="shared" si="59"/>
        <v>20</v>
      </c>
      <c r="K371" s="1" t="str">
        <f t="shared" si="60"/>
        <v>47</v>
      </c>
      <c r="L371" s="1" t="str">
        <f t="shared" si="61"/>
        <v>18</v>
      </c>
      <c r="M371" s="1" t="str">
        <f t="shared" si="62"/>
        <v>86</v>
      </c>
      <c r="N371" s="1" t="str">
        <f t="shared" si="63"/>
        <v>45</v>
      </c>
      <c r="O371" s="1" t="str">
        <f t="shared" si="64"/>
        <v>57</v>
      </c>
      <c r="P371" s="2">
        <f t="shared" si="65"/>
        <v>20.788333333333334</v>
      </c>
      <c r="Q371" s="2">
        <f t="shared" si="68"/>
        <v>-86.765833333333333</v>
      </c>
      <c r="R371" s="16" t="s">
        <v>580</v>
      </c>
    </row>
    <row r="372" spans="1:18" ht="15.75" x14ac:dyDescent="0.25">
      <c r="A372" s="1">
        <v>371</v>
      </c>
      <c r="B372" s="1" t="s">
        <v>696</v>
      </c>
      <c r="C372" s="1" t="s">
        <v>18</v>
      </c>
      <c r="D372" s="1" t="s">
        <v>19</v>
      </c>
      <c r="E372" s="19" t="s">
        <v>635</v>
      </c>
      <c r="F372" s="19" t="s">
        <v>660</v>
      </c>
      <c r="G372" s="19" t="s">
        <v>581</v>
      </c>
      <c r="H372" s="1" t="s">
        <v>324</v>
      </c>
      <c r="I372" s="1" t="s">
        <v>602</v>
      </c>
      <c r="J372" s="1" t="str">
        <f t="shared" si="59"/>
        <v>21</v>
      </c>
      <c r="K372" s="1" t="str">
        <f t="shared" si="60"/>
        <v>02</v>
      </c>
      <c r="L372" s="1" t="str">
        <f t="shared" si="61"/>
        <v>26</v>
      </c>
      <c r="M372" s="1" t="str">
        <f t="shared" si="62"/>
        <v>86</v>
      </c>
      <c r="N372" s="1" t="str">
        <f t="shared" si="63"/>
        <v>29</v>
      </c>
      <c r="O372" s="1" t="str">
        <f t="shared" si="64"/>
        <v>47</v>
      </c>
      <c r="P372" s="2">
        <f t="shared" si="65"/>
        <v>21.040555555555557</v>
      </c>
      <c r="Q372" s="2">
        <f t="shared" si="68"/>
        <v>-86.496388888888887</v>
      </c>
      <c r="R372" s="16" t="s">
        <v>580</v>
      </c>
    </row>
    <row r="373" spans="1:18" ht="15.75" x14ac:dyDescent="0.25">
      <c r="A373" s="1">
        <v>372</v>
      </c>
      <c r="B373" s="1" t="s">
        <v>696</v>
      </c>
      <c r="C373" s="1" t="s">
        <v>18</v>
      </c>
      <c r="D373" s="1" t="s">
        <v>19</v>
      </c>
      <c r="E373" s="19" t="s">
        <v>636</v>
      </c>
      <c r="F373" s="19" t="s">
        <v>659</v>
      </c>
      <c r="G373" s="19" t="s">
        <v>581</v>
      </c>
      <c r="H373" s="1" t="s">
        <v>324</v>
      </c>
      <c r="I373" s="1" t="s">
        <v>602</v>
      </c>
      <c r="J373" s="1" t="str">
        <f t="shared" si="59"/>
        <v>20</v>
      </c>
      <c r="K373" s="1" t="str">
        <f t="shared" si="60"/>
        <v>57</v>
      </c>
      <c r="L373" s="1" t="str">
        <f t="shared" si="61"/>
        <v>52</v>
      </c>
      <c r="M373" s="1" t="str">
        <f t="shared" si="62"/>
        <v>86</v>
      </c>
      <c r="N373" s="1" t="str">
        <f t="shared" si="63"/>
        <v>19</v>
      </c>
      <c r="O373" s="1" t="str">
        <f t="shared" si="64"/>
        <v>30</v>
      </c>
      <c r="P373" s="2">
        <f t="shared" si="65"/>
        <v>20.964444444444446</v>
      </c>
      <c r="Q373" s="2">
        <f t="shared" si="68"/>
        <v>-86.325000000000003</v>
      </c>
      <c r="R373" s="16" t="s">
        <v>580</v>
      </c>
    </row>
    <row r="374" spans="1:18" ht="15.75" x14ac:dyDescent="0.25">
      <c r="A374" s="1">
        <v>373</v>
      </c>
      <c r="B374" s="1" t="s">
        <v>696</v>
      </c>
      <c r="C374" s="1" t="s">
        <v>18</v>
      </c>
      <c r="D374" s="1" t="s">
        <v>19</v>
      </c>
      <c r="E374" s="19" t="s">
        <v>637</v>
      </c>
      <c r="F374" s="19" t="s">
        <v>658</v>
      </c>
      <c r="G374" s="19" t="s">
        <v>581</v>
      </c>
      <c r="H374" s="1" t="s">
        <v>324</v>
      </c>
      <c r="I374" s="1" t="s">
        <v>602</v>
      </c>
      <c r="J374" s="1" t="str">
        <f t="shared" si="59"/>
        <v>20</v>
      </c>
      <c r="K374" s="1" t="str">
        <f t="shared" si="60"/>
        <v>52</v>
      </c>
      <c r="L374" s="1" t="str">
        <f t="shared" si="61"/>
        <v>54</v>
      </c>
      <c r="M374" s="1" t="str">
        <f t="shared" si="62"/>
        <v>86</v>
      </c>
      <c r="N374" s="1" t="str">
        <f t="shared" si="63"/>
        <v>08</v>
      </c>
      <c r="O374" s="1" t="str">
        <f t="shared" si="64"/>
        <v>30</v>
      </c>
      <c r="P374" s="2">
        <f t="shared" si="65"/>
        <v>20.881666666666668</v>
      </c>
      <c r="Q374" s="2">
        <f t="shared" si="68"/>
        <v>-86.141666666666666</v>
      </c>
      <c r="R374" s="16" t="s">
        <v>580</v>
      </c>
    </row>
    <row r="375" spans="1:18" ht="15.75" x14ac:dyDescent="0.25">
      <c r="A375" s="1">
        <v>374</v>
      </c>
      <c r="B375" s="1" t="s">
        <v>696</v>
      </c>
      <c r="C375" s="1" t="s">
        <v>18</v>
      </c>
      <c r="D375" s="1" t="s">
        <v>19</v>
      </c>
      <c r="E375" s="19" t="s">
        <v>638</v>
      </c>
      <c r="F375" s="19" t="s">
        <v>657</v>
      </c>
      <c r="G375" s="19" t="s">
        <v>581</v>
      </c>
      <c r="H375" s="1" t="s">
        <v>324</v>
      </c>
      <c r="I375" s="1" t="s">
        <v>602</v>
      </c>
      <c r="J375" s="1" t="str">
        <f t="shared" si="59"/>
        <v>20</v>
      </c>
      <c r="K375" s="1" t="str">
        <f t="shared" si="60"/>
        <v>50</v>
      </c>
      <c r="L375" s="1" t="str">
        <f t="shared" si="61"/>
        <v>55</v>
      </c>
      <c r="M375" s="1" t="str">
        <f t="shared" si="62"/>
        <v>85</v>
      </c>
      <c r="N375" s="1" t="str">
        <f t="shared" si="63"/>
        <v>53</v>
      </c>
      <c r="O375" s="1" t="str">
        <f t="shared" si="64"/>
        <v>52</v>
      </c>
      <c r="P375" s="2">
        <f t="shared" si="65"/>
        <v>20.848611111111111</v>
      </c>
      <c r="Q375" s="2">
        <f t="shared" si="68"/>
        <v>-85.897777777777776</v>
      </c>
      <c r="R375" s="16" t="s">
        <v>580</v>
      </c>
    </row>
    <row r="376" spans="1:18" ht="15.75" x14ac:dyDescent="0.25">
      <c r="A376" s="1">
        <v>375</v>
      </c>
      <c r="B376" s="1" t="s">
        <v>696</v>
      </c>
      <c r="C376" s="1" t="s">
        <v>18</v>
      </c>
      <c r="D376" s="1" t="s">
        <v>19</v>
      </c>
      <c r="E376" s="19" t="s">
        <v>639</v>
      </c>
      <c r="F376" s="19" t="s">
        <v>656</v>
      </c>
      <c r="G376" s="19" t="s">
        <v>581</v>
      </c>
      <c r="H376" s="1" t="s">
        <v>324</v>
      </c>
      <c r="I376" s="1" t="s">
        <v>602</v>
      </c>
      <c r="J376" s="1" t="str">
        <f t="shared" si="59"/>
        <v>20</v>
      </c>
      <c r="K376" s="1" t="str">
        <f t="shared" si="60"/>
        <v>47</v>
      </c>
      <c r="L376" s="1" t="str">
        <f t="shared" si="61"/>
        <v>16</v>
      </c>
      <c r="M376" s="1" t="str">
        <f t="shared" si="62"/>
        <v>85</v>
      </c>
      <c r="N376" s="1" t="str">
        <f t="shared" si="63"/>
        <v>46</v>
      </c>
      <c r="O376" s="1" t="str">
        <f t="shared" si="64"/>
        <v>28</v>
      </c>
      <c r="P376" s="2">
        <f t="shared" si="65"/>
        <v>20.787777777777777</v>
      </c>
      <c r="Q376" s="2">
        <f t="shared" si="68"/>
        <v>-85.774444444444441</v>
      </c>
      <c r="R376" s="16" t="s">
        <v>580</v>
      </c>
    </row>
    <row r="377" spans="1:18" ht="15.75" x14ac:dyDescent="0.25">
      <c r="A377" s="1">
        <v>376</v>
      </c>
      <c r="B377" s="1" t="s">
        <v>696</v>
      </c>
      <c r="C377" s="1" t="s">
        <v>18</v>
      </c>
      <c r="D377" s="1" t="s">
        <v>19</v>
      </c>
      <c r="E377" s="19" t="s">
        <v>640</v>
      </c>
      <c r="F377" s="19" t="s">
        <v>655</v>
      </c>
      <c r="G377" s="19" t="s">
        <v>581</v>
      </c>
      <c r="H377" s="1" t="s">
        <v>324</v>
      </c>
      <c r="I377" s="1" t="s">
        <v>602</v>
      </c>
      <c r="J377" s="1" t="str">
        <f t="shared" si="59"/>
        <v>21</v>
      </c>
      <c r="K377" s="1" t="str">
        <f t="shared" si="60"/>
        <v>15</v>
      </c>
      <c r="L377" s="1" t="str">
        <f t="shared" si="61"/>
        <v>14</v>
      </c>
      <c r="M377" s="1" t="str">
        <f t="shared" si="62"/>
        <v>86</v>
      </c>
      <c r="N377" s="1" t="str">
        <f t="shared" si="63"/>
        <v>29</v>
      </c>
      <c r="O377" s="1" t="str">
        <f t="shared" si="64"/>
        <v>13</v>
      </c>
      <c r="P377" s="2">
        <f t="shared" si="65"/>
        <v>21.253888888888888</v>
      </c>
      <c r="Q377" s="2">
        <f t="shared" si="68"/>
        <v>-86.486944444444447</v>
      </c>
      <c r="R377" s="16" t="s">
        <v>580</v>
      </c>
    </row>
    <row r="378" spans="1:18" ht="15.75" x14ac:dyDescent="0.25">
      <c r="A378" s="1">
        <v>377</v>
      </c>
      <c r="B378" s="1" t="s">
        <v>696</v>
      </c>
      <c r="C378" s="1" t="s">
        <v>18</v>
      </c>
      <c r="D378" s="1" t="s">
        <v>19</v>
      </c>
      <c r="E378" s="19" t="s">
        <v>641</v>
      </c>
      <c r="F378" s="19" t="s">
        <v>654</v>
      </c>
      <c r="G378" s="19" t="s">
        <v>581</v>
      </c>
      <c r="H378" s="1" t="s">
        <v>324</v>
      </c>
      <c r="I378" s="1" t="s">
        <v>602</v>
      </c>
      <c r="J378" s="1" t="str">
        <f t="shared" si="59"/>
        <v>21</v>
      </c>
      <c r="K378" s="1" t="str">
        <f t="shared" si="60"/>
        <v>12</v>
      </c>
      <c r="L378" s="1" t="str">
        <f t="shared" si="61"/>
        <v>57</v>
      </c>
      <c r="M378" s="1" t="str">
        <f t="shared" si="62"/>
        <v>86</v>
      </c>
      <c r="N378" s="1" t="str">
        <f t="shared" si="63"/>
        <v>16</v>
      </c>
      <c r="O378" s="1" t="str">
        <f t="shared" si="64"/>
        <v>38</v>
      </c>
      <c r="P378" s="2">
        <f t="shared" si="65"/>
        <v>21.215833333333332</v>
      </c>
      <c r="Q378" s="2">
        <f t="shared" si="68"/>
        <v>-86.277222222222221</v>
      </c>
      <c r="R378" s="16" t="s">
        <v>580</v>
      </c>
    </row>
    <row r="379" spans="1:18" ht="15.75" x14ac:dyDescent="0.25">
      <c r="A379" s="1">
        <v>378</v>
      </c>
      <c r="B379" s="1" t="s">
        <v>696</v>
      </c>
      <c r="C379" s="1" t="s">
        <v>18</v>
      </c>
      <c r="D379" s="1" t="s">
        <v>19</v>
      </c>
      <c r="E379" s="19" t="s">
        <v>642</v>
      </c>
      <c r="F379" s="19" t="s">
        <v>653</v>
      </c>
      <c r="G379" s="19" t="s">
        <v>581</v>
      </c>
      <c r="H379" s="1" t="s">
        <v>324</v>
      </c>
      <c r="I379" s="1" t="s">
        <v>602</v>
      </c>
      <c r="J379" s="1" t="str">
        <f t="shared" ref="J379:J387" si="69">MID(E379,1,FIND("°",E379,1)-1)</f>
        <v>21</v>
      </c>
      <c r="K379" s="1" t="str">
        <f t="shared" ref="K379:K387" si="70">MID(E379,FIND("°",E379,1)+1,(FIND("′",E379,1)-FIND("°",E379,1))-1)</f>
        <v>09</v>
      </c>
      <c r="L379" s="1" t="str">
        <f t="shared" ref="L379:L387" si="71">MID(E379,FIND("′",E379,1)+1,(FIND("″",E379,1)-FIND("′",E379,1))-1)</f>
        <v>28</v>
      </c>
      <c r="M379" s="1" t="str">
        <f t="shared" ref="M379:M387" si="72">MID(F379,1,FIND("°",F379,1)-1)</f>
        <v>86</v>
      </c>
      <c r="N379" s="1" t="str">
        <f t="shared" ref="N379:N387" si="73">MID(F379,FIND("°",F379,1)+1,(FIND("′",F379,1)-FIND("°",F379,1))-1)</f>
        <v>06</v>
      </c>
      <c r="O379" s="1" t="str">
        <f t="shared" ref="O379:O387" si="74">MID(F379,FIND("′",F379,1)+1,(FIND("″",F379,1)-FIND("′",F379,1))-1)</f>
        <v>54</v>
      </c>
      <c r="P379" s="2">
        <f t="shared" ref="P379:P387" si="75">((((L379/60)+K379)/60)+J379)*IF(C379="S",-1, 1)</f>
        <v>21.157777777777778</v>
      </c>
      <c r="Q379" s="2">
        <f t="shared" si="68"/>
        <v>-86.114999999999995</v>
      </c>
      <c r="R379" s="16" t="s">
        <v>580</v>
      </c>
    </row>
    <row r="380" spans="1:18" ht="15.75" x14ac:dyDescent="0.25">
      <c r="A380" s="1">
        <v>379</v>
      </c>
      <c r="B380" s="1" t="s">
        <v>696</v>
      </c>
      <c r="C380" s="1" t="s">
        <v>18</v>
      </c>
      <c r="D380" s="1" t="s">
        <v>19</v>
      </c>
      <c r="E380" s="19" t="s">
        <v>643</v>
      </c>
      <c r="F380" s="19" t="s">
        <v>652</v>
      </c>
      <c r="G380" s="19" t="s">
        <v>581</v>
      </c>
      <c r="H380" s="1" t="s">
        <v>324</v>
      </c>
      <c r="I380" s="1" t="s">
        <v>602</v>
      </c>
      <c r="J380" s="1" t="str">
        <f t="shared" si="69"/>
        <v>21</v>
      </c>
      <c r="K380" s="1" t="str">
        <f t="shared" si="70"/>
        <v>05</v>
      </c>
      <c r="L380" s="1" t="str">
        <f t="shared" si="71"/>
        <v>58</v>
      </c>
      <c r="M380" s="1" t="str">
        <f t="shared" si="72"/>
        <v>85</v>
      </c>
      <c r="N380" s="1" t="str">
        <f t="shared" si="73"/>
        <v>45</v>
      </c>
      <c r="O380" s="1" t="str">
        <f t="shared" si="74"/>
        <v>38</v>
      </c>
      <c r="P380" s="2">
        <f t="shared" si="75"/>
        <v>21.099444444444444</v>
      </c>
      <c r="Q380" s="2">
        <f t="shared" si="68"/>
        <v>-85.760555555555555</v>
      </c>
      <c r="R380" s="16" t="s">
        <v>580</v>
      </c>
    </row>
    <row r="381" spans="1:18" ht="15.75" x14ac:dyDescent="0.25">
      <c r="A381" s="1">
        <v>380</v>
      </c>
      <c r="B381" s="1" t="s">
        <v>696</v>
      </c>
      <c r="C381" s="1" t="s">
        <v>18</v>
      </c>
      <c r="D381" s="1" t="s">
        <v>19</v>
      </c>
      <c r="E381" s="19" t="s">
        <v>644</v>
      </c>
      <c r="F381" s="19" t="s">
        <v>651</v>
      </c>
      <c r="G381" s="19" t="s">
        <v>581</v>
      </c>
      <c r="H381" s="1" t="s">
        <v>324</v>
      </c>
      <c r="I381" s="1" t="s">
        <v>602</v>
      </c>
      <c r="J381" s="1" t="str">
        <f t="shared" si="69"/>
        <v>21</v>
      </c>
      <c r="K381" s="1" t="str">
        <f t="shared" si="70"/>
        <v>36</v>
      </c>
      <c r="L381" s="1" t="str">
        <f t="shared" si="71"/>
        <v>50</v>
      </c>
      <c r="M381" s="1" t="str">
        <f t="shared" si="72"/>
        <v>86</v>
      </c>
      <c r="N381" s="1" t="str">
        <f t="shared" si="73"/>
        <v>17</v>
      </c>
      <c r="O381" s="1" t="str">
        <f t="shared" si="74"/>
        <v>07</v>
      </c>
      <c r="P381" s="2">
        <f t="shared" si="75"/>
        <v>21.613888888888887</v>
      </c>
      <c r="Q381" s="2">
        <f t="shared" si="68"/>
        <v>-86.285277777777779</v>
      </c>
      <c r="R381" s="16" t="s">
        <v>580</v>
      </c>
    </row>
    <row r="382" spans="1:18" ht="15.75" x14ac:dyDescent="0.25">
      <c r="A382" s="1">
        <v>381</v>
      </c>
      <c r="B382" s="1" t="s">
        <v>696</v>
      </c>
      <c r="C382" s="1" t="s">
        <v>18</v>
      </c>
      <c r="D382" s="1" t="s">
        <v>19</v>
      </c>
      <c r="E382" s="19" t="s">
        <v>645</v>
      </c>
      <c r="F382" s="19" t="s">
        <v>650</v>
      </c>
      <c r="G382" s="19" t="s">
        <v>581</v>
      </c>
      <c r="H382" s="1" t="s">
        <v>324</v>
      </c>
      <c r="I382" s="1" t="s">
        <v>602</v>
      </c>
      <c r="J382" s="1" t="str">
        <f t="shared" si="69"/>
        <v>21</v>
      </c>
      <c r="K382" s="1" t="str">
        <f t="shared" si="70"/>
        <v>35</v>
      </c>
      <c r="L382" s="1" t="str">
        <f t="shared" si="71"/>
        <v>49</v>
      </c>
      <c r="M382" s="1" t="str">
        <f t="shared" si="72"/>
        <v>86</v>
      </c>
      <c r="N382" s="1" t="str">
        <f t="shared" si="73"/>
        <v>07</v>
      </c>
      <c r="O382" s="1" t="str">
        <f t="shared" si="74"/>
        <v>40</v>
      </c>
      <c r="P382" s="2">
        <f t="shared" si="75"/>
        <v>21.596944444444446</v>
      </c>
      <c r="Q382" s="2">
        <f t="shared" si="68"/>
        <v>-86.12777777777778</v>
      </c>
      <c r="R382" s="16" t="s">
        <v>580</v>
      </c>
    </row>
    <row r="383" spans="1:18" ht="15.75" x14ac:dyDescent="0.25">
      <c r="A383" s="1">
        <v>382</v>
      </c>
      <c r="B383" s="1" t="s">
        <v>696</v>
      </c>
      <c r="C383" s="1" t="s">
        <v>18</v>
      </c>
      <c r="D383" s="1" t="s">
        <v>19</v>
      </c>
      <c r="E383" s="19" t="s">
        <v>646</v>
      </c>
      <c r="F383" s="19" t="s">
        <v>649</v>
      </c>
      <c r="G383" s="19" t="s">
        <v>581</v>
      </c>
      <c r="H383" s="1" t="s">
        <v>324</v>
      </c>
      <c r="I383" s="1" t="s">
        <v>602</v>
      </c>
      <c r="J383" s="1" t="str">
        <f t="shared" si="69"/>
        <v>21</v>
      </c>
      <c r="K383" s="1" t="str">
        <f t="shared" si="70"/>
        <v>34</v>
      </c>
      <c r="L383" s="1" t="str">
        <f t="shared" si="71"/>
        <v>51</v>
      </c>
      <c r="M383" s="1" t="str">
        <f t="shared" si="72"/>
        <v>85</v>
      </c>
      <c r="N383" s="1" t="str">
        <f t="shared" si="73"/>
        <v>59</v>
      </c>
      <c r="O383" s="1" t="str">
        <f t="shared" si="74"/>
        <v>26</v>
      </c>
      <c r="P383" s="2">
        <f t="shared" si="75"/>
        <v>21.580833333333334</v>
      </c>
      <c r="Q383" s="2">
        <f t="shared" si="68"/>
        <v>-85.990555555555559</v>
      </c>
      <c r="R383" s="16" t="s">
        <v>580</v>
      </c>
    </row>
    <row r="384" spans="1:18" ht="15.75" x14ac:dyDescent="0.25">
      <c r="A384" s="1">
        <v>383</v>
      </c>
      <c r="B384" s="1" t="s">
        <v>696</v>
      </c>
      <c r="C384" s="1" t="s">
        <v>18</v>
      </c>
      <c r="D384" s="1" t="s">
        <v>19</v>
      </c>
      <c r="E384" s="19" t="s">
        <v>647</v>
      </c>
      <c r="F384" s="19" t="s">
        <v>648</v>
      </c>
      <c r="G384" s="19" t="s">
        <v>581</v>
      </c>
      <c r="H384" s="1" t="s">
        <v>324</v>
      </c>
      <c r="I384" s="1" t="s">
        <v>602</v>
      </c>
      <c r="J384" s="1" t="str">
        <f t="shared" si="69"/>
        <v>21</v>
      </c>
      <c r="K384" s="1" t="str">
        <f t="shared" si="70"/>
        <v>29</v>
      </c>
      <c r="L384" s="1" t="str">
        <f t="shared" si="71"/>
        <v>14</v>
      </c>
      <c r="M384" s="1" t="str">
        <f t="shared" si="72"/>
        <v>85</v>
      </c>
      <c r="N384" s="1" t="str">
        <f t="shared" si="73"/>
        <v>31</v>
      </c>
      <c r="O384" s="1" t="str">
        <f t="shared" si="74"/>
        <v>58</v>
      </c>
      <c r="P384" s="2">
        <f t="shared" si="75"/>
        <v>21.487222222222222</v>
      </c>
      <c r="Q384" s="2">
        <f t="shared" si="68"/>
        <v>-85.532777777777781</v>
      </c>
      <c r="R384" s="16" t="s">
        <v>580</v>
      </c>
    </row>
    <row r="385" spans="1:18" ht="15.75" x14ac:dyDescent="0.25">
      <c r="A385" s="1">
        <v>384</v>
      </c>
      <c r="B385" s="1" t="s">
        <v>696</v>
      </c>
      <c r="C385" s="1" t="s">
        <v>18</v>
      </c>
      <c r="D385" s="1" t="s">
        <v>19</v>
      </c>
      <c r="E385" s="7" t="s">
        <v>222</v>
      </c>
      <c r="F385" s="2" t="s">
        <v>223</v>
      </c>
      <c r="G385" s="7" t="s">
        <v>239</v>
      </c>
      <c r="H385" s="1" t="s">
        <v>23</v>
      </c>
      <c r="I385" s="7" t="s">
        <v>240</v>
      </c>
      <c r="J385" s="1" t="str">
        <f t="shared" si="69"/>
        <v>20</v>
      </c>
      <c r="K385" s="1" t="str">
        <f t="shared" si="70"/>
        <v>51</v>
      </c>
      <c r="L385" s="1" t="str">
        <f t="shared" si="71"/>
        <v>00</v>
      </c>
      <c r="M385" s="1" t="str">
        <f t="shared" si="72"/>
        <v>86</v>
      </c>
      <c r="N385" s="1" t="str">
        <f t="shared" si="73"/>
        <v>55</v>
      </c>
      <c r="O385" s="1" t="str">
        <f t="shared" si="74"/>
        <v>00</v>
      </c>
      <c r="P385" s="2">
        <f t="shared" si="75"/>
        <v>20.85</v>
      </c>
      <c r="Q385" s="2">
        <f t="shared" ref="Q385:Q387" si="76">((((O385/60)+N385)/60)+M385)*IF(D385="W",-1, 1)</f>
        <v>-86.916666666666671</v>
      </c>
      <c r="R385" s="16" t="s">
        <v>241</v>
      </c>
    </row>
    <row r="386" spans="1:18" ht="15.75" x14ac:dyDescent="0.25">
      <c r="A386" s="1">
        <v>385</v>
      </c>
      <c r="B386" s="1" t="s">
        <v>696</v>
      </c>
      <c r="C386" s="1" t="s">
        <v>18</v>
      </c>
      <c r="D386" s="1" t="s">
        <v>19</v>
      </c>
      <c r="E386" s="7" t="s">
        <v>222</v>
      </c>
      <c r="F386" s="2" t="s">
        <v>223</v>
      </c>
      <c r="G386" s="7" t="s">
        <v>224</v>
      </c>
      <c r="H386" s="1" t="s">
        <v>23</v>
      </c>
      <c r="I386" s="7" t="s">
        <v>225</v>
      </c>
      <c r="J386" s="1" t="str">
        <f t="shared" si="69"/>
        <v>20</v>
      </c>
      <c r="K386" s="1" t="str">
        <f t="shared" si="70"/>
        <v>51</v>
      </c>
      <c r="L386" s="1" t="str">
        <f t="shared" si="71"/>
        <v>00</v>
      </c>
      <c r="M386" s="1" t="str">
        <f t="shared" si="72"/>
        <v>86</v>
      </c>
      <c r="N386" s="1" t="str">
        <f t="shared" si="73"/>
        <v>55</v>
      </c>
      <c r="O386" s="1" t="str">
        <f t="shared" si="74"/>
        <v>00</v>
      </c>
      <c r="P386" s="2">
        <f t="shared" si="75"/>
        <v>20.85</v>
      </c>
      <c r="Q386" s="2">
        <f t="shared" si="76"/>
        <v>-86.916666666666671</v>
      </c>
      <c r="R386" s="16" t="s">
        <v>226</v>
      </c>
    </row>
    <row r="387" spans="1:18" ht="15.75" x14ac:dyDescent="0.25">
      <c r="A387" s="1">
        <v>386</v>
      </c>
      <c r="B387" s="1" t="s">
        <v>696</v>
      </c>
      <c r="C387" s="1" t="s">
        <v>26</v>
      </c>
      <c r="D387" s="1" t="s">
        <v>19</v>
      </c>
      <c r="E387" s="7" t="s">
        <v>158</v>
      </c>
      <c r="F387" s="7" t="s">
        <v>159</v>
      </c>
      <c r="G387" s="7" t="s">
        <v>160</v>
      </c>
      <c r="H387" s="1" t="s">
        <v>23</v>
      </c>
      <c r="I387" s="7" t="s">
        <v>161</v>
      </c>
      <c r="J387" s="1" t="str">
        <f t="shared" si="69"/>
        <v>8</v>
      </c>
      <c r="K387" s="1" t="str">
        <f t="shared" si="70"/>
        <v>45</v>
      </c>
      <c r="L387" s="1" t="e">
        <f t="shared" si="71"/>
        <v>#VALUE!</v>
      </c>
      <c r="M387" s="1" t="str">
        <f t="shared" si="72"/>
        <v>34</v>
      </c>
      <c r="N387" s="1" t="str">
        <f t="shared" si="73"/>
        <v>57</v>
      </c>
      <c r="O387" s="1" t="e">
        <f t="shared" si="74"/>
        <v>#VALUE!</v>
      </c>
      <c r="P387" s="2" t="e">
        <f t="shared" si="75"/>
        <v>#VALUE!</v>
      </c>
      <c r="Q387" s="2" t="e">
        <f t="shared" si="76"/>
        <v>#VALUE!</v>
      </c>
      <c r="R387" s="16" t="s">
        <v>162</v>
      </c>
    </row>
    <row r="388" spans="1:18" ht="15.75" x14ac:dyDescent="0.25">
      <c r="A388" s="1">
        <v>387</v>
      </c>
      <c r="B388" s="1" t="s">
        <v>696</v>
      </c>
      <c r="C388" s="1" t="s">
        <v>18</v>
      </c>
      <c r="D388" s="1" t="s">
        <v>19</v>
      </c>
      <c r="E388" s="19" t="s">
        <v>698</v>
      </c>
      <c r="F388" s="19" t="s">
        <v>725</v>
      </c>
      <c r="G388" s="19" t="s">
        <v>697</v>
      </c>
      <c r="H388" s="1" t="s">
        <v>23</v>
      </c>
      <c r="I388" s="10" t="s">
        <v>726</v>
      </c>
      <c r="J388" s="1" t="str">
        <f t="shared" ref="J388" si="77">MID(E388,1,FIND("°",E388,1)-1)</f>
        <v>20</v>
      </c>
      <c r="K388" s="1" t="str">
        <f t="shared" ref="K388" si="78">MID(E388,FIND("°",E388,1)+1,(FIND("′",E388,1)-FIND("°",E388,1))-1)</f>
        <v>00</v>
      </c>
      <c r="L388" s="1" t="str">
        <f t="shared" ref="L388" si="79">MID(E388,FIND("′",E388,1)+1,(FIND("″",E388,1)-FIND("′",E388,1))-1)</f>
        <v>00</v>
      </c>
      <c r="M388" s="1" t="str">
        <f t="shared" ref="M388" si="80">MID(F388,1,FIND("°",F388,1)-1)</f>
        <v>78</v>
      </c>
      <c r="N388" s="1" t="str">
        <f t="shared" ref="N388" si="81">MID(F388,FIND("°",F388,1)+1,(FIND("′",F388,1)-FIND("°",F388,1))-1)</f>
        <v>00</v>
      </c>
      <c r="O388" s="1" t="str">
        <f t="shared" ref="O388" si="82">MID(F388,FIND("′",F388,1)+1,(FIND("″",F388,1)-FIND("′",F388,1))-1)</f>
        <v>00</v>
      </c>
      <c r="P388" s="2">
        <f t="shared" ref="P388" si="83">((((L388/60)+K388)/60)+J388)*IF(C388="S",-1, 1)</f>
        <v>20</v>
      </c>
      <c r="Q388" s="2">
        <f t="shared" ref="Q388" si="84">((((O388/60)+N388)/60)+M388)*IF(D388="W",-1, 1)</f>
        <v>-78</v>
      </c>
      <c r="R388" s="16" t="s">
        <v>697</v>
      </c>
    </row>
    <row r="389" spans="1:18" ht="15.75" x14ac:dyDescent="0.25">
      <c r="A389" s="1">
        <v>388</v>
      </c>
      <c r="B389" s="1" t="s">
        <v>696</v>
      </c>
      <c r="C389" s="1" t="s">
        <v>18</v>
      </c>
      <c r="D389" s="1" t="s">
        <v>19</v>
      </c>
      <c r="E389" s="19" t="s">
        <v>699</v>
      </c>
      <c r="F389" s="19" t="s">
        <v>724</v>
      </c>
      <c r="G389" s="19" t="s">
        <v>697</v>
      </c>
      <c r="H389" s="1" t="s">
        <v>23</v>
      </c>
      <c r="I389" s="10" t="s">
        <v>726</v>
      </c>
      <c r="J389" s="1" t="str">
        <f t="shared" ref="J389:J412" si="85">MID(E389,1,FIND("°",E389,1)-1)</f>
        <v>18</v>
      </c>
      <c r="K389" s="1" t="str">
        <f t="shared" ref="K389:K412" si="86">MID(E389,FIND("°",E389,1)+1,(FIND("′",E389,1)-FIND("°",E389,1))-1)</f>
        <v>55</v>
      </c>
      <c r="L389" s="1" t="str">
        <f t="shared" ref="L389:L412" si="87">MID(E389,FIND("′",E389,1)+1,(FIND("″",E389,1)-FIND("′",E389,1))-1)</f>
        <v>00</v>
      </c>
      <c r="M389" s="1" t="str">
        <f t="shared" ref="M389:M412" si="88">MID(F389,1,FIND("°",F389,1)-1)</f>
        <v>75</v>
      </c>
      <c r="N389" s="1" t="str">
        <f t="shared" ref="N389:N412" si="89">MID(F389,FIND("°",F389,1)+1,(FIND("′",F389,1)-FIND("°",F389,1))-1)</f>
        <v>20</v>
      </c>
      <c r="O389" s="1" t="str">
        <f t="shared" ref="O389:O412" si="90">MID(F389,FIND("′",F389,1)+1,(FIND("″",F389,1)-FIND("′",F389,1))-1)</f>
        <v>00</v>
      </c>
      <c r="P389" s="2">
        <f t="shared" ref="P389:P412" si="91">((((L389/60)+K389)/60)+J389)*IF(C389="S",-1, 1)</f>
        <v>18.916666666666668</v>
      </c>
      <c r="Q389" s="2">
        <f t="shared" ref="Q389:Q412" si="92">((((O389/60)+N389)/60)+M389)*IF(D389="W",-1, 1)</f>
        <v>-75.333333333333329</v>
      </c>
      <c r="R389" s="16" t="s">
        <v>697</v>
      </c>
    </row>
    <row r="390" spans="1:18" ht="15.75" x14ac:dyDescent="0.25">
      <c r="A390" s="1">
        <v>389</v>
      </c>
      <c r="B390" s="1" t="s">
        <v>696</v>
      </c>
      <c r="C390" s="1" t="s">
        <v>18</v>
      </c>
      <c r="D390" s="1" t="s">
        <v>19</v>
      </c>
      <c r="E390" s="19" t="s">
        <v>700</v>
      </c>
      <c r="F390" s="19" t="s">
        <v>723</v>
      </c>
      <c r="G390" s="19" t="s">
        <v>697</v>
      </c>
      <c r="H390" s="1" t="s">
        <v>23</v>
      </c>
      <c r="I390" s="10" t="s">
        <v>726</v>
      </c>
      <c r="J390" s="1" t="str">
        <f t="shared" si="85"/>
        <v>19</v>
      </c>
      <c r="K390" s="1" t="str">
        <f t="shared" si="86"/>
        <v>46</v>
      </c>
      <c r="L390" s="1" t="str">
        <f t="shared" si="87"/>
        <v>00</v>
      </c>
      <c r="M390" s="1" t="str">
        <f t="shared" si="88"/>
        <v>76</v>
      </c>
      <c r="N390" s="1" t="str">
        <f t="shared" si="89"/>
        <v>42</v>
      </c>
      <c r="O390" s="1" t="str">
        <f t="shared" si="90"/>
        <v>00</v>
      </c>
      <c r="P390" s="2">
        <f t="shared" si="91"/>
        <v>19.766666666666666</v>
      </c>
      <c r="Q390" s="2">
        <f t="shared" si="92"/>
        <v>-76.7</v>
      </c>
      <c r="R390" s="16" t="s">
        <v>697</v>
      </c>
    </row>
    <row r="391" spans="1:18" ht="15.75" x14ac:dyDescent="0.25">
      <c r="A391" s="1">
        <v>390</v>
      </c>
      <c r="B391" s="1" t="s">
        <v>696</v>
      </c>
      <c r="C391" s="1" t="s">
        <v>18</v>
      </c>
      <c r="D391" s="1" t="s">
        <v>19</v>
      </c>
      <c r="E391" s="19" t="s">
        <v>701</v>
      </c>
      <c r="F391" s="19" t="s">
        <v>722</v>
      </c>
      <c r="G391" s="19" t="s">
        <v>697</v>
      </c>
      <c r="H391" s="1" t="s">
        <v>23</v>
      </c>
      <c r="I391" s="10" t="s">
        <v>726</v>
      </c>
      <c r="J391" s="1" t="str">
        <f t="shared" si="85"/>
        <v>20</v>
      </c>
      <c r="K391" s="1" t="str">
        <f t="shared" si="86"/>
        <v>24</v>
      </c>
      <c r="L391" s="1" t="str">
        <f t="shared" si="87"/>
        <v>00</v>
      </c>
      <c r="M391" s="1" t="str">
        <f t="shared" si="88"/>
        <v>78</v>
      </c>
      <c r="N391" s="1" t="str">
        <f t="shared" si="89"/>
        <v>30</v>
      </c>
      <c r="O391" s="1" t="str">
        <f t="shared" si="90"/>
        <v>00</v>
      </c>
      <c r="P391" s="2">
        <f t="shared" si="91"/>
        <v>20.399999999999999</v>
      </c>
      <c r="Q391" s="2">
        <f t="shared" si="92"/>
        <v>-78.5</v>
      </c>
      <c r="R391" s="16" t="s">
        <v>697</v>
      </c>
    </row>
    <row r="392" spans="1:18" ht="15.75" x14ac:dyDescent="0.25">
      <c r="A392" s="1">
        <v>391</v>
      </c>
      <c r="B392" s="1" t="s">
        <v>696</v>
      </c>
      <c r="C392" s="1" t="s">
        <v>18</v>
      </c>
      <c r="D392" s="1" t="s">
        <v>19</v>
      </c>
      <c r="E392" s="19" t="s">
        <v>702</v>
      </c>
      <c r="F392" s="19" t="s">
        <v>721</v>
      </c>
      <c r="G392" s="19" t="s">
        <v>697</v>
      </c>
      <c r="H392" s="1" t="s">
        <v>23</v>
      </c>
      <c r="I392" s="10" t="s">
        <v>726</v>
      </c>
      <c r="J392" s="1" t="str">
        <f t="shared" si="85"/>
        <v>19</v>
      </c>
      <c r="K392" s="1" t="str">
        <f t="shared" si="86"/>
        <v>40</v>
      </c>
      <c r="L392" s="1" t="str">
        <f t="shared" si="87"/>
        <v>00</v>
      </c>
      <c r="M392" s="1" t="str">
        <f t="shared" si="88"/>
        <v>75</v>
      </c>
      <c r="N392" s="1" t="str">
        <f t="shared" si="89"/>
        <v>25</v>
      </c>
      <c r="O392" s="1" t="str">
        <f t="shared" si="90"/>
        <v>00</v>
      </c>
      <c r="P392" s="2">
        <f t="shared" si="91"/>
        <v>19.666666666666668</v>
      </c>
      <c r="Q392" s="2">
        <f t="shared" si="92"/>
        <v>-75.416666666666671</v>
      </c>
      <c r="R392" s="16" t="s">
        <v>697</v>
      </c>
    </row>
    <row r="393" spans="1:18" ht="15.75" x14ac:dyDescent="0.25">
      <c r="A393" s="1">
        <v>392</v>
      </c>
      <c r="B393" s="1" t="s">
        <v>696</v>
      </c>
      <c r="C393" s="1" t="s">
        <v>18</v>
      </c>
      <c r="D393" s="1" t="s">
        <v>19</v>
      </c>
      <c r="E393" s="19" t="s">
        <v>703</v>
      </c>
      <c r="F393" s="19" t="s">
        <v>717</v>
      </c>
      <c r="G393" s="19" t="s">
        <v>697</v>
      </c>
      <c r="H393" s="1" t="s">
        <v>23</v>
      </c>
      <c r="I393" s="10" t="s">
        <v>726</v>
      </c>
      <c r="J393" s="1" t="str">
        <f t="shared" si="85"/>
        <v>21</v>
      </c>
      <c r="K393" s="1" t="str">
        <f t="shared" si="86"/>
        <v>25</v>
      </c>
      <c r="L393" s="1" t="str">
        <f t="shared" si="87"/>
        <v>00</v>
      </c>
      <c r="M393" s="1" t="str">
        <f t="shared" si="88"/>
        <v>80</v>
      </c>
      <c r="N393" s="1" t="str">
        <f t="shared" si="89"/>
        <v>55</v>
      </c>
      <c r="O393" s="1" t="str">
        <f t="shared" si="90"/>
        <v>00</v>
      </c>
      <c r="P393" s="2">
        <f t="shared" si="91"/>
        <v>21.416666666666668</v>
      </c>
      <c r="Q393" s="2">
        <f t="shared" si="92"/>
        <v>-80.916666666666671</v>
      </c>
      <c r="R393" s="16" t="s">
        <v>697</v>
      </c>
    </row>
    <row r="394" spans="1:18" ht="15.75" x14ac:dyDescent="0.25">
      <c r="A394" s="1">
        <v>393</v>
      </c>
      <c r="B394" s="1" t="s">
        <v>696</v>
      </c>
      <c r="C394" s="1" t="s">
        <v>18</v>
      </c>
      <c r="D394" s="1" t="s">
        <v>19</v>
      </c>
      <c r="E394" s="19" t="s">
        <v>705</v>
      </c>
      <c r="F394" s="19" t="s">
        <v>720</v>
      </c>
      <c r="G394" s="19" t="s">
        <v>697</v>
      </c>
      <c r="H394" s="1" t="s">
        <v>23</v>
      </c>
      <c r="I394" s="10" t="s">
        <v>726</v>
      </c>
      <c r="J394" s="1" t="str">
        <f t="shared" si="85"/>
        <v>19</v>
      </c>
      <c r="K394" s="1" t="str">
        <f t="shared" si="86"/>
        <v>30</v>
      </c>
      <c r="L394" s="1" t="str">
        <f t="shared" si="87"/>
        <v>00</v>
      </c>
      <c r="M394" s="1" t="str">
        <f t="shared" si="88"/>
        <v>78</v>
      </c>
      <c r="N394" s="1" t="str">
        <f t="shared" si="89"/>
        <v>00</v>
      </c>
      <c r="O394" s="1" t="str">
        <f t="shared" si="90"/>
        <v>00</v>
      </c>
      <c r="P394" s="2">
        <f t="shared" si="91"/>
        <v>19.5</v>
      </c>
      <c r="Q394" s="2">
        <f t="shared" si="92"/>
        <v>-78</v>
      </c>
      <c r="R394" s="16" t="s">
        <v>697</v>
      </c>
    </row>
    <row r="395" spans="1:18" ht="15.75" x14ac:dyDescent="0.25">
      <c r="A395" s="1">
        <v>394</v>
      </c>
      <c r="B395" s="1" t="s">
        <v>696</v>
      </c>
      <c r="C395" s="1" t="s">
        <v>18</v>
      </c>
      <c r="D395" s="1" t="s">
        <v>19</v>
      </c>
      <c r="E395" s="19" t="s">
        <v>706</v>
      </c>
      <c r="F395" s="19" t="s">
        <v>719</v>
      </c>
      <c r="G395" s="19" t="s">
        <v>697</v>
      </c>
      <c r="H395" s="1" t="s">
        <v>23</v>
      </c>
      <c r="I395" s="10" t="s">
        <v>726</v>
      </c>
      <c r="J395" s="1" t="str">
        <f t="shared" si="85"/>
        <v>19</v>
      </c>
      <c r="K395" s="1" t="str">
        <f t="shared" si="86"/>
        <v>50</v>
      </c>
      <c r="L395" s="1" t="str">
        <f t="shared" si="87"/>
        <v>00</v>
      </c>
      <c r="M395" s="1" t="str">
        <f t="shared" si="88"/>
        <v>75</v>
      </c>
      <c r="N395" s="1" t="str">
        <f t="shared" si="89"/>
        <v>00</v>
      </c>
      <c r="O395" s="1" t="str">
        <f t="shared" si="90"/>
        <v>00</v>
      </c>
      <c r="P395" s="2">
        <f t="shared" si="91"/>
        <v>19.833333333333332</v>
      </c>
      <c r="Q395" s="2">
        <f t="shared" si="92"/>
        <v>-75</v>
      </c>
      <c r="R395" s="16" t="s">
        <v>697</v>
      </c>
    </row>
    <row r="396" spans="1:18" ht="15.75" x14ac:dyDescent="0.25">
      <c r="A396" s="1">
        <v>395</v>
      </c>
      <c r="B396" s="1" t="s">
        <v>696</v>
      </c>
      <c r="C396" s="1" t="s">
        <v>18</v>
      </c>
      <c r="D396" s="1" t="s">
        <v>19</v>
      </c>
      <c r="E396" s="19" t="s">
        <v>702</v>
      </c>
      <c r="F396" s="19" t="s">
        <v>715</v>
      </c>
      <c r="G396" s="19" t="s">
        <v>697</v>
      </c>
      <c r="H396" s="1" t="s">
        <v>23</v>
      </c>
      <c r="I396" s="10" t="s">
        <v>726</v>
      </c>
      <c r="J396" s="1" t="str">
        <f t="shared" si="85"/>
        <v>19</v>
      </c>
      <c r="K396" s="1" t="str">
        <f t="shared" si="86"/>
        <v>40</v>
      </c>
      <c r="L396" s="1" t="str">
        <f t="shared" si="87"/>
        <v>00</v>
      </c>
      <c r="M396" s="1" t="str">
        <f t="shared" si="88"/>
        <v>76</v>
      </c>
      <c r="N396" s="1" t="str">
        <f t="shared" si="89"/>
        <v>00</v>
      </c>
      <c r="O396" s="1" t="str">
        <f t="shared" si="90"/>
        <v>00</v>
      </c>
      <c r="P396" s="2">
        <f t="shared" si="91"/>
        <v>19.666666666666668</v>
      </c>
      <c r="Q396" s="2">
        <f t="shared" si="92"/>
        <v>-76</v>
      </c>
      <c r="R396" s="16" t="s">
        <v>697</v>
      </c>
    </row>
    <row r="397" spans="1:18" ht="15.75" x14ac:dyDescent="0.25">
      <c r="A397" s="1">
        <v>396</v>
      </c>
      <c r="B397" s="1" t="s">
        <v>696</v>
      </c>
      <c r="C397" s="1" t="s">
        <v>18</v>
      </c>
      <c r="D397" s="1" t="s">
        <v>19</v>
      </c>
      <c r="E397" s="19" t="s">
        <v>704</v>
      </c>
      <c r="F397" s="19" t="s">
        <v>718</v>
      </c>
      <c r="G397" s="19" t="s">
        <v>697</v>
      </c>
      <c r="H397" s="1" t="s">
        <v>23</v>
      </c>
      <c r="I397" s="10" t="s">
        <v>726</v>
      </c>
      <c r="J397" s="1" t="str">
        <f t="shared" si="85"/>
        <v>21</v>
      </c>
      <c r="K397" s="1" t="str">
        <f t="shared" si="86"/>
        <v>30</v>
      </c>
      <c r="L397" s="1" t="str">
        <f t="shared" si="87"/>
        <v>00</v>
      </c>
      <c r="M397" s="1" t="str">
        <f t="shared" si="88"/>
        <v>80</v>
      </c>
      <c r="N397" s="1" t="str">
        <f t="shared" si="89"/>
        <v>42</v>
      </c>
      <c r="O397" s="1" t="str">
        <f t="shared" si="90"/>
        <v>00</v>
      </c>
      <c r="P397" s="2">
        <f t="shared" si="91"/>
        <v>21.5</v>
      </c>
      <c r="Q397" s="2">
        <f t="shared" si="92"/>
        <v>-80.7</v>
      </c>
      <c r="R397" s="16" t="s">
        <v>697</v>
      </c>
    </row>
    <row r="398" spans="1:18" ht="15.75" x14ac:dyDescent="0.25">
      <c r="A398" s="1">
        <v>397</v>
      </c>
      <c r="B398" s="1" t="s">
        <v>696</v>
      </c>
      <c r="C398" s="1" t="s">
        <v>18</v>
      </c>
      <c r="D398" s="1" t="s">
        <v>19</v>
      </c>
      <c r="E398" s="19" t="s">
        <v>703</v>
      </c>
      <c r="F398" s="19" t="s">
        <v>717</v>
      </c>
      <c r="G398" s="19" t="s">
        <v>697</v>
      </c>
      <c r="H398" s="1" t="s">
        <v>23</v>
      </c>
      <c r="I398" s="10" t="s">
        <v>726</v>
      </c>
      <c r="J398" s="1" t="str">
        <f t="shared" si="85"/>
        <v>21</v>
      </c>
      <c r="K398" s="1" t="str">
        <f t="shared" si="86"/>
        <v>25</v>
      </c>
      <c r="L398" s="1" t="str">
        <f t="shared" si="87"/>
        <v>00</v>
      </c>
      <c r="M398" s="1" t="str">
        <f t="shared" si="88"/>
        <v>80</v>
      </c>
      <c r="N398" s="1" t="str">
        <f t="shared" si="89"/>
        <v>55</v>
      </c>
      <c r="O398" s="1" t="str">
        <f t="shared" si="90"/>
        <v>00</v>
      </c>
      <c r="P398" s="2">
        <f t="shared" si="91"/>
        <v>21.416666666666668</v>
      </c>
      <c r="Q398" s="2">
        <f t="shared" si="92"/>
        <v>-80.916666666666671</v>
      </c>
      <c r="R398" s="16" t="s">
        <v>697</v>
      </c>
    </row>
    <row r="399" spans="1:18" ht="15.75" x14ac:dyDescent="0.25">
      <c r="A399" s="1">
        <v>398</v>
      </c>
      <c r="B399" s="1" t="s">
        <v>696</v>
      </c>
      <c r="C399" s="1" t="s">
        <v>18</v>
      </c>
      <c r="D399" s="1" t="s">
        <v>19</v>
      </c>
      <c r="E399" s="19" t="s">
        <v>707</v>
      </c>
      <c r="F399" s="19" t="s">
        <v>716</v>
      </c>
      <c r="G399" s="19" t="s">
        <v>697</v>
      </c>
      <c r="H399" s="1" t="s">
        <v>23</v>
      </c>
      <c r="I399" s="10" t="s">
        <v>726</v>
      </c>
      <c r="J399" s="1" t="str">
        <f t="shared" si="85"/>
        <v>21</v>
      </c>
      <c r="K399" s="1" t="str">
        <f t="shared" si="86"/>
        <v>40</v>
      </c>
      <c r="L399" s="1" t="str">
        <f t="shared" si="87"/>
        <v>00</v>
      </c>
      <c r="M399" s="1" t="str">
        <f t="shared" si="88"/>
        <v>80</v>
      </c>
      <c r="N399" s="1" t="str">
        <f t="shared" si="89"/>
        <v>40</v>
      </c>
      <c r="O399" s="1" t="str">
        <f t="shared" si="90"/>
        <v>00</v>
      </c>
      <c r="P399" s="2">
        <f t="shared" si="91"/>
        <v>21.666666666666668</v>
      </c>
      <c r="Q399" s="2">
        <f t="shared" si="92"/>
        <v>-80.666666666666671</v>
      </c>
      <c r="R399" s="16" t="s">
        <v>697</v>
      </c>
    </row>
    <row r="400" spans="1:18" ht="15.75" x14ac:dyDescent="0.25">
      <c r="A400" s="1">
        <v>399</v>
      </c>
      <c r="B400" s="1" t="s">
        <v>696</v>
      </c>
      <c r="C400" s="1" t="s">
        <v>18</v>
      </c>
      <c r="D400" s="1" t="s">
        <v>19</v>
      </c>
      <c r="E400" s="19" t="s">
        <v>708</v>
      </c>
      <c r="F400" s="19" t="s">
        <v>715</v>
      </c>
      <c r="G400" s="19" t="s">
        <v>697</v>
      </c>
      <c r="H400" s="1" t="s">
        <v>23</v>
      </c>
      <c r="I400" s="10" t="s">
        <v>726</v>
      </c>
      <c r="J400" s="1" t="str">
        <f t="shared" si="85"/>
        <v>19</v>
      </c>
      <c r="K400" s="1" t="str">
        <f t="shared" si="86"/>
        <v>36</v>
      </c>
      <c r="L400" s="1" t="str">
        <f t="shared" si="87"/>
        <v>00</v>
      </c>
      <c r="M400" s="1" t="str">
        <f t="shared" si="88"/>
        <v>76</v>
      </c>
      <c r="N400" s="1" t="str">
        <f t="shared" si="89"/>
        <v>00</v>
      </c>
      <c r="O400" s="1" t="str">
        <f t="shared" si="90"/>
        <v>00</v>
      </c>
      <c r="P400" s="2">
        <f t="shared" si="91"/>
        <v>19.600000000000001</v>
      </c>
      <c r="Q400" s="2">
        <f t="shared" si="92"/>
        <v>-76</v>
      </c>
      <c r="R400" s="16" t="s">
        <v>697</v>
      </c>
    </row>
    <row r="401" spans="1:18" ht="15.75" x14ac:dyDescent="0.25">
      <c r="A401" s="1">
        <v>400</v>
      </c>
      <c r="B401" s="1" t="s">
        <v>696</v>
      </c>
      <c r="C401" s="1" t="s">
        <v>18</v>
      </c>
      <c r="D401" s="1" t="s">
        <v>19</v>
      </c>
      <c r="E401" s="19" t="s">
        <v>709</v>
      </c>
      <c r="F401" s="19" t="s">
        <v>714</v>
      </c>
      <c r="G401" s="19" t="s">
        <v>697</v>
      </c>
      <c r="H401" s="1" t="s">
        <v>23</v>
      </c>
      <c r="I401" s="10" t="s">
        <v>726</v>
      </c>
      <c r="J401" s="1" t="str">
        <f t="shared" si="85"/>
        <v>20</v>
      </c>
      <c r="K401" s="1" t="str">
        <f t="shared" si="86"/>
        <v>10</v>
      </c>
      <c r="L401" s="1" t="str">
        <f t="shared" si="87"/>
        <v>00</v>
      </c>
      <c r="M401" s="1" t="str">
        <f t="shared" si="88"/>
        <v>78</v>
      </c>
      <c r="N401" s="1" t="str">
        <f t="shared" si="89"/>
        <v>35</v>
      </c>
      <c r="O401" s="1" t="str">
        <f t="shared" si="90"/>
        <v>00</v>
      </c>
      <c r="P401" s="2">
        <f t="shared" si="91"/>
        <v>20.166666666666668</v>
      </c>
      <c r="Q401" s="2">
        <f t="shared" si="92"/>
        <v>-78.583333333333329</v>
      </c>
      <c r="R401" s="16" t="s">
        <v>697</v>
      </c>
    </row>
    <row r="402" spans="1:18" ht="15.75" x14ac:dyDescent="0.25">
      <c r="A402" s="1">
        <v>401</v>
      </c>
      <c r="B402" s="1" t="s">
        <v>696</v>
      </c>
      <c r="C402" s="1" t="s">
        <v>18</v>
      </c>
      <c r="D402" s="1" t="s">
        <v>19</v>
      </c>
      <c r="E402" s="19" t="s">
        <v>710</v>
      </c>
      <c r="F402" s="19" t="s">
        <v>713</v>
      </c>
      <c r="G402" s="19" t="s">
        <v>697</v>
      </c>
      <c r="H402" s="1" t="s">
        <v>23</v>
      </c>
      <c r="I402" s="10" t="s">
        <v>726</v>
      </c>
      <c r="J402" s="1" t="str">
        <f t="shared" si="85"/>
        <v>20</v>
      </c>
      <c r="K402" s="1" t="str">
        <f t="shared" si="86"/>
        <v>25</v>
      </c>
      <c r="L402" s="1" t="str">
        <f t="shared" si="87"/>
        <v>00</v>
      </c>
      <c r="M402" s="1" t="str">
        <f t="shared" si="88"/>
        <v>79</v>
      </c>
      <c r="N402" s="1" t="str">
        <f t="shared" si="89"/>
        <v>35</v>
      </c>
      <c r="O402" s="1" t="str">
        <f t="shared" si="90"/>
        <v>00</v>
      </c>
      <c r="P402" s="2">
        <f t="shared" si="91"/>
        <v>20.416666666666668</v>
      </c>
      <c r="Q402" s="2">
        <f t="shared" si="92"/>
        <v>-79.583333333333329</v>
      </c>
      <c r="R402" s="16" t="s">
        <v>697</v>
      </c>
    </row>
    <row r="403" spans="1:18" ht="15.75" x14ac:dyDescent="0.25">
      <c r="A403" s="1">
        <v>402</v>
      </c>
      <c r="B403" s="1" t="s">
        <v>696</v>
      </c>
      <c r="C403" s="1" t="s">
        <v>18</v>
      </c>
      <c r="D403" s="1" t="s">
        <v>19</v>
      </c>
      <c r="E403" s="19" t="s">
        <v>711</v>
      </c>
      <c r="F403" s="19" t="s">
        <v>712</v>
      </c>
      <c r="G403" s="19" t="s">
        <v>697</v>
      </c>
      <c r="H403" s="1" t="s">
        <v>23</v>
      </c>
      <c r="I403" s="10" t="s">
        <v>726</v>
      </c>
      <c r="J403" s="1" t="str">
        <f t="shared" si="85"/>
        <v>20</v>
      </c>
      <c r="K403" s="1" t="str">
        <f t="shared" si="86"/>
        <v>40</v>
      </c>
      <c r="L403" s="1" t="str">
        <f t="shared" si="87"/>
        <v>00</v>
      </c>
      <c r="M403" s="1" t="str">
        <f t="shared" si="88"/>
        <v>79</v>
      </c>
      <c r="N403" s="1" t="str">
        <f t="shared" si="89"/>
        <v>25</v>
      </c>
      <c r="O403" s="1" t="str">
        <f t="shared" si="90"/>
        <v>00</v>
      </c>
      <c r="P403" s="2">
        <f t="shared" si="91"/>
        <v>20.666666666666668</v>
      </c>
      <c r="Q403" s="2">
        <f t="shared" si="92"/>
        <v>-79.416666666666671</v>
      </c>
      <c r="R403" s="16" t="s">
        <v>697</v>
      </c>
    </row>
    <row r="404" spans="1:18" ht="15.75" x14ac:dyDescent="0.25">
      <c r="A404" s="1">
        <v>403</v>
      </c>
      <c r="B404" s="1" t="s">
        <v>696</v>
      </c>
      <c r="C404" s="1" t="s">
        <v>18</v>
      </c>
      <c r="D404" s="1" t="s">
        <v>19</v>
      </c>
      <c r="E404" s="19" t="s">
        <v>729</v>
      </c>
      <c r="F404" s="19" t="s">
        <v>730</v>
      </c>
      <c r="G404" s="19" t="s">
        <v>728</v>
      </c>
      <c r="H404" s="1" t="s">
        <v>23</v>
      </c>
      <c r="I404" s="10" t="s">
        <v>727</v>
      </c>
      <c r="J404" s="1" t="str">
        <f t="shared" si="85"/>
        <v>10</v>
      </c>
      <c r="K404" s="1" t="str">
        <f t="shared" si="86"/>
        <v>47</v>
      </c>
      <c r="L404" s="1" t="str">
        <f t="shared" si="87"/>
        <v>12</v>
      </c>
      <c r="M404" s="1" t="str">
        <f t="shared" si="88"/>
        <v>68</v>
      </c>
      <c r="N404" s="1" t="str">
        <f t="shared" si="89"/>
        <v>14</v>
      </c>
      <c r="O404" s="1" t="str">
        <f t="shared" si="90"/>
        <v>00</v>
      </c>
      <c r="P404" s="2">
        <f t="shared" si="91"/>
        <v>10.786666666666667</v>
      </c>
      <c r="Q404" s="2">
        <f t="shared" si="92"/>
        <v>-68.233333333333334</v>
      </c>
      <c r="R404" s="16" t="s">
        <v>728</v>
      </c>
    </row>
    <row r="405" spans="1:18" ht="15.75" x14ac:dyDescent="0.25">
      <c r="A405" s="1">
        <v>404</v>
      </c>
      <c r="B405" s="1" t="s">
        <v>696</v>
      </c>
      <c r="C405" s="1" t="s">
        <v>18</v>
      </c>
      <c r="D405" s="1" t="s">
        <v>19</v>
      </c>
      <c r="E405" s="19" t="s">
        <v>731</v>
      </c>
      <c r="F405" s="19" t="s">
        <v>732</v>
      </c>
      <c r="G405" s="19" t="s">
        <v>728</v>
      </c>
      <c r="H405" s="1" t="s">
        <v>23</v>
      </c>
      <c r="I405" s="10" t="s">
        <v>727</v>
      </c>
      <c r="J405" s="1" t="str">
        <f t="shared" si="85"/>
        <v>10</v>
      </c>
      <c r="K405" s="1" t="str">
        <f t="shared" si="86"/>
        <v>55</v>
      </c>
      <c r="L405" s="1" t="str">
        <f t="shared" si="87"/>
        <v>30</v>
      </c>
      <c r="M405" s="1" t="str">
        <f t="shared" si="88"/>
        <v>68</v>
      </c>
      <c r="N405" s="1" t="str">
        <f t="shared" si="89"/>
        <v>14</v>
      </c>
      <c r="O405" s="1" t="str">
        <f t="shared" si="90"/>
        <v>32</v>
      </c>
      <c r="P405" s="2">
        <f t="shared" si="91"/>
        <v>10.925000000000001</v>
      </c>
      <c r="Q405" s="2">
        <f t="shared" si="92"/>
        <v>-68.242222222222225</v>
      </c>
      <c r="R405" s="16" t="s">
        <v>728</v>
      </c>
    </row>
    <row r="406" spans="1:18" ht="15.75" x14ac:dyDescent="0.25">
      <c r="A406" s="1">
        <v>405</v>
      </c>
      <c r="B406" s="1" t="s">
        <v>696</v>
      </c>
      <c r="C406" s="1" t="s">
        <v>18</v>
      </c>
      <c r="D406" s="1" t="s">
        <v>19</v>
      </c>
      <c r="E406" s="19" t="s">
        <v>222</v>
      </c>
      <c r="F406" s="19" t="s">
        <v>223</v>
      </c>
      <c r="G406" s="19" t="s">
        <v>734</v>
      </c>
      <c r="H406" s="1" t="s">
        <v>23</v>
      </c>
      <c r="I406" s="10" t="s">
        <v>735</v>
      </c>
      <c r="J406" s="1" t="str">
        <f t="shared" si="85"/>
        <v>20</v>
      </c>
      <c r="K406" s="1" t="str">
        <f t="shared" si="86"/>
        <v>51</v>
      </c>
      <c r="L406" s="1" t="str">
        <f t="shared" si="87"/>
        <v>00</v>
      </c>
      <c r="M406" s="1" t="str">
        <f t="shared" si="88"/>
        <v>86</v>
      </c>
      <c r="N406" s="1" t="str">
        <f t="shared" si="89"/>
        <v>55</v>
      </c>
      <c r="O406" s="1" t="str">
        <f t="shared" si="90"/>
        <v>00</v>
      </c>
      <c r="P406" s="2">
        <f>((((L406/60)+K406)/60)+J406)*IF(C406="S",-1, 1)</f>
        <v>20.85</v>
      </c>
      <c r="Q406" s="2">
        <f>((((O406/60)+N406)/60)+M406)*IF(D406="W",-1, 1)</f>
        <v>-86.916666666666671</v>
      </c>
      <c r="R406" s="16" t="s">
        <v>734</v>
      </c>
    </row>
    <row r="407" spans="1:18" ht="15.75" x14ac:dyDescent="0.25">
      <c r="A407" s="1">
        <v>406</v>
      </c>
      <c r="B407" s="1" t="s">
        <v>696</v>
      </c>
      <c r="C407" s="1" t="s">
        <v>18</v>
      </c>
      <c r="D407" s="1" t="s">
        <v>19</v>
      </c>
      <c r="E407" s="19" t="s">
        <v>736</v>
      </c>
      <c r="F407" s="19" t="s">
        <v>737</v>
      </c>
      <c r="G407" s="19" t="s">
        <v>738</v>
      </c>
      <c r="H407" s="1" t="s">
        <v>23</v>
      </c>
      <c r="I407" s="10" t="s">
        <v>735</v>
      </c>
      <c r="J407" s="1" t="str">
        <f t="shared" si="85"/>
        <v>20</v>
      </c>
      <c r="K407" s="1" t="str">
        <f t="shared" si="86"/>
        <v>54</v>
      </c>
      <c r="L407" s="1" t="str">
        <f t="shared" si="87"/>
        <v>00</v>
      </c>
      <c r="M407" s="1" t="str">
        <f t="shared" si="88"/>
        <v>86</v>
      </c>
      <c r="N407" s="1" t="str">
        <f t="shared" si="89"/>
        <v>54</v>
      </c>
      <c r="O407" s="1" t="str">
        <f t="shared" si="90"/>
        <v>00</v>
      </c>
      <c r="P407" s="2">
        <f>((((L407/60)+K407)/60)+J407)*IF(C407="S",-1, 1)</f>
        <v>20.9</v>
      </c>
      <c r="Q407" s="2">
        <f>((((O407/60)+N407)/60)+M407)*IF(D407="W",-1, 1)</f>
        <v>-86.9</v>
      </c>
      <c r="R407" s="16" t="s">
        <v>738</v>
      </c>
    </row>
    <row r="408" spans="1:18" ht="15.75" x14ac:dyDescent="0.25">
      <c r="A408" s="1">
        <v>407</v>
      </c>
      <c r="B408" s="1" t="s">
        <v>696</v>
      </c>
      <c r="C408" s="1" t="s">
        <v>26</v>
      </c>
      <c r="D408" s="1" t="s">
        <v>19</v>
      </c>
      <c r="E408" s="19" t="s">
        <v>739</v>
      </c>
      <c r="F408" s="19" t="s">
        <v>740</v>
      </c>
      <c r="G408" s="1" t="s">
        <v>156</v>
      </c>
      <c r="H408" s="1" t="s">
        <v>23</v>
      </c>
      <c r="I408" s="7" t="s">
        <v>139</v>
      </c>
      <c r="J408" s="1" t="str">
        <f t="shared" ref="J408" si="93">MID(E408,1,FIND("°",E408,1)-1)</f>
        <v>03</v>
      </c>
      <c r="K408" s="1" t="str">
        <f t="shared" ref="K408" si="94">MID(E408,FIND("°",E408,1)+1,(FIND("′",E408,1)-FIND("°",E408,1))-1)</f>
        <v>49</v>
      </c>
      <c r="L408" s="1" t="str">
        <f t="shared" ref="L408" si="95">MID(E408,FIND("′",E408,1)+1,(FIND("″",E408,1)-FIND("′",E408,1))-1)</f>
        <v>00</v>
      </c>
      <c r="M408" s="1" t="str">
        <f t="shared" ref="M408" si="96">MID(F408,1,FIND("°",F408,1)-1)</f>
        <v>33</v>
      </c>
      <c r="N408" s="1" t="str">
        <f t="shared" ref="N408" si="97">MID(F408,FIND("°",F408,1)+1,(FIND("′",F408,1)-FIND("°",F408,1))-1)</f>
        <v>04</v>
      </c>
      <c r="O408" s="1" t="str">
        <f t="shared" ref="O408" si="98">MID(F408,FIND("′",F408,1)+1,(FIND("″",F408,1)-FIND("′",F408,1))-1)</f>
        <v>00</v>
      </c>
      <c r="P408" s="2">
        <f>((((L408/60)+K408)/60)+J408)*IF(C408="S",-1, 1)</f>
        <v>-3.8166666666666664</v>
      </c>
      <c r="Q408" s="2">
        <f>((((O408/60)+N408)/60)+M408)*IF(D408="W",-1, 1)</f>
        <v>-33.06666666666667</v>
      </c>
      <c r="R408" s="16" t="s">
        <v>741</v>
      </c>
    </row>
    <row r="409" spans="1:18" ht="15.75" x14ac:dyDescent="0.25">
      <c r="A409" s="1">
        <v>408</v>
      </c>
      <c r="B409" s="1" t="s">
        <v>696</v>
      </c>
      <c r="C409" s="1" t="s">
        <v>26</v>
      </c>
      <c r="D409" s="1" t="s">
        <v>19</v>
      </c>
      <c r="E409" s="19" t="s">
        <v>742</v>
      </c>
      <c r="F409" s="19" t="s">
        <v>743</v>
      </c>
      <c r="G409" s="19" t="s">
        <v>744</v>
      </c>
      <c r="H409" s="1" t="s">
        <v>23</v>
      </c>
      <c r="I409" s="7" t="s">
        <v>139</v>
      </c>
      <c r="J409" s="1" t="str">
        <f t="shared" si="85"/>
        <v>03</v>
      </c>
      <c r="K409" s="1" t="str">
        <f t="shared" si="86"/>
        <v>50</v>
      </c>
      <c r="L409" s="1" t="str">
        <f t="shared" si="87"/>
        <v>00</v>
      </c>
      <c r="M409" s="1" t="str">
        <f t="shared" si="88"/>
        <v>33</v>
      </c>
      <c r="N409" s="1" t="str">
        <f t="shared" si="89"/>
        <v>50</v>
      </c>
      <c r="O409" s="1" t="str">
        <f t="shared" si="90"/>
        <v>00</v>
      </c>
      <c r="P409" s="2">
        <f>((((L409/60)+K409)/60)+J409)*IF(C409="S",-1, 1)</f>
        <v>-3.8333333333333335</v>
      </c>
      <c r="Q409" s="2">
        <f>((((O409/60)+N409)/60)+M409)*IF(D409="W",-1, 1)</f>
        <v>-33.833333333333336</v>
      </c>
      <c r="R409" s="16" t="s">
        <v>744</v>
      </c>
    </row>
    <row r="410" spans="1:18" ht="15.75" x14ac:dyDescent="0.25">
      <c r="A410" s="1">
        <v>409</v>
      </c>
      <c r="B410" s="1" t="s">
        <v>52</v>
      </c>
      <c r="C410" s="1" t="s">
        <v>26</v>
      </c>
      <c r="D410" s="1" t="s">
        <v>19</v>
      </c>
      <c r="E410" s="19" t="s">
        <v>742</v>
      </c>
      <c r="F410" s="19" t="s">
        <v>743</v>
      </c>
      <c r="G410" s="19" t="s">
        <v>744</v>
      </c>
      <c r="H410" s="1" t="s">
        <v>23</v>
      </c>
      <c r="I410" s="7" t="s">
        <v>139</v>
      </c>
      <c r="J410" s="1" t="str">
        <f t="shared" si="85"/>
        <v>03</v>
      </c>
      <c r="K410" s="1" t="str">
        <f t="shared" si="86"/>
        <v>50</v>
      </c>
      <c r="L410" s="1" t="str">
        <f t="shared" si="87"/>
        <v>00</v>
      </c>
      <c r="M410" s="1" t="str">
        <f t="shared" si="88"/>
        <v>33</v>
      </c>
      <c r="N410" s="1" t="str">
        <f t="shared" si="89"/>
        <v>50</v>
      </c>
      <c r="O410" s="1" t="str">
        <f t="shared" si="90"/>
        <v>00</v>
      </c>
      <c r="P410" s="2">
        <f t="shared" si="91"/>
        <v>-3.8333333333333335</v>
      </c>
      <c r="Q410" s="2">
        <f t="shared" si="92"/>
        <v>-33.833333333333336</v>
      </c>
      <c r="R410" s="16" t="s">
        <v>744</v>
      </c>
    </row>
    <row r="411" spans="1:18" ht="15.75" x14ac:dyDescent="0.25">
      <c r="A411" s="1">
        <v>410</v>
      </c>
      <c r="B411" s="1" t="s">
        <v>696</v>
      </c>
      <c r="C411" s="1" t="s">
        <v>18</v>
      </c>
      <c r="D411" s="1" t="s">
        <v>19</v>
      </c>
      <c r="E411" s="19" t="s">
        <v>222</v>
      </c>
      <c r="F411" s="19" t="s">
        <v>746</v>
      </c>
      <c r="G411" s="19" t="s">
        <v>745</v>
      </c>
      <c r="H411" s="1" t="s">
        <v>23</v>
      </c>
      <c r="I411" s="10" t="s">
        <v>735</v>
      </c>
      <c r="J411" s="1" t="str">
        <f t="shared" si="85"/>
        <v>20</v>
      </c>
      <c r="K411" s="1" t="str">
        <f t="shared" si="86"/>
        <v>51</v>
      </c>
      <c r="L411" s="1" t="str">
        <f t="shared" si="87"/>
        <v>00</v>
      </c>
      <c r="M411" s="1" t="str">
        <f t="shared" si="88"/>
        <v>87</v>
      </c>
      <c r="N411" s="1" t="str">
        <f t="shared" si="89"/>
        <v>56</v>
      </c>
      <c r="O411" s="1" t="str">
        <f t="shared" si="90"/>
        <v>00</v>
      </c>
      <c r="P411" s="2">
        <f t="shared" si="91"/>
        <v>20.85</v>
      </c>
      <c r="Q411" s="2">
        <f t="shared" si="92"/>
        <v>-87.933333333333337</v>
      </c>
      <c r="R411" s="16" t="s">
        <v>747</v>
      </c>
    </row>
    <row r="412" spans="1:18" ht="15.75" x14ac:dyDescent="0.25">
      <c r="A412" s="1">
        <v>411</v>
      </c>
      <c r="B412" s="1" t="s">
        <v>696</v>
      </c>
      <c r="C412" s="1" t="s">
        <v>18</v>
      </c>
      <c r="D412" s="1" t="s">
        <v>19</v>
      </c>
      <c r="E412" s="19" t="s">
        <v>749</v>
      </c>
      <c r="F412" s="19" t="s">
        <v>750</v>
      </c>
      <c r="G412" s="19" t="s">
        <v>748</v>
      </c>
      <c r="H412" s="7" t="s">
        <v>324</v>
      </c>
      <c r="I412" s="10" t="s">
        <v>751</v>
      </c>
      <c r="J412" s="1" t="str">
        <f t="shared" si="85"/>
        <v>25</v>
      </c>
      <c r="K412" s="1" t="str">
        <f t="shared" si="86"/>
        <v>45</v>
      </c>
      <c r="L412" s="1" t="str">
        <f t="shared" si="87"/>
        <v>35</v>
      </c>
      <c r="M412" s="1" t="str">
        <f t="shared" si="88"/>
        <v>80</v>
      </c>
      <c r="N412" s="1" t="str">
        <f t="shared" si="89"/>
        <v>07</v>
      </c>
      <c r="O412" s="1" t="str">
        <f t="shared" si="90"/>
        <v>22</v>
      </c>
      <c r="P412" s="2">
        <f t="shared" si="91"/>
        <v>25.759722222222223</v>
      </c>
      <c r="Q412" s="2">
        <f t="shared" si="92"/>
        <v>-80.122777777777785</v>
      </c>
      <c r="R412" s="16" t="s">
        <v>752</v>
      </c>
    </row>
    <row r="413" spans="1:18" ht="15.75" x14ac:dyDescent="0.25">
      <c r="A413" s="1">
        <v>412</v>
      </c>
      <c r="B413" s="1" t="s">
        <v>696</v>
      </c>
      <c r="C413" s="1" t="s">
        <v>18</v>
      </c>
      <c r="D413" s="1" t="s">
        <v>19</v>
      </c>
      <c r="E413" s="19" t="s">
        <v>798</v>
      </c>
      <c r="F413" s="19" t="s">
        <v>797</v>
      </c>
      <c r="G413" s="7" t="s">
        <v>753</v>
      </c>
      <c r="H413" s="7" t="s">
        <v>324</v>
      </c>
      <c r="I413" s="10" t="s">
        <v>754</v>
      </c>
      <c r="J413" s="1" t="str">
        <f t="shared" ref="J413:J415" si="99">MID(E413,1,FIND("°",E413,1)-1)</f>
        <v>32</v>
      </c>
      <c r="K413" s="1" t="str">
        <f t="shared" ref="K413:K415" si="100">MID(E413,FIND("°",E413,1)+1,(FIND("′",E413,1)-FIND("°",E413,1))-1)</f>
        <v>14</v>
      </c>
      <c r="L413" s="1" t="str">
        <f t="shared" ref="L413:L415" si="101">MID(E413,FIND("′",E413,1)+1,(FIND("″",E413,1)-FIND("′",E413,1))-1)</f>
        <v>52</v>
      </c>
      <c r="M413" s="1" t="str">
        <f t="shared" ref="M413:M415" si="102">MID(F413,1,FIND("°",F413,1)-1)</f>
        <v>64</v>
      </c>
      <c r="N413" s="1" t="str">
        <f t="shared" ref="N413:N415" si="103">MID(F413,FIND("°",F413,1)+1,(FIND("′",F413,1)-FIND("°",F413,1))-1)</f>
        <v>50</v>
      </c>
      <c r="O413" s="1" t="str">
        <f t="shared" ref="O413:O415" si="104">MID(F413,FIND("′",F413,1)+1,(FIND("″",F413,1)-FIND("′",F413,1))-1)</f>
        <v>02</v>
      </c>
      <c r="P413" s="2">
        <f t="shared" ref="P413:P415" si="105">((((L413/60)+K413)/60)+J413)*IF(C413="S",-1, 1)</f>
        <v>32.247777777777777</v>
      </c>
      <c r="Q413" s="2">
        <f t="shared" ref="Q413:Q415" si="106">((((O413/60)+N413)/60)+M413)*IF(D413="W",-1, 1)</f>
        <v>-64.833888888888893</v>
      </c>
      <c r="R413" s="16" t="s">
        <v>755</v>
      </c>
    </row>
    <row r="414" spans="1:18" ht="15.75" x14ac:dyDescent="0.25">
      <c r="A414" s="1">
        <v>413</v>
      </c>
      <c r="B414" s="1" t="s">
        <v>696</v>
      </c>
      <c r="C414" s="1" t="s">
        <v>18</v>
      </c>
      <c r="D414" s="1" t="s">
        <v>19</v>
      </c>
      <c r="E414" s="19" t="s">
        <v>799</v>
      </c>
      <c r="F414" s="19" t="s">
        <v>876</v>
      </c>
      <c r="G414" s="7" t="s">
        <v>753</v>
      </c>
      <c r="H414" s="7" t="s">
        <v>324</v>
      </c>
      <c r="I414" s="10" t="s">
        <v>754</v>
      </c>
      <c r="J414" s="1" t="str">
        <f t="shared" si="99"/>
        <v>32</v>
      </c>
      <c r="K414" s="1" t="str">
        <f t="shared" si="100"/>
        <v>15</v>
      </c>
      <c r="L414" s="1" t="str">
        <f t="shared" si="101"/>
        <v>48</v>
      </c>
      <c r="M414" s="1" t="str">
        <f t="shared" si="102"/>
        <v>64</v>
      </c>
      <c r="N414" s="1" t="str">
        <f t="shared" si="103"/>
        <v>47</v>
      </c>
      <c r="O414" s="1" t="str">
        <f t="shared" si="104"/>
        <v>42</v>
      </c>
      <c r="P414" s="2">
        <f t="shared" si="105"/>
        <v>32.263333333333335</v>
      </c>
      <c r="Q414" s="2">
        <f t="shared" si="106"/>
        <v>-64.795000000000002</v>
      </c>
      <c r="R414" s="16" t="s">
        <v>756</v>
      </c>
    </row>
    <row r="415" spans="1:18" ht="15.75" x14ac:dyDescent="0.25">
      <c r="A415" s="1">
        <v>414</v>
      </c>
      <c r="B415" s="1" t="s">
        <v>696</v>
      </c>
      <c r="C415" s="1" t="s">
        <v>18</v>
      </c>
      <c r="D415" s="1" t="s">
        <v>19</v>
      </c>
      <c r="E415" s="19" t="s">
        <v>800</v>
      </c>
      <c r="F415" s="19" t="s">
        <v>875</v>
      </c>
      <c r="G415" s="7" t="s">
        <v>753</v>
      </c>
      <c r="H415" s="7" t="s">
        <v>324</v>
      </c>
      <c r="I415" s="10" t="s">
        <v>754</v>
      </c>
      <c r="J415" s="1" t="str">
        <f t="shared" si="99"/>
        <v>32</v>
      </c>
      <c r="K415" s="1" t="str">
        <f t="shared" si="100"/>
        <v>16</v>
      </c>
      <c r="L415" s="1" t="str">
        <f t="shared" si="101"/>
        <v>17</v>
      </c>
      <c r="M415" s="1" t="str">
        <f t="shared" si="102"/>
        <v>64</v>
      </c>
      <c r="N415" s="1" t="str">
        <f t="shared" si="103"/>
        <v>46</v>
      </c>
      <c r="O415" s="1" t="str">
        <f t="shared" si="104"/>
        <v>37</v>
      </c>
      <c r="P415" s="2">
        <f t="shared" si="105"/>
        <v>32.271388888888886</v>
      </c>
      <c r="Q415" s="2">
        <f t="shared" si="106"/>
        <v>-64.776944444444439</v>
      </c>
      <c r="R415" s="16" t="s">
        <v>757</v>
      </c>
    </row>
    <row r="416" spans="1:18" ht="15.75" x14ac:dyDescent="0.25">
      <c r="A416" s="1">
        <v>415</v>
      </c>
      <c r="B416" s="1" t="s">
        <v>696</v>
      </c>
      <c r="C416" s="1" t="s">
        <v>18</v>
      </c>
      <c r="D416" s="1" t="s">
        <v>19</v>
      </c>
      <c r="E416" s="19" t="s">
        <v>801</v>
      </c>
      <c r="F416" s="19" t="s">
        <v>874</v>
      </c>
      <c r="G416" s="7" t="s">
        <v>753</v>
      </c>
      <c r="H416" s="7" t="s">
        <v>324</v>
      </c>
      <c r="I416" s="10" t="s">
        <v>754</v>
      </c>
      <c r="J416" s="1" t="str">
        <f t="shared" ref="J416:J454" si="107">MID(E416,1,FIND("°",E416,1)-1)</f>
        <v>32</v>
      </c>
      <c r="K416" s="1" t="str">
        <f t="shared" ref="K416:K454" si="108">MID(E416,FIND("°",E416,1)+1,(FIND("′",E416,1)-FIND("°",E416,1))-1)</f>
        <v>20</v>
      </c>
      <c r="L416" s="1" t="str">
        <f t="shared" ref="L416:L454" si="109">MID(E416,FIND("′",E416,1)+1,(FIND("″",E416,1)-FIND("′",E416,1))-1)</f>
        <v>04</v>
      </c>
      <c r="M416" s="1" t="str">
        <f t="shared" ref="M416:M454" si="110">MID(F416,1,FIND("°",F416,1)-1)</f>
        <v>64</v>
      </c>
      <c r="N416" s="1" t="str">
        <f t="shared" ref="N416:N454" si="111">MID(F416,FIND("°",F416,1)+1,(FIND("′",F416,1)-FIND("°",F416,1))-1)</f>
        <v>40</v>
      </c>
      <c r="O416" s="1" t="str">
        <f t="shared" ref="O416:O454" si="112">MID(F416,FIND("′",F416,1)+1,(FIND("″",F416,1)-FIND("′",F416,1))-1)</f>
        <v>33</v>
      </c>
      <c r="P416" s="2">
        <f t="shared" ref="P416:P454" si="113">((((L416/60)+K416)/60)+J416)*IF(C416="S",-1, 1)</f>
        <v>32.334444444444443</v>
      </c>
      <c r="Q416" s="2">
        <f t="shared" ref="Q416:Q454" si="114">((((O416/60)+N416)/60)+M416)*IF(D416="W",-1, 1)</f>
        <v>-64.67583333333333</v>
      </c>
      <c r="R416" s="16" t="s">
        <v>758</v>
      </c>
    </row>
    <row r="417" spans="1:18" ht="15.75" x14ac:dyDescent="0.25">
      <c r="A417" s="1">
        <v>416</v>
      </c>
      <c r="B417" s="1" t="s">
        <v>696</v>
      </c>
      <c r="C417" s="1" t="s">
        <v>18</v>
      </c>
      <c r="D417" s="1" t="s">
        <v>19</v>
      </c>
      <c r="E417" s="19" t="s">
        <v>802</v>
      </c>
      <c r="F417" s="19" t="s">
        <v>873</v>
      </c>
      <c r="G417" s="7" t="s">
        <v>753</v>
      </c>
      <c r="H417" s="7" t="s">
        <v>324</v>
      </c>
      <c r="I417" s="10" t="s">
        <v>754</v>
      </c>
      <c r="J417" s="1" t="str">
        <f t="shared" si="107"/>
        <v>32</v>
      </c>
      <c r="K417" s="1" t="str">
        <f t="shared" si="108"/>
        <v>20</v>
      </c>
      <c r="L417" s="1" t="str">
        <f t="shared" si="109"/>
        <v>10</v>
      </c>
      <c r="M417" s="1" t="str">
        <f t="shared" si="110"/>
        <v>64</v>
      </c>
      <c r="N417" s="1" t="str">
        <f t="shared" si="111"/>
        <v>39</v>
      </c>
      <c r="O417" s="1" t="str">
        <f t="shared" si="112"/>
        <v>24</v>
      </c>
      <c r="P417" s="2">
        <f t="shared" si="113"/>
        <v>32.336111111111109</v>
      </c>
      <c r="Q417" s="2">
        <f t="shared" si="114"/>
        <v>-64.656666666666666</v>
      </c>
      <c r="R417" s="16" t="s">
        <v>759</v>
      </c>
    </row>
    <row r="418" spans="1:18" ht="15.75" x14ac:dyDescent="0.25">
      <c r="A418" s="1">
        <v>417</v>
      </c>
      <c r="B418" s="1" t="s">
        <v>696</v>
      </c>
      <c r="C418" s="1" t="s">
        <v>18</v>
      </c>
      <c r="D418" s="1" t="s">
        <v>19</v>
      </c>
      <c r="E418" s="19" t="s">
        <v>803</v>
      </c>
      <c r="F418" s="19" t="s">
        <v>872</v>
      </c>
      <c r="G418" s="7" t="s">
        <v>753</v>
      </c>
      <c r="H418" s="7" t="s">
        <v>324</v>
      </c>
      <c r="I418" s="10" t="s">
        <v>754</v>
      </c>
      <c r="J418" s="1" t="str">
        <f t="shared" si="107"/>
        <v>32</v>
      </c>
      <c r="K418" s="1" t="str">
        <f t="shared" si="108"/>
        <v>20</v>
      </c>
      <c r="L418" s="1" t="str">
        <f t="shared" si="109"/>
        <v>15</v>
      </c>
      <c r="M418" s="1" t="str">
        <f t="shared" si="110"/>
        <v>64</v>
      </c>
      <c r="N418" s="1" t="str">
        <f t="shared" si="111"/>
        <v>39</v>
      </c>
      <c r="O418" s="1" t="str">
        <f t="shared" si="112"/>
        <v>15</v>
      </c>
      <c r="P418" s="2">
        <f t="shared" si="113"/>
        <v>32.337499999999999</v>
      </c>
      <c r="Q418" s="2">
        <f t="shared" si="114"/>
        <v>-64.654166666666669</v>
      </c>
      <c r="R418" s="16" t="s">
        <v>760</v>
      </c>
    </row>
    <row r="419" spans="1:18" ht="15.75" x14ac:dyDescent="0.25">
      <c r="A419" s="1">
        <v>418</v>
      </c>
      <c r="B419" s="1" t="s">
        <v>696</v>
      </c>
      <c r="C419" s="1" t="s">
        <v>18</v>
      </c>
      <c r="D419" s="1" t="s">
        <v>19</v>
      </c>
      <c r="E419" s="19" t="s">
        <v>804</v>
      </c>
      <c r="F419" s="19" t="s">
        <v>871</v>
      </c>
      <c r="G419" s="7" t="s">
        <v>753</v>
      </c>
      <c r="H419" s="7" t="s">
        <v>324</v>
      </c>
      <c r="I419" s="10" t="s">
        <v>754</v>
      </c>
      <c r="J419" s="1" t="str">
        <f t="shared" si="107"/>
        <v>32</v>
      </c>
      <c r="K419" s="1" t="str">
        <f t="shared" si="108"/>
        <v>20</v>
      </c>
      <c r="L419" s="1" t="str">
        <f t="shared" si="109"/>
        <v>00</v>
      </c>
      <c r="M419" s="1" t="str">
        <f t="shared" si="110"/>
        <v>64</v>
      </c>
      <c r="N419" s="1" t="str">
        <f t="shared" si="111"/>
        <v>39</v>
      </c>
      <c r="O419" s="1" t="str">
        <f t="shared" si="112"/>
        <v>07</v>
      </c>
      <c r="P419" s="2">
        <f t="shared" si="113"/>
        <v>32.333333333333336</v>
      </c>
      <c r="Q419" s="2">
        <f t="shared" si="114"/>
        <v>-64.651944444444439</v>
      </c>
      <c r="R419" s="16" t="s">
        <v>761</v>
      </c>
    </row>
    <row r="420" spans="1:18" ht="15.75" x14ac:dyDescent="0.25">
      <c r="A420" s="1">
        <v>419</v>
      </c>
      <c r="B420" s="1" t="s">
        <v>696</v>
      </c>
      <c r="C420" s="1" t="s">
        <v>18</v>
      </c>
      <c r="D420" s="1" t="s">
        <v>19</v>
      </c>
      <c r="E420" s="19" t="s">
        <v>805</v>
      </c>
      <c r="F420" s="19" t="s">
        <v>870</v>
      </c>
      <c r="G420" s="7" t="s">
        <v>753</v>
      </c>
      <c r="H420" s="7" t="s">
        <v>324</v>
      </c>
      <c r="I420" s="10" t="s">
        <v>754</v>
      </c>
      <c r="J420" s="1" t="str">
        <f t="shared" si="107"/>
        <v>32</v>
      </c>
      <c r="K420" s="1" t="str">
        <f t="shared" si="108"/>
        <v>20</v>
      </c>
      <c r="L420" s="1" t="str">
        <f t="shared" si="109"/>
        <v>54</v>
      </c>
      <c r="M420" s="1" t="str">
        <f t="shared" si="110"/>
        <v>64</v>
      </c>
      <c r="N420" s="1" t="str">
        <f t="shared" si="111"/>
        <v>39</v>
      </c>
      <c r="O420" s="1" t="str">
        <f t="shared" si="112"/>
        <v>59</v>
      </c>
      <c r="P420" s="2">
        <f t="shared" si="113"/>
        <v>32.348333333333336</v>
      </c>
      <c r="Q420" s="2">
        <f t="shared" si="114"/>
        <v>-64.666388888888889</v>
      </c>
      <c r="R420" s="16" t="s">
        <v>762</v>
      </c>
    </row>
    <row r="421" spans="1:18" ht="15.75" x14ac:dyDescent="0.25">
      <c r="A421" s="1">
        <v>420</v>
      </c>
      <c r="B421" s="1" t="s">
        <v>696</v>
      </c>
      <c r="C421" s="1" t="s">
        <v>18</v>
      </c>
      <c r="D421" s="1" t="s">
        <v>19</v>
      </c>
      <c r="E421" s="19" t="s">
        <v>806</v>
      </c>
      <c r="F421" s="19" t="s">
        <v>869</v>
      </c>
      <c r="G421" s="7" t="s">
        <v>753</v>
      </c>
      <c r="H421" s="7" t="s">
        <v>324</v>
      </c>
      <c r="I421" s="10" t="s">
        <v>754</v>
      </c>
      <c r="J421" s="1" t="str">
        <f t="shared" si="107"/>
        <v>32</v>
      </c>
      <c r="K421" s="1" t="str">
        <f t="shared" si="108"/>
        <v>20</v>
      </c>
      <c r="L421" s="1" t="str">
        <f t="shared" si="109"/>
        <v>57</v>
      </c>
      <c r="M421" s="1" t="str">
        <f t="shared" si="110"/>
        <v>64</v>
      </c>
      <c r="N421" s="1" t="str">
        <f t="shared" si="111"/>
        <v>41</v>
      </c>
      <c r="O421" s="1" t="str">
        <f t="shared" si="112"/>
        <v>19</v>
      </c>
      <c r="P421" s="2">
        <f t="shared" si="113"/>
        <v>32.349166666666669</v>
      </c>
      <c r="Q421" s="2">
        <f t="shared" si="114"/>
        <v>-64.688611111111115</v>
      </c>
      <c r="R421" s="16" t="s">
        <v>763</v>
      </c>
    </row>
    <row r="422" spans="1:18" ht="15.75" x14ac:dyDescent="0.25">
      <c r="A422" s="1">
        <v>421</v>
      </c>
      <c r="B422" s="1" t="s">
        <v>696</v>
      </c>
      <c r="C422" s="1" t="s">
        <v>18</v>
      </c>
      <c r="D422" s="1" t="s">
        <v>19</v>
      </c>
      <c r="E422" s="19" t="s">
        <v>807</v>
      </c>
      <c r="F422" s="19" t="s">
        <v>868</v>
      </c>
      <c r="G422" s="7" t="s">
        <v>753</v>
      </c>
      <c r="H422" s="7" t="s">
        <v>324</v>
      </c>
      <c r="I422" s="10" t="s">
        <v>754</v>
      </c>
      <c r="J422" s="1" t="str">
        <f t="shared" si="107"/>
        <v>32</v>
      </c>
      <c r="K422" s="1" t="str">
        <f t="shared" si="108"/>
        <v>21</v>
      </c>
      <c r="L422" s="1" t="str">
        <f t="shared" si="109"/>
        <v>14</v>
      </c>
      <c r="M422" s="1" t="str">
        <f t="shared" si="110"/>
        <v>64</v>
      </c>
      <c r="N422" s="1" t="str">
        <f t="shared" si="111"/>
        <v>42</v>
      </c>
      <c r="O422" s="1" t="str">
        <f t="shared" si="112"/>
        <v>10</v>
      </c>
      <c r="P422" s="2">
        <f t="shared" si="113"/>
        <v>32.353888888888889</v>
      </c>
      <c r="Q422" s="2">
        <f t="shared" si="114"/>
        <v>-64.702777777777783</v>
      </c>
      <c r="R422" s="16" t="s">
        <v>764</v>
      </c>
    </row>
    <row r="423" spans="1:18" ht="15.75" x14ac:dyDescent="0.25">
      <c r="A423" s="1">
        <v>422</v>
      </c>
      <c r="B423" s="1" t="s">
        <v>696</v>
      </c>
      <c r="C423" s="1" t="s">
        <v>18</v>
      </c>
      <c r="D423" s="1" t="s">
        <v>19</v>
      </c>
      <c r="E423" s="19" t="s">
        <v>808</v>
      </c>
      <c r="F423" s="19" t="s">
        <v>867</v>
      </c>
      <c r="G423" s="7" t="s">
        <v>753</v>
      </c>
      <c r="H423" s="7" t="s">
        <v>324</v>
      </c>
      <c r="I423" s="10" t="s">
        <v>754</v>
      </c>
      <c r="J423" s="1" t="str">
        <f t="shared" si="107"/>
        <v>32</v>
      </c>
      <c r="K423" s="1" t="str">
        <f t="shared" si="108"/>
        <v>21</v>
      </c>
      <c r="L423" s="1" t="str">
        <f t="shared" si="109"/>
        <v>27</v>
      </c>
      <c r="M423" s="1" t="str">
        <f t="shared" si="110"/>
        <v>64</v>
      </c>
      <c r="N423" s="1" t="str">
        <f t="shared" si="111"/>
        <v>42</v>
      </c>
      <c r="O423" s="1" t="str">
        <f t="shared" si="112"/>
        <v>40</v>
      </c>
      <c r="P423" s="2">
        <f t="shared" si="113"/>
        <v>32.357500000000002</v>
      </c>
      <c r="Q423" s="2">
        <f t="shared" si="114"/>
        <v>-64.711111111111109</v>
      </c>
      <c r="R423" s="16" t="s">
        <v>765</v>
      </c>
    </row>
    <row r="424" spans="1:18" ht="15.75" x14ac:dyDescent="0.25">
      <c r="A424" s="1">
        <v>423</v>
      </c>
      <c r="B424" s="1" t="s">
        <v>696</v>
      </c>
      <c r="C424" s="1" t="s">
        <v>18</v>
      </c>
      <c r="D424" s="1" t="s">
        <v>19</v>
      </c>
      <c r="E424" s="19" t="s">
        <v>809</v>
      </c>
      <c r="F424" s="19" t="s">
        <v>866</v>
      </c>
      <c r="G424" s="7" t="s">
        <v>753</v>
      </c>
      <c r="H424" s="7" t="s">
        <v>324</v>
      </c>
      <c r="I424" s="10" t="s">
        <v>754</v>
      </c>
      <c r="J424" s="1" t="str">
        <f t="shared" si="107"/>
        <v>32</v>
      </c>
      <c r="K424" s="1" t="str">
        <f t="shared" si="108"/>
        <v>21</v>
      </c>
      <c r="L424" s="1" t="str">
        <f t="shared" si="109"/>
        <v>36</v>
      </c>
      <c r="M424" s="1" t="str">
        <f t="shared" si="110"/>
        <v>64</v>
      </c>
      <c r="N424" s="1" t="str">
        <f t="shared" si="111"/>
        <v>42</v>
      </c>
      <c r="O424" s="1" t="str">
        <f t="shared" si="112"/>
        <v>35</v>
      </c>
      <c r="P424" s="2">
        <f t="shared" si="113"/>
        <v>32.36</v>
      </c>
      <c r="Q424" s="2">
        <f t="shared" si="114"/>
        <v>-64.709722222222226</v>
      </c>
      <c r="R424" s="16" t="s">
        <v>766</v>
      </c>
    </row>
    <row r="425" spans="1:18" ht="15.75" x14ac:dyDescent="0.25">
      <c r="A425" s="1">
        <v>424</v>
      </c>
      <c r="B425" s="1" t="s">
        <v>696</v>
      </c>
      <c r="C425" s="1" t="s">
        <v>18</v>
      </c>
      <c r="D425" s="1" t="s">
        <v>19</v>
      </c>
      <c r="E425" s="19" t="s">
        <v>810</v>
      </c>
      <c r="F425" s="19" t="s">
        <v>865</v>
      </c>
      <c r="G425" s="7" t="s">
        <v>753</v>
      </c>
      <c r="H425" s="7" t="s">
        <v>324</v>
      </c>
      <c r="I425" s="10" t="s">
        <v>754</v>
      </c>
      <c r="J425" s="1" t="str">
        <f t="shared" si="107"/>
        <v>32</v>
      </c>
      <c r="K425" s="1" t="str">
        <f t="shared" si="108"/>
        <v>21</v>
      </c>
      <c r="L425" s="1" t="str">
        <f t="shared" si="109"/>
        <v>40</v>
      </c>
      <c r="M425" s="1" t="str">
        <f t="shared" si="110"/>
        <v>64</v>
      </c>
      <c r="N425" s="1" t="str">
        <f t="shared" si="111"/>
        <v>43</v>
      </c>
      <c r="O425" s="1" t="str">
        <f t="shared" si="112"/>
        <v>02</v>
      </c>
      <c r="P425" s="2">
        <f t="shared" si="113"/>
        <v>32.361111111111114</v>
      </c>
      <c r="Q425" s="2">
        <f t="shared" si="114"/>
        <v>-64.717222222222219</v>
      </c>
      <c r="R425" s="16" t="s">
        <v>767</v>
      </c>
    </row>
    <row r="426" spans="1:18" ht="15.75" x14ac:dyDescent="0.25">
      <c r="A426" s="1">
        <v>425</v>
      </c>
      <c r="B426" s="1" t="s">
        <v>696</v>
      </c>
      <c r="C426" s="1" t="s">
        <v>18</v>
      </c>
      <c r="D426" s="1" t="s">
        <v>19</v>
      </c>
      <c r="E426" s="19" t="s">
        <v>811</v>
      </c>
      <c r="F426" s="19" t="s">
        <v>864</v>
      </c>
      <c r="G426" s="7" t="s">
        <v>753</v>
      </c>
      <c r="H426" s="7" t="s">
        <v>324</v>
      </c>
      <c r="I426" s="10" t="s">
        <v>754</v>
      </c>
      <c r="J426" s="1" t="str">
        <f t="shared" si="107"/>
        <v>32</v>
      </c>
      <c r="K426" s="1" t="str">
        <f t="shared" si="108"/>
        <v>23</v>
      </c>
      <c r="L426" s="1" t="str">
        <f t="shared" si="109"/>
        <v>19</v>
      </c>
      <c r="M426" s="1" t="str">
        <f t="shared" si="110"/>
        <v>64</v>
      </c>
      <c r="N426" s="1" t="str">
        <f t="shared" si="111"/>
        <v>39</v>
      </c>
      <c r="O426" s="1" t="str">
        <f t="shared" si="112"/>
        <v>13</v>
      </c>
      <c r="P426" s="2">
        <f t="shared" si="113"/>
        <v>32.388611111111111</v>
      </c>
      <c r="Q426" s="2">
        <f t="shared" si="114"/>
        <v>-64.653611111111104</v>
      </c>
      <c r="R426" s="16" t="s">
        <v>768</v>
      </c>
    </row>
    <row r="427" spans="1:18" ht="15.75" x14ac:dyDescent="0.25">
      <c r="A427" s="1">
        <v>426</v>
      </c>
      <c r="B427" s="1" t="s">
        <v>696</v>
      </c>
      <c r="C427" s="1" t="s">
        <v>18</v>
      </c>
      <c r="D427" s="1" t="s">
        <v>19</v>
      </c>
      <c r="E427" s="19" t="s">
        <v>812</v>
      </c>
      <c r="F427" s="19" t="s">
        <v>863</v>
      </c>
      <c r="G427" s="7" t="s">
        <v>753</v>
      </c>
      <c r="H427" s="7" t="s">
        <v>324</v>
      </c>
      <c r="I427" s="10" t="s">
        <v>754</v>
      </c>
      <c r="J427" s="1" t="str">
        <f t="shared" si="107"/>
        <v>32</v>
      </c>
      <c r="K427" s="1" t="str">
        <f t="shared" si="108"/>
        <v>23</v>
      </c>
      <c r="L427" s="1" t="str">
        <f t="shared" si="109"/>
        <v>43</v>
      </c>
      <c r="M427" s="1" t="str">
        <f t="shared" si="110"/>
        <v>64</v>
      </c>
      <c r="N427" s="1" t="str">
        <f t="shared" si="111"/>
        <v>39</v>
      </c>
      <c r="O427" s="1" t="str">
        <f t="shared" si="112"/>
        <v>38</v>
      </c>
      <c r="P427" s="2">
        <f t="shared" si="113"/>
        <v>32.395277777777778</v>
      </c>
      <c r="Q427" s="2">
        <f t="shared" si="114"/>
        <v>-64.660555555555561</v>
      </c>
      <c r="R427" s="16" t="s">
        <v>769</v>
      </c>
    </row>
    <row r="428" spans="1:18" ht="15.75" x14ac:dyDescent="0.25">
      <c r="A428" s="1">
        <v>427</v>
      </c>
      <c r="B428" s="1" t="s">
        <v>696</v>
      </c>
      <c r="C428" s="1" t="s">
        <v>18</v>
      </c>
      <c r="D428" s="1" t="s">
        <v>19</v>
      </c>
      <c r="E428" s="19" t="s">
        <v>813</v>
      </c>
      <c r="F428" s="19" t="s">
        <v>862</v>
      </c>
      <c r="G428" s="7" t="s">
        <v>753</v>
      </c>
      <c r="H428" s="7" t="s">
        <v>324</v>
      </c>
      <c r="I428" s="10" t="s">
        <v>754</v>
      </c>
      <c r="J428" s="1" t="str">
        <f t="shared" si="107"/>
        <v>32</v>
      </c>
      <c r="K428" s="1" t="str">
        <f t="shared" si="108"/>
        <v>24</v>
      </c>
      <c r="L428" s="1" t="str">
        <f t="shared" si="109"/>
        <v>05</v>
      </c>
      <c r="M428" s="1" t="str">
        <f t="shared" si="110"/>
        <v>64</v>
      </c>
      <c r="N428" s="1" t="str">
        <f t="shared" si="111"/>
        <v>38</v>
      </c>
      <c r="O428" s="1" t="str">
        <f t="shared" si="112"/>
        <v>36</v>
      </c>
      <c r="P428" s="2">
        <f t="shared" si="113"/>
        <v>32.401388888888889</v>
      </c>
      <c r="Q428" s="2">
        <f t="shared" si="114"/>
        <v>-64.643333333333331</v>
      </c>
      <c r="R428" s="16" t="s">
        <v>770</v>
      </c>
    </row>
    <row r="429" spans="1:18" ht="15.75" x14ac:dyDescent="0.25">
      <c r="A429" s="1">
        <v>428</v>
      </c>
      <c r="B429" s="1" t="s">
        <v>696</v>
      </c>
      <c r="C429" s="1" t="s">
        <v>18</v>
      </c>
      <c r="D429" s="1" t="s">
        <v>19</v>
      </c>
      <c r="E429" s="19" t="s">
        <v>814</v>
      </c>
      <c r="F429" s="19" t="s">
        <v>861</v>
      </c>
      <c r="G429" s="7" t="s">
        <v>753</v>
      </c>
      <c r="H429" s="7" t="s">
        <v>324</v>
      </c>
      <c r="I429" s="10" t="s">
        <v>754</v>
      </c>
      <c r="J429" s="1" t="str">
        <f t="shared" si="107"/>
        <v>32</v>
      </c>
      <c r="K429" s="1" t="str">
        <f t="shared" si="108"/>
        <v>24</v>
      </c>
      <c r="L429" s="1" t="str">
        <f t="shared" si="109"/>
        <v>08</v>
      </c>
      <c r="M429" s="1" t="str">
        <f t="shared" si="110"/>
        <v>64</v>
      </c>
      <c r="N429" s="1" t="str">
        <f t="shared" si="111"/>
        <v>38</v>
      </c>
      <c r="O429" s="1" t="str">
        <f t="shared" si="112"/>
        <v>30</v>
      </c>
      <c r="P429" s="2">
        <f t="shared" si="113"/>
        <v>32.402222222222221</v>
      </c>
      <c r="Q429" s="2">
        <f t="shared" si="114"/>
        <v>-64.641666666666666</v>
      </c>
      <c r="R429" s="16" t="s">
        <v>771</v>
      </c>
    </row>
    <row r="430" spans="1:18" ht="15.75" x14ac:dyDescent="0.25">
      <c r="A430" s="1">
        <v>429</v>
      </c>
      <c r="B430" s="1" t="s">
        <v>696</v>
      </c>
      <c r="C430" s="1" t="s">
        <v>18</v>
      </c>
      <c r="D430" s="1" t="s">
        <v>19</v>
      </c>
      <c r="E430" s="19" t="s">
        <v>815</v>
      </c>
      <c r="F430" s="19" t="s">
        <v>859</v>
      </c>
      <c r="G430" s="7" t="s">
        <v>753</v>
      </c>
      <c r="H430" s="7" t="s">
        <v>324</v>
      </c>
      <c r="I430" s="10" t="s">
        <v>754</v>
      </c>
      <c r="J430" s="1" t="str">
        <f t="shared" si="107"/>
        <v>32</v>
      </c>
      <c r="K430" s="1" t="str">
        <f t="shared" si="108"/>
        <v>23</v>
      </c>
      <c r="L430" s="1" t="str">
        <f t="shared" si="109"/>
        <v>54</v>
      </c>
      <c r="M430" s="1" t="str">
        <f t="shared" si="110"/>
        <v>64</v>
      </c>
      <c r="N430" s="1" t="str">
        <f t="shared" si="111"/>
        <v>39</v>
      </c>
      <c r="O430" s="1" t="str">
        <f t="shared" si="112"/>
        <v>58</v>
      </c>
      <c r="P430" s="2">
        <f t="shared" si="113"/>
        <v>32.398333333333333</v>
      </c>
      <c r="Q430" s="2">
        <f t="shared" si="114"/>
        <v>-64.666111111111107</v>
      </c>
      <c r="R430" s="16" t="s">
        <v>772</v>
      </c>
    </row>
    <row r="431" spans="1:18" ht="15.75" x14ac:dyDescent="0.25">
      <c r="A431" s="1">
        <v>430</v>
      </c>
      <c r="B431" s="1" t="s">
        <v>696</v>
      </c>
      <c r="C431" s="1" t="s">
        <v>18</v>
      </c>
      <c r="D431" s="1" t="s">
        <v>19</v>
      </c>
      <c r="E431" s="19" t="s">
        <v>816</v>
      </c>
      <c r="F431" s="19" t="s">
        <v>860</v>
      </c>
      <c r="G431" s="7" t="s">
        <v>753</v>
      </c>
      <c r="H431" s="7" t="s">
        <v>324</v>
      </c>
      <c r="I431" s="10" t="s">
        <v>754</v>
      </c>
      <c r="J431" s="1" t="str">
        <f t="shared" si="107"/>
        <v>32</v>
      </c>
      <c r="K431" s="1" t="str">
        <f t="shared" si="108"/>
        <v>23</v>
      </c>
      <c r="L431" s="1" t="str">
        <f t="shared" si="109"/>
        <v>57</v>
      </c>
      <c r="M431" s="1" t="str">
        <f t="shared" si="110"/>
        <v>64</v>
      </c>
      <c r="N431" s="1" t="str">
        <f t="shared" si="111"/>
        <v>40</v>
      </c>
      <c r="O431" s="1" t="str">
        <f t="shared" si="112"/>
        <v>01</v>
      </c>
      <c r="P431" s="2">
        <f t="shared" si="113"/>
        <v>32.399166666666666</v>
      </c>
      <c r="Q431" s="2">
        <f t="shared" si="114"/>
        <v>-64.666944444444439</v>
      </c>
      <c r="R431" s="16" t="s">
        <v>773</v>
      </c>
    </row>
    <row r="432" spans="1:18" ht="15.75" x14ac:dyDescent="0.25">
      <c r="A432" s="1">
        <v>431</v>
      </c>
      <c r="B432" s="1" t="s">
        <v>696</v>
      </c>
      <c r="C432" s="1" t="s">
        <v>18</v>
      </c>
      <c r="D432" s="1" t="s">
        <v>19</v>
      </c>
      <c r="E432" s="19" t="s">
        <v>815</v>
      </c>
      <c r="F432" s="19" t="s">
        <v>859</v>
      </c>
      <c r="G432" s="7" t="s">
        <v>753</v>
      </c>
      <c r="H432" s="7" t="s">
        <v>324</v>
      </c>
      <c r="I432" s="10" t="s">
        <v>754</v>
      </c>
      <c r="J432" s="1" t="str">
        <f t="shared" si="107"/>
        <v>32</v>
      </c>
      <c r="K432" s="1" t="str">
        <f t="shared" si="108"/>
        <v>23</v>
      </c>
      <c r="L432" s="1" t="str">
        <f t="shared" si="109"/>
        <v>54</v>
      </c>
      <c r="M432" s="1" t="str">
        <f t="shared" si="110"/>
        <v>64</v>
      </c>
      <c r="N432" s="1" t="str">
        <f t="shared" si="111"/>
        <v>39</v>
      </c>
      <c r="O432" s="1" t="str">
        <f t="shared" si="112"/>
        <v>58</v>
      </c>
      <c r="P432" s="2">
        <f t="shared" si="113"/>
        <v>32.398333333333333</v>
      </c>
      <c r="Q432" s="2">
        <f t="shared" si="114"/>
        <v>-64.666111111111107</v>
      </c>
      <c r="R432" s="16" t="s">
        <v>774</v>
      </c>
    </row>
    <row r="433" spans="1:18" ht="15.75" x14ac:dyDescent="0.25">
      <c r="A433" s="1">
        <v>432</v>
      </c>
      <c r="B433" s="1" t="s">
        <v>696</v>
      </c>
      <c r="C433" s="1" t="s">
        <v>18</v>
      </c>
      <c r="D433" s="1" t="s">
        <v>19</v>
      </c>
      <c r="E433" s="19" t="s">
        <v>817</v>
      </c>
      <c r="F433" s="19" t="s">
        <v>858</v>
      </c>
      <c r="G433" s="7" t="s">
        <v>753</v>
      </c>
      <c r="H433" s="7" t="s">
        <v>324</v>
      </c>
      <c r="I433" s="10" t="s">
        <v>754</v>
      </c>
      <c r="J433" s="1" t="str">
        <f t="shared" si="107"/>
        <v>32</v>
      </c>
      <c r="K433" s="1" t="str">
        <f t="shared" si="108"/>
        <v>25</v>
      </c>
      <c r="L433" s="1" t="str">
        <f t="shared" si="109"/>
        <v>16</v>
      </c>
      <c r="M433" s="1" t="str">
        <f t="shared" si="110"/>
        <v>64</v>
      </c>
      <c r="N433" s="1" t="str">
        <f t="shared" si="111"/>
        <v>42</v>
      </c>
      <c r="O433" s="1" t="str">
        <f t="shared" si="112"/>
        <v>43</v>
      </c>
      <c r="P433" s="2">
        <f t="shared" si="113"/>
        <v>32.421111111111109</v>
      </c>
      <c r="Q433" s="2">
        <f t="shared" si="114"/>
        <v>-64.711944444444441</v>
      </c>
      <c r="R433" s="16" t="s">
        <v>775</v>
      </c>
    </row>
    <row r="434" spans="1:18" ht="15.75" x14ac:dyDescent="0.25">
      <c r="A434" s="1">
        <v>433</v>
      </c>
      <c r="B434" s="1" t="s">
        <v>696</v>
      </c>
      <c r="C434" s="1" t="s">
        <v>18</v>
      </c>
      <c r="D434" s="1" t="s">
        <v>19</v>
      </c>
      <c r="E434" s="19" t="s">
        <v>818</v>
      </c>
      <c r="F434" s="19" t="s">
        <v>857</v>
      </c>
      <c r="G434" s="7" t="s">
        <v>753</v>
      </c>
      <c r="H434" s="7" t="s">
        <v>324</v>
      </c>
      <c r="I434" s="10" t="s">
        <v>754</v>
      </c>
      <c r="J434" s="1" t="str">
        <f t="shared" si="107"/>
        <v>32</v>
      </c>
      <c r="K434" s="1" t="str">
        <f t="shared" si="108"/>
        <v>26</v>
      </c>
      <c r="L434" s="1" t="str">
        <f t="shared" si="109"/>
        <v>34</v>
      </c>
      <c r="M434" s="1" t="str">
        <f t="shared" si="110"/>
        <v>64</v>
      </c>
      <c r="N434" s="1" t="str">
        <f t="shared" si="111"/>
        <v>43</v>
      </c>
      <c r="O434" s="1" t="str">
        <f t="shared" si="112"/>
        <v>14</v>
      </c>
      <c r="P434" s="2">
        <f t="shared" si="113"/>
        <v>32.442777777777778</v>
      </c>
      <c r="Q434" s="2">
        <f t="shared" si="114"/>
        <v>-64.720555555555549</v>
      </c>
      <c r="R434" s="16" t="s">
        <v>776</v>
      </c>
    </row>
    <row r="435" spans="1:18" ht="15.75" x14ac:dyDescent="0.25">
      <c r="A435" s="1">
        <v>434</v>
      </c>
      <c r="B435" s="1" t="s">
        <v>696</v>
      </c>
      <c r="C435" s="1" t="s">
        <v>18</v>
      </c>
      <c r="D435" s="1" t="s">
        <v>19</v>
      </c>
      <c r="E435" s="19" t="s">
        <v>819</v>
      </c>
      <c r="F435" s="19" t="s">
        <v>856</v>
      </c>
      <c r="G435" s="7" t="s">
        <v>753</v>
      </c>
      <c r="H435" s="7" t="s">
        <v>324</v>
      </c>
      <c r="I435" s="10" t="s">
        <v>754</v>
      </c>
      <c r="J435" s="1" t="str">
        <f t="shared" si="107"/>
        <v>32</v>
      </c>
      <c r="K435" s="1" t="str">
        <f t="shared" si="108"/>
        <v>27</v>
      </c>
      <c r="L435" s="1" t="str">
        <f t="shared" si="109"/>
        <v>45</v>
      </c>
      <c r="M435" s="1" t="str">
        <f t="shared" si="110"/>
        <v>64</v>
      </c>
      <c r="N435" s="1" t="str">
        <f t="shared" si="111"/>
        <v>43</v>
      </c>
      <c r="O435" s="1" t="str">
        <f t="shared" si="112"/>
        <v>53</v>
      </c>
      <c r="P435" s="2">
        <f t="shared" si="113"/>
        <v>32.462499999999999</v>
      </c>
      <c r="Q435" s="2">
        <f t="shared" si="114"/>
        <v>-64.731388888888887</v>
      </c>
      <c r="R435" s="16" t="s">
        <v>777</v>
      </c>
    </row>
    <row r="436" spans="1:18" ht="15.75" x14ac:dyDescent="0.25">
      <c r="A436" s="1">
        <v>435</v>
      </c>
      <c r="B436" s="1" t="s">
        <v>696</v>
      </c>
      <c r="C436" s="1" t="s">
        <v>18</v>
      </c>
      <c r="D436" s="1" t="s">
        <v>19</v>
      </c>
      <c r="E436" s="19" t="s">
        <v>820</v>
      </c>
      <c r="F436" s="19" t="s">
        <v>855</v>
      </c>
      <c r="G436" s="7" t="s">
        <v>753</v>
      </c>
      <c r="H436" s="7" t="s">
        <v>324</v>
      </c>
      <c r="I436" s="10" t="s">
        <v>754</v>
      </c>
      <c r="J436" s="1" t="str">
        <f t="shared" si="107"/>
        <v>32</v>
      </c>
      <c r="K436" s="1" t="str">
        <f t="shared" si="108"/>
        <v>28</v>
      </c>
      <c r="L436" s="1" t="str">
        <f t="shared" si="109"/>
        <v>28</v>
      </c>
      <c r="M436" s="1" t="str">
        <f t="shared" si="110"/>
        <v>64</v>
      </c>
      <c r="N436" s="1" t="str">
        <f t="shared" si="111"/>
        <v>44</v>
      </c>
      <c r="O436" s="1" t="str">
        <f t="shared" si="112"/>
        <v>44</v>
      </c>
      <c r="P436" s="2">
        <f t="shared" si="113"/>
        <v>32.474444444444444</v>
      </c>
      <c r="Q436" s="2">
        <f t="shared" si="114"/>
        <v>-64.745555555555555</v>
      </c>
      <c r="R436" s="16" t="s">
        <v>778</v>
      </c>
    </row>
    <row r="437" spans="1:18" ht="15.75" x14ac:dyDescent="0.25">
      <c r="A437" s="1">
        <v>436</v>
      </c>
      <c r="B437" s="1" t="s">
        <v>696</v>
      </c>
      <c r="C437" s="1" t="s">
        <v>18</v>
      </c>
      <c r="D437" s="1" t="s">
        <v>19</v>
      </c>
      <c r="E437" s="19" t="s">
        <v>821</v>
      </c>
      <c r="F437" s="19" t="s">
        <v>854</v>
      </c>
      <c r="G437" s="7" t="s">
        <v>753</v>
      </c>
      <c r="H437" s="7" t="s">
        <v>324</v>
      </c>
      <c r="I437" s="10" t="s">
        <v>754</v>
      </c>
      <c r="J437" s="1" t="str">
        <f t="shared" si="107"/>
        <v>32</v>
      </c>
      <c r="K437" s="1" t="str">
        <f t="shared" si="108"/>
        <v>24</v>
      </c>
      <c r="L437" s="1" t="str">
        <f t="shared" si="109"/>
        <v>12</v>
      </c>
      <c r="M437" s="1" t="str">
        <f t="shared" si="110"/>
        <v>64</v>
      </c>
      <c r="N437" s="1" t="str">
        <f t="shared" si="111"/>
        <v>44</v>
      </c>
      <c r="O437" s="1" t="str">
        <f t="shared" si="112"/>
        <v>59</v>
      </c>
      <c r="P437" s="2">
        <f t="shared" si="113"/>
        <v>32.403333333333336</v>
      </c>
      <c r="Q437" s="2">
        <f t="shared" si="114"/>
        <v>-64.749722222222218</v>
      </c>
      <c r="R437" s="16" t="s">
        <v>779</v>
      </c>
    </row>
    <row r="438" spans="1:18" ht="15.75" x14ac:dyDescent="0.25">
      <c r="A438" s="1">
        <v>437</v>
      </c>
      <c r="B438" s="1" t="s">
        <v>696</v>
      </c>
      <c r="C438" s="1" t="s">
        <v>18</v>
      </c>
      <c r="D438" s="1" t="s">
        <v>19</v>
      </c>
      <c r="E438" s="19" t="s">
        <v>822</v>
      </c>
      <c r="F438" s="19" t="s">
        <v>853</v>
      </c>
      <c r="G438" s="7" t="s">
        <v>753</v>
      </c>
      <c r="H438" s="7" t="s">
        <v>324</v>
      </c>
      <c r="I438" s="10" t="s">
        <v>754</v>
      </c>
      <c r="J438" s="1" t="str">
        <f t="shared" si="107"/>
        <v>32</v>
      </c>
      <c r="K438" s="1" t="str">
        <f t="shared" si="108"/>
        <v>21</v>
      </c>
      <c r="L438" s="1" t="str">
        <f t="shared" si="109"/>
        <v>51</v>
      </c>
      <c r="M438" s="1" t="str">
        <f t="shared" si="110"/>
        <v>64</v>
      </c>
      <c r="N438" s="1" t="str">
        <f t="shared" si="111"/>
        <v>44</v>
      </c>
      <c r="O438" s="1" t="str">
        <f t="shared" si="112"/>
        <v>40</v>
      </c>
      <c r="P438" s="2">
        <f t="shared" si="113"/>
        <v>32.364166666666669</v>
      </c>
      <c r="Q438" s="2">
        <f t="shared" si="114"/>
        <v>-64.74444444444444</v>
      </c>
      <c r="R438" s="16" t="s">
        <v>780</v>
      </c>
    </row>
    <row r="439" spans="1:18" ht="15.75" x14ac:dyDescent="0.25">
      <c r="A439" s="1">
        <v>438</v>
      </c>
      <c r="B439" s="1" t="s">
        <v>696</v>
      </c>
      <c r="C439" s="1" t="s">
        <v>18</v>
      </c>
      <c r="D439" s="1" t="s">
        <v>19</v>
      </c>
      <c r="E439" s="19" t="s">
        <v>823</v>
      </c>
      <c r="F439" s="19" t="s">
        <v>852</v>
      </c>
      <c r="G439" s="7" t="s">
        <v>753</v>
      </c>
      <c r="H439" s="7" t="s">
        <v>324</v>
      </c>
      <c r="I439" s="10" t="s">
        <v>754</v>
      </c>
      <c r="J439" s="1" t="str">
        <f t="shared" si="107"/>
        <v>32</v>
      </c>
      <c r="K439" s="1" t="str">
        <f t="shared" si="108"/>
        <v>21</v>
      </c>
      <c r="L439" s="1" t="str">
        <f t="shared" si="109"/>
        <v>06</v>
      </c>
      <c r="M439" s="1" t="str">
        <f t="shared" si="110"/>
        <v>64</v>
      </c>
      <c r="N439" s="1" t="str">
        <f t="shared" si="111"/>
        <v>44</v>
      </c>
      <c r="O439" s="1" t="str">
        <f t="shared" si="112"/>
        <v>25</v>
      </c>
      <c r="P439" s="2">
        <f t="shared" si="113"/>
        <v>32.351666666666667</v>
      </c>
      <c r="Q439" s="2">
        <f t="shared" si="114"/>
        <v>-64.740277777777777</v>
      </c>
      <c r="R439" s="16" t="s">
        <v>781</v>
      </c>
    </row>
    <row r="440" spans="1:18" ht="15.75" x14ac:dyDescent="0.25">
      <c r="A440" s="1">
        <v>439</v>
      </c>
      <c r="B440" s="1" t="s">
        <v>696</v>
      </c>
      <c r="C440" s="1" t="s">
        <v>18</v>
      </c>
      <c r="D440" s="1" t="s">
        <v>19</v>
      </c>
      <c r="E440" s="19" t="s">
        <v>824</v>
      </c>
      <c r="F440" s="19" t="s">
        <v>851</v>
      </c>
      <c r="G440" s="7" t="s">
        <v>753</v>
      </c>
      <c r="H440" s="7" t="s">
        <v>324</v>
      </c>
      <c r="I440" s="10" t="s">
        <v>754</v>
      </c>
      <c r="J440" s="1" t="str">
        <f t="shared" si="107"/>
        <v>32</v>
      </c>
      <c r="K440" s="1" t="str">
        <f t="shared" si="108"/>
        <v>20</v>
      </c>
      <c r="L440" s="1" t="str">
        <f t="shared" si="109"/>
        <v>33</v>
      </c>
      <c r="M440" s="1" t="str">
        <f t="shared" si="110"/>
        <v>64</v>
      </c>
      <c r="N440" s="1" t="str">
        <f t="shared" si="111"/>
        <v>42</v>
      </c>
      <c r="O440" s="1" t="str">
        <f t="shared" si="112"/>
        <v>44</v>
      </c>
      <c r="P440" s="2">
        <f t="shared" si="113"/>
        <v>32.342500000000001</v>
      </c>
      <c r="Q440" s="2">
        <f t="shared" si="114"/>
        <v>-64.712222222222223</v>
      </c>
      <c r="R440" s="16" t="s">
        <v>782</v>
      </c>
    </row>
    <row r="441" spans="1:18" ht="15.75" x14ac:dyDescent="0.25">
      <c r="A441" s="1">
        <v>440</v>
      </c>
      <c r="B441" s="1" t="s">
        <v>696</v>
      </c>
      <c r="C441" s="1" t="s">
        <v>18</v>
      </c>
      <c r="D441" s="1" t="s">
        <v>19</v>
      </c>
      <c r="E441" s="19" t="s">
        <v>825</v>
      </c>
      <c r="F441" s="19" t="s">
        <v>850</v>
      </c>
      <c r="G441" s="7" t="s">
        <v>753</v>
      </c>
      <c r="H441" s="7" t="s">
        <v>324</v>
      </c>
      <c r="I441" s="10" t="s">
        <v>754</v>
      </c>
      <c r="J441" s="1" t="str">
        <f t="shared" si="107"/>
        <v>32</v>
      </c>
      <c r="K441" s="1" t="str">
        <f t="shared" si="108"/>
        <v>20</v>
      </c>
      <c r="L441" s="1" t="str">
        <f t="shared" si="109"/>
        <v>37</v>
      </c>
      <c r="M441" s="1" t="str">
        <f t="shared" si="110"/>
        <v>64</v>
      </c>
      <c r="N441" s="1" t="str">
        <f t="shared" si="111"/>
        <v>43</v>
      </c>
      <c r="O441" s="1" t="str">
        <f t="shared" si="112"/>
        <v>01</v>
      </c>
      <c r="P441" s="2">
        <f t="shared" si="113"/>
        <v>32.343611111111109</v>
      </c>
      <c r="Q441" s="2">
        <f t="shared" si="114"/>
        <v>-64.716944444444451</v>
      </c>
      <c r="R441" s="16" t="s">
        <v>783</v>
      </c>
    </row>
    <row r="442" spans="1:18" ht="15.75" x14ac:dyDescent="0.25">
      <c r="A442" s="1">
        <v>441</v>
      </c>
      <c r="B442" s="1" t="s">
        <v>696</v>
      </c>
      <c r="C442" s="1" t="s">
        <v>18</v>
      </c>
      <c r="D442" s="1" t="s">
        <v>19</v>
      </c>
      <c r="E442" s="19" t="s">
        <v>826</v>
      </c>
      <c r="F442" s="19" t="s">
        <v>849</v>
      </c>
      <c r="G442" s="7" t="s">
        <v>753</v>
      </c>
      <c r="H442" s="7" t="s">
        <v>324</v>
      </c>
      <c r="I442" s="10" t="s">
        <v>754</v>
      </c>
      <c r="J442" s="1" t="str">
        <f t="shared" si="107"/>
        <v>32</v>
      </c>
      <c r="K442" s="1" t="str">
        <f t="shared" si="108"/>
        <v>20</v>
      </c>
      <c r="L442" s="1" t="str">
        <f t="shared" si="109"/>
        <v>02</v>
      </c>
      <c r="M442" s="1" t="str">
        <f t="shared" si="110"/>
        <v>64</v>
      </c>
      <c r="N442" s="1" t="str">
        <f t="shared" si="111"/>
        <v>43</v>
      </c>
      <c r="O442" s="1" t="str">
        <f t="shared" si="112"/>
        <v>11</v>
      </c>
      <c r="P442" s="2">
        <f t="shared" si="113"/>
        <v>32.333888888888886</v>
      </c>
      <c r="Q442" s="2">
        <f t="shared" si="114"/>
        <v>-64.719722222222217</v>
      </c>
      <c r="R442" s="16" t="s">
        <v>784</v>
      </c>
    </row>
    <row r="443" spans="1:18" ht="15.75" x14ac:dyDescent="0.25">
      <c r="A443" s="1">
        <v>442</v>
      </c>
      <c r="B443" s="1" t="s">
        <v>696</v>
      </c>
      <c r="C443" s="1" t="s">
        <v>18</v>
      </c>
      <c r="D443" s="1" t="s">
        <v>19</v>
      </c>
      <c r="E443" s="19" t="s">
        <v>827</v>
      </c>
      <c r="F443" s="19" t="s">
        <v>848</v>
      </c>
      <c r="G443" s="7" t="s">
        <v>753</v>
      </c>
      <c r="H443" s="7" t="s">
        <v>324</v>
      </c>
      <c r="I443" s="10" t="s">
        <v>754</v>
      </c>
      <c r="J443" s="1" t="str">
        <f t="shared" si="107"/>
        <v>32</v>
      </c>
      <c r="K443" s="1" t="str">
        <f t="shared" si="108"/>
        <v>19</v>
      </c>
      <c r="L443" s="1" t="str">
        <f t="shared" si="109"/>
        <v>25</v>
      </c>
      <c r="M443" s="1" t="str">
        <f t="shared" si="110"/>
        <v>64</v>
      </c>
      <c r="N443" s="1" t="str">
        <f t="shared" si="111"/>
        <v>43</v>
      </c>
      <c r="O443" s="1" t="str">
        <f t="shared" si="112"/>
        <v>49</v>
      </c>
      <c r="P443" s="2">
        <f t="shared" si="113"/>
        <v>32.323611111111113</v>
      </c>
      <c r="Q443" s="2">
        <f t="shared" si="114"/>
        <v>-64.730277777777772</v>
      </c>
      <c r="R443" s="16" t="s">
        <v>785</v>
      </c>
    </row>
    <row r="444" spans="1:18" ht="15.75" x14ac:dyDescent="0.25">
      <c r="A444" s="1">
        <v>443</v>
      </c>
      <c r="B444" s="1" t="s">
        <v>696</v>
      </c>
      <c r="C444" s="1" t="s">
        <v>18</v>
      </c>
      <c r="D444" s="1" t="s">
        <v>19</v>
      </c>
      <c r="E444" s="19" t="s">
        <v>827</v>
      </c>
      <c r="F444" s="19" t="s">
        <v>847</v>
      </c>
      <c r="G444" s="7" t="s">
        <v>753</v>
      </c>
      <c r="H444" s="7" t="s">
        <v>324</v>
      </c>
      <c r="I444" s="10" t="s">
        <v>754</v>
      </c>
      <c r="J444" s="1" t="str">
        <f t="shared" si="107"/>
        <v>32</v>
      </c>
      <c r="K444" s="1" t="str">
        <f t="shared" si="108"/>
        <v>19</v>
      </c>
      <c r="L444" s="1" t="str">
        <f t="shared" si="109"/>
        <v>25</v>
      </c>
      <c r="M444" s="1" t="str">
        <f t="shared" si="110"/>
        <v>64</v>
      </c>
      <c r="N444" s="1" t="str">
        <f t="shared" si="111"/>
        <v>43</v>
      </c>
      <c r="O444" s="1" t="str">
        <f t="shared" si="112"/>
        <v>33</v>
      </c>
      <c r="P444" s="2">
        <f t="shared" si="113"/>
        <v>32.323611111111113</v>
      </c>
      <c r="Q444" s="2">
        <f t="shared" si="114"/>
        <v>-64.725833333333327</v>
      </c>
      <c r="R444" s="16" t="s">
        <v>786</v>
      </c>
    </row>
    <row r="445" spans="1:18" ht="15.75" x14ac:dyDescent="0.25">
      <c r="A445" s="1">
        <v>444</v>
      </c>
      <c r="B445" s="1" t="s">
        <v>696</v>
      </c>
      <c r="C445" s="1" t="s">
        <v>18</v>
      </c>
      <c r="D445" s="1" t="s">
        <v>19</v>
      </c>
      <c r="E445" s="19" t="s">
        <v>828</v>
      </c>
      <c r="F445" s="19" t="s">
        <v>846</v>
      </c>
      <c r="G445" s="7" t="s">
        <v>753</v>
      </c>
      <c r="H445" s="7" t="s">
        <v>324</v>
      </c>
      <c r="I445" s="10" t="s">
        <v>754</v>
      </c>
      <c r="J445" s="1" t="str">
        <f t="shared" si="107"/>
        <v>32</v>
      </c>
      <c r="K445" s="1" t="str">
        <f t="shared" si="108"/>
        <v>19</v>
      </c>
      <c r="L445" s="1" t="str">
        <f t="shared" si="109"/>
        <v>49</v>
      </c>
      <c r="M445" s="1" t="str">
        <f t="shared" si="110"/>
        <v>64</v>
      </c>
      <c r="N445" s="1" t="str">
        <f t="shared" si="111"/>
        <v>49</v>
      </c>
      <c r="O445" s="1" t="str">
        <f t="shared" si="112"/>
        <v>10</v>
      </c>
      <c r="P445" s="2">
        <f t="shared" si="113"/>
        <v>32.330277777777781</v>
      </c>
      <c r="Q445" s="2">
        <f t="shared" si="114"/>
        <v>-64.819444444444443</v>
      </c>
      <c r="R445" s="16" t="s">
        <v>787</v>
      </c>
    </row>
    <row r="446" spans="1:18" ht="15.75" x14ac:dyDescent="0.25">
      <c r="A446" s="1">
        <v>445</v>
      </c>
      <c r="B446" s="1" t="s">
        <v>696</v>
      </c>
      <c r="C446" s="1" t="s">
        <v>18</v>
      </c>
      <c r="D446" s="1" t="s">
        <v>19</v>
      </c>
      <c r="E446" s="19" t="s">
        <v>837</v>
      </c>
      <c r="F446" s="19" t="s">
        <v>841</v>
      </c>
      <c r="G446" s="7" t="s">
        <v>753</v>
      </c>
      <c r="H446" s="7" t="s">
        <v>324</v>
      </c>
      <c r="I446" s="10" t="s">
        <v>754</v>
      </c>
      <c r="J446" s="1" t="str">
        <f t="shared" si="107"/>
        <v>32</v>
      </c>
      <c r="K446" s="1" t="str">
        <f t="shared" si="108"/>
        <v>14</v>
      </c>
      <c r="L446" s="1" t="str">
        <f t="shared" si="109"/>
        <v>33</v>
      </c>
      <c r="M446" s="1" t="str">
        <f t="shared" si="110"/>
        <v>64</v>
      </c>
      <c r="N446" s="1" t="str">
        <f t="shared" si="111"/>
        <v>54</v>
      </c>
      <c r="O446" s="1" t="str">
        <f t="shared" si="112"/>
        <v>10</v>
      </c>
      <c r="P446" s="2">
        <f t="shared" si="113"/>
        <v>32.2425</v>
      </c>
      <c r="Q446" s="2">
        <f t="shared" si="114"/>
        <v>-64.902777777777771</v>
      </c>
      <c r="R446" s="16" t="s">
        <v>788</v>
      </c>
    </row>
    <row r="447" spans="1:18" ht="15.75" x14ac:dyDescent="0.25">
      <c r="A447" s="1">
        <v>446</v>
      </c>
      <c r="B447" s="1" t="s">
        <v>696</v>
      </c>
      <c r="C447" s="1" t="s">
        <v>18</v>
      </c>
      <c r="D447" s="1" t="s">
        <v>19</v>
      </c>
      <c r="E447" s="19" t="s">
        <v>836</v>
      </c>
      <c r="F447" s="19" t="s">
        <v>845</v>
      </c>
      <c r="G447" s="7" t="s">
        <v>753</v>
      </c>
      <c r="H447" s="7" t="s">
        <v>324</v>
      </c>
      <c r="I447" s="10" t="s">
        <v>754</v>
      </c>
      <c r="J447" s="1" t="str">
        <f t="shared" si="107"/>
        <v>32</v>
      </c>
      <c r="K447" s="1" t="str">
        <f t="shared" si="108"/>
        <v>15</v>
      </c>
      <c r="L447" s="1" t="str">
        <f t="shared" si="109"/>
        <v>59</v>
      </c>
      <c r="M447" s="1" t="str">
        <f t="shared" si="110"/>
        <v>64</v>
      </c>
      <c r="N447" s="1" t="str">
        <f t="shared" si="111"/>
        <v>53</v>
      </c>
      <c r="O447" s="1" t="str">
        <f t="shared" si="112"/>
        <v>57</v>
      </c>
      <c r="P447" s="2">
        <f t="shared" si="113"/>
        <v>32.266388888888891</v>
      </c>
      <c r="Q447" s="2">
        <f t="shared" si="114"/>
        <v>-64.899166666666673</v>
      </c>
      <c r="R447" s="16" t="s">
        <v>789</v>
      </c>
    </row>
    <row r="448" spans="1:18" ht="15.75" x14ac:dyDescent="0.25">
      <c r="A448" s="1">
        <v>447</v>
      </c>
      <c r="B448" s="1" t="s">
        <v>696</v>
      </c>
      <c r="C448" s="1" t="s">
        <v>18</v>
      </c>
      <c r="D448" s="1" t="s">
        <v>19</v>
      </c>
      <c r="E448" s="19" t="s">
        <v>835</v>
      </c>
      <c r="F448" s="19" t="s">
        <v>844</v>
      </c>
      <c r="G448" s="7" t="s">
        <v>753</v>
      </c>
      <c r="H448" s="7" t="s">
        <v>324</v>
      </c>
      <c r="I448" s="10" t="s">
        <v>754</v>
      </c>
      <c r="J448" s="1" t="str">
        <f t="shared" si="107"/>
        <v>32</v>
      </c>
      <c r="K448" s="1" t="str">
        <f t="shared" si="108"/>
        <v>16</v>
      </c>
      <c r="L448" s="1" t="str">
        <f t="shared" si="109"/>
        <v>22</v>
      </c>
      <c r="M448" s="1" t="str">
        <f t="shared" si="110"/>
        <v>64</v>
      </c>
      <c r="N448" s="1" t="str">
        <f t="shared" si="111"/>
        <v>53</v>
      </c>
      <c r="O448" s="1" t="str">
        <f t="shared" si="112"/>
        <v>55</v>
      </c>
      <c r="P448" s="2">
        <f t="shared" si="113"/>
        <v>32.272777777777776</v>
      </c>
      <c r="Q448" s="2">
        <f t="shared" si="114"/>
        <v>-64.898611111111109</v>
      </c>
      <c r="R448" s="16" t="s">
        <v>790</v>
      </c>
    </row>
    <row r="449" spans="1:18" ht="15.75" x14ac:dyDescent="0.25">
      <c r="A449" s="1">
        <v>448</v>
      </c>
      <c r="B449" s="1" t="s">
        <v>696</v>
      </c>
      <c r="C449" s="1" t="s">
        <v>18</v>
      </c>
      <c r="D449" s="1" t="s">
        <v>19</v>
      </c>
      <c r="E449" s="19" t="s">
        <v>834</v>
      </c>
      <c r="F449" s="19" t="s">
        <v>843</v>
      </c>
      <c r="G449" s="7" t="s">
        <v>753</v>
      </c>
      <c r="H449" s="7" t="s">
        <v>324</v>
      </c>
      <c r="I449" s="10" t="s">
        <v>754</v>
      </c>
      <c r="J449" s="1" t="str">
        <f t="shared" si="107"/>
        <v>32</v>
      </c>
      <c r="K449" s="1" t="str">
        <f t="shared" si="108"/>
        <v>16</v>
      </c>
      <c r="L449" s="1" t="str">
        <f t="shared" si="109"/>
        <v>51</v>
      </c>
      <c r="M449" s="1" t="str">
        <f t="shared" si="110"/>
        <v>64</v>
      </c>
      <c r="N449" s="1" t="str">
        <f t="shared" si="111"/>
        <v>53</v>
      </c>
      <c r="O449" s="1" t="str">
        <f t="shared" si="112"/>
        <v>50</v>
      </c>
      <c r="P449" s="2">
        <f t="shared" si="113"/>
        <v>32.280833333333334</v>
      </c>
      <c r="Q449" s="2">
        <f t="shared" si="114"/>
        <v>-64.897222222222226</v>
      </c>
      <c r="R449" s="16" t="s">
        <v>791</v>
      </c>
    </row>
    <row r="450" spans="1:18" ht="15.75" x14ac:dyDescent="0.25">
      <c r="A450" s="1">
        <v>449</v>
      </c>
      <c r="B450" s="1" t="s">
        <v>696</v>
      </c>
      <c r="C450" s="1" t="s">
        <v>18</v>
      </c>
      <c r="D450" s="1" t="s">
        <v>19</v>
      </c>
      <c r="E450" s="19" t="s">
        <v>833</v>
      </c>
      <c r="F450" s="19" t="s">
        <v>842</v>
      </c>
      <c r="G450" s="7" t="s">
        <v>753</v>
      </c>
      <c r="H450" s="7" t="s">
        <v>324</v>
      </c>
      <c r="I450" s="10" t="s">
        <v>754</v>
      </c>
      <c r="J450" s="1" t="str">
        <f t="shared" si="107"/>
        <v>32</v>
      </c>
      <c r="K450" s="1" t="str">
        <f t="shared" si="108"/>
        <v>18</v>
      </c>
      <c r="L450" s="1" t="str">
        <f t="shared" si="109"/>
        <v>00</v>
      </c>
      <c r="M450" s="1" t="str">
        <f t="shared" si="110"/>
        <v>64</v>
      </c>
      <c r="N450" s="1" t="str">
        <f t="shared" si="111"/>
        <v>53</v>
      </c>
      <c r="O450" s="1" t="str">
        <f t="shared" si="112"/>
        <v>59</v>
      </c>
      <c r="P450" s="2">
        <f t="shared" si="113"/>
        <v>32.299999999999997</v>
      </c>
      <c r="Q450" s="2">
        <f t="shared" si="114"/>
        <v>-64.899722222222223</v>
      </c>
      <c r="R450" s="16" t="s">
        <v>792</v>
      </c>
    </row>
    <row r="451" spans="1:18" ht="15.75" x14ac:dyDescent="0.25">
      <c r="A451" s="1">
        <v>450</v>
      </c>
      <c r="B451" s="1" t="s">
        <v>696</v>
      </c>
      <c r="C451" s="1" t="s">
        <v>18</v>
      </c>
      <c r="D451" s="1" t="s">
        <v>19</v>
      </c>
      <c r="E451" s="19" t="s">
        <v>832</v>
      </c>
      <c r="F451" s="19" t="s">
        <v>841</v>
      </c>
      <c r="G451" s="7" t="s">
        <v>753</v>
      </c>
      <c r="H451" s="7" t="s">
        <v>324</v>
      </c>
      <c r="I451" s="10" t="s">
        <v>754</v>
      </c>
      <c r="J451" s="1" t="str">
        <f t="shared" si="107"/>
        <v>32</v>
      </c>
      <c r="K451" s="1" t="str">
        <f t="shared" si="108"/>
        <v>19</v>
      </c>
      <c r="L451" s="1" t="str">
        <f t="shared" si="109"/>
        <v>00</v>
      </c>
      <c r="M451" s="1" t="str">
        <f t="shared" si="110"/>
        <v>64</v>
      </c>
      <c r="N451" s="1" t="str">
        <f t="shared" si="111"/>
        <v>54</v>
      </c>
      <c r="O451" s="1" t="str">
        <f t="shared" si="112"/>
        <v>10</v>
      </c>
      <c r="P451" s="2">
        <f t="shared" si="113"/>
        <v>32.31666666666667</v>
      </c>
      <c r="Q451" s="2">
        <f t="shared" si="114"/>
        <v>-64.902777777777771</v>
      </c>
      <c r="R451" s="16" t="s">
        <v>793</v>
      </c>
    </row>
    <row r="452" spans="1:18" ht="15.75" x14ac:dyDescent="0.25">
      <c r="A452" s="1">
        <v>451</v>
      </c>
      <c r="B452" s="1" t="s">
        <v>696</v>
      </c>
      <c r="C452" s="1" t="s">
        <v>18</v>
      </c>
      <c r="D452" s="1" t="s">
        <v>19</v>
      </c>
      <c r="E452" s="19" t="s">
        <v>831</v>
      </c>
      <c r="F452" s="19" t="s">
        <v>840</v>
      </c>
      <c r="G452" s="7" t="s">
        <v>753</v>
      </c>
      <c r="H452" s="7" t="s">
        <v>324</v>
      </c>
      <c r="I452" s="10" t="s">
        <v>754</v>
      </c>
      <c r="J452" s="1" t="str">
        <f t="shared" si="107"/>
        <v>32</v>
      </c>
      <c r="K452" s="1" t="str">
        <f t="shared" si="108"/>
        <v>19</v>
      </c>
      <c r="L452" s="1" t="str">
        <f t="shared" si="109"/>
        <v>34</v>
      </c>
      <c r="M452" s="1" t="str">
        <f t="shared" si="110"/>
        <v>64</v>
      </c>
      <c r="N452" s="1" t="str">
        <f t="shared" si="111"/>
        <v>54</v>
      </c>
      <c r="O452" s="1" t="str">
        <f t="shared" si="112"/>
        <v>46</v>
      </c>
      <c r="P452" s="2">
        <f t="shared" si="113"/>
        <v>32.326111111111111</v>
      </c>
      <c r="Q452" s="2">
        <f t="shared" si="114"/>
        <v>-64.912777777777777</v>
      </c>
      <c r="R452" s="16" t="s">
        <v>794</v>
      </c>
    </row>
    <row r="453" spans="1:18" ht="15.75" x14ac:dyDescent="0.25">
      <c r="A453" s="1">
        <v>452</v>
      </c>
      <c r="B453" s="1" t="s">
        <v>696</v>
      </c>
      <c r="C453" s="1" t="s">
        <v>18</v>
      </c>
      <c r="D453" s="1" t="s">
        <v>19</v>
      </c>
      <c r="E453" s="19" t="s">
        <v>830</v>
      </c>
      <c r="F453" s="19" t="s">
        <v>839</v>
      </c>
      <c r="G453" s="7" t="s">
        <v>753</v>
      </c>
      <c r="H453" s="7" t="s">
        <v>324</v>
      </c>
      <c r="I453" s="10" t="s">
        <v>754</v>
      </c>
      <c r="J453" s="1" t="str">
        <f t="shared" si="107"/>
        <v>32</v>
      </c>
      <c r="K453" s="1" t="str">
        <f t="shared" si="108"/>
        <v>20</v>
      </c>
      <c r="L453" s="1" t="str">
        <f t="shared" si="109"/>
        <v>41</v>
      </c>
      <c r="M453" s="1" t="str">
        <f t="shared" si="110"/>
        <v>64</v>
      </c>
      <c r="N453" s="1" t="str">
        <f t="shared" si="111"/>
        <v>55</v>
      </c>
      <c r="O453" s="1" t="str">
        <f t="shared" si="112"/>
        <v>50</v>
      </c>
      <c r="P453" s="2">
        <f t="shared" si="113"/>
        <v>32.344722222222224</v>
      </c>
      <c r="Q453" s="2">
        <f t="shared" si="114"/>
        <v>-64.930555555555557</v>
      </c>
      <c r="R453" s="16" t="s">
        <v>795</v>
      </c>
    </row>
    <row r="454" spans="1:18" ht="15.75" x14ac:dyDescent="0.25">
      <c r="A454" s="1">
        <v>453</v>
      </c>
      <c r="B454" s="1" t="s">
        <v>696</v>
      </c>
      <c r="C454" s="1" t="s">
        <v>18</v>
      </c>
      <c r="D454" s="1" t="s">
        <v>19</v>
      </c>
      <c r="E454" s="19" t="s">
        <v>829</v>
      </c>
      <c r="F454" s="19" t="s">
        <v>838</v>
      </c>
      <c r="G454" s="7" t="s">
        <v>753</v>
      </c>
      <c r="H454" s="7" t="s">
        <v>324</v>
      </c>
      <c r="I454" s="10" t="s">
        <v>754</v>
      </c>
      <c r="J454" s="1" t="str">
        <f t="shared" si="107"/>
        <v>32</v>
      </c>
      <c r="K454" s="1" t="str">
        <f t="shared" si="108"/>
        <v>21</v>
      </c>
      <c r="L454" s="1" t="str">
        <f t="shared" si="109"/>
        <v>03</v>
      </c>
      <c r="M454" s="1" t="str">
        <f t="shared" si="110"/>
        <v>64</v>
      </c>
      <c r="N454" s="1" t="str">
        <f t="shared" si="111"/>
        <v>56</v>
      </c>
      <c r="O454" s="1" t="str">
        <f t="shared" si="112"/>
        <v>12</v>
      </c>
      <c r="P454" s="2">
        <f t="shared" si="113"/>
        <v>32.350833333333334</v>
      </c>
      <c r="Q454" s="2">
        <f t="shared" si="114"/>
        <v>-64.936666666666667</v>
      </c>
      <c r="R454" s="16" t="s">
        <v>796</v>
      </c>
    </row>
    <row r="455" spans="1:18" ht="15.75" x14ac:dyDescent="0.25">
      <c r="A455" s="1">
        <v>454</v>
      </c>
      <c r="B455" s="1" t="s">
        <v>696</v>
      </c>
      <c r="C455" s="1" t="s">
        <v>18</v>
      </c>
      <c r="D455" s="1" t="s">
        <v>19</v>
      </c>
      <c r="E455" s="19" t="s">
        <v>878</v>
      </c>
      <c r="F455" s="19" t="s">
        <v>879</v>
      </c>
      <c r="G455" s="19" t="s">
        <v>877</v>
      </c>
      <c r="H455" s="1" t="s">
        <v>23</v>
      </c>
      <c r="I455" s="19" t="s">
        <v>899</v>
      </c>
      <c r="J455" s="1" t="str">
        <f t="shared" ref="J455:J462" si="115">MID(E455,1,FIND("°",E455,1)-1)</f>
        <v>20</v>
      </c>
      <c r="K455" s="1" t="str">
        <f t="shared" ref="K455:K462" si="116">MID(E455,FIND("°",E455,1)+1,(FIND("′",E455,1)-FIND("°",E455,1))-1)</f>
        <v>50</v>
      </c>
      <c r="L455" s="1" t="str">
        <f t="shared" ref="L455:L462" si="117">MID(E455,FIND("′",E455,1)+1,(FIND("″",E455,1)-FIND("′",E455,1))-1)</f>
        <v>01</v>
      </c>
      <c r="M455" s="1" t="str">
        <f t="shared" ref="M455:M462" si="118">MID(F455,1,FIND("°",F455,1)-1)</f>
        <v>86</v>
      </c>
      <c r="N455" s="1" t="str">
        <f t="shared" ref="N455:N462" si="119">MID(F455,FIND("°",F455,1)+1,(FIND("′",F455,1)-FIND("°",F455,1))-1)</f>
        <v>52</v>
      </c>
      <c r="O455" s="1" t="str">
        <f t="shared" ref="O455:O462" si="120">MID(F455,FIND("′",F455,1)+1,(FIND("″",F455,1)-FIND("′",F455,1))-1)</f>
        <v>36</v>
      </c>
      <c r="P455" s="2">
        <f t="shared" ref="P455:P462" si="121">((((L455/60)+K455)/60)+J455)*IF(C455="S",-1, 1)</f>
        <v>20.833611111111111</v>
      </c>
      <c r="Q455" s="2">
        <f t="shared" ref="Q455:Q462" si="122">((((O455/60)+N455)/60)+M455)*IF(D455="W",-1, 1)</f>
        <v>-86.876666666666665</v>
      </c>
      <c r="R455" s="16" t="s">
        <v>877</v>
      </c>
    </row>
    <row r="456" spans="1:18" ht="15.75" x14ac:dyDescent="0.25">
      <c r="A456" s="1">
        <v>455</v>
      </c>
      <c r="B456" s="1" t="s">
        <v>696</v>
      </c>
      <c r="C456" s="1" t="s">
        <v>18</v>
      </c>
      <c r="D456" s="1" t="s">
        <v>19</v>
      </c>
      <c r="E456" s="2" t="s">
        <v>881</v>
      </c>
      <c r="F456" s="2" t="s">
        <v>898</v>
      </c>
      <c r="G456" s="19" t="s">
        <v>880</v>
      </c>
      <c r="H456" s="7" t="s">
        <v>324</v>
      </c>
      <c r="I456" s="1" t="s">
        <v>454</v>
      </c>
      <c r="J456" s="1" t="str">
        <f t="shared" si="115"/>
        <v>24</v>
      </c>
      <c r="K456" s="1" t="str">
        <f t="shared" si="116"/>
        <v>43</v>
      </c>
      <c r="L456" s="1" t="str">
        <f t="shared" si="117"/>
        <v>39</v>
      </c>
      <c r="M456" s="1" t="str">
        <f t="shared" si="118"/>
        <v xml:space="preserve"> 80</v>
      </c>
      <c r="N456" s="1" t="str">
        <f t="shared" si="119"/>
        <v>56</v>
      </c>
      <c r="O456" s="1" t="str">
        <f t="shared" si="120"/>
        <v>20</v>
      </c>
      <c r="P456" s="2">
        <f t="shared" si="121"/>
        <v>24.727499999999999</v>
      </c>
      <c r="Q456" s="2">
        <f t="shared" si="122"/>
        <v>-80.938888888888883</v>
      </c>
      <c r="R456" s="16" t="s">
        <v>900</v>
      </c>
    </row>
    <row r="457" spans="1:18" ht="15.75" x14ac:dyDescent="0.25">
      <c r="A457" s="1">
        <v>456</v>
      </c>
      <c r="B457" s="1" t="s">
        <v>696</v>
      </c>
      <c r="C457" s="1" t="s">
        <v>18</v>
      </c>
      <c r="D457" s="1" t="s">
        <v>19</v>
      </c>
      <c r="E457" s="2" t="s">
        <v>882</v>
      </c>
      <c r="F457" s="2" t="s">
        <v>897</v>
      </c>
      <c r="G457" s="19" t="s">
        <v>880</v>
      </c>
      <c r="H457" s="7" t="s">
        <v>324</v>
      </c>
      <c r="I457" s="1" t="s">
        <v>454</v>
      </c>
      <c r="J457" s="1" t="str">
        <f t="shared" si="115"/>
        <v>24</v>
      </c>
      <c r="K457" s="1" t="str">
        <f t="shared" si="116"/>
        <v>42</v>
      </c>
      <c r="L457" s="1" t="str">
        <f t="shared" si="117"/>
        <v>43</v>
      </c>
      <c r="M457" s="1" t="str">
        <f t="shared" si="118"/>
        <v>80</v>
      </c>
      <c r="N457" s="1" t="str">
        <f t="shared" si="119"/>
        <v>57</v>
      </c>
      <c r="O457" s="1" t="str">
        <f t="shared" si="120"/>
        <v>08</v>
      </c>
      <c r="P457" s="2">
        <f t="shared" si="121"/>
        <v>24.711944444444445</v>
      </c>
      <c r="Q457" s="2">
        <f t="shared" si="122"/>
        <v>-80.952222222222218</v>
      </c>
      <c r="R457" s="16" t="s">
        <v>901</v>
      </c>
    </row>
    <row r="458" spans="1:18" ht="15.75" x14ac:dyDescent="0.25">
      <c r="A458" s="1">
        <v>457</v>
      </c>
      <c r="B458" s="1" t="s">
        <v>696</v>
      </c>
      <c r="C458" s="1" t="s">
        <v>18</v>
      </c>
      <c r="D458" s="1" t="s">
        <v>19</v>
      </c>
      <c r="E458" s="2" t="s">
        <v>883</v>
      </c>
      <c r="F458" s="2" t="s">
        <v>896</v>
      </c>
      <c r="G458" s="19" t="s">
        <v>880</v>
      </c>
      <c r="H458" s="7" t="s">
        <v>324</v>
      </c>
      <c r="I458" s="1" t="s">
        <v>454</v>
      </c>
      <c r="J458" s="1" t="str">
        <f t="shared" si="115"/>
        <v>24</v>
      </c>
      <c r="K458" s="1" t="str">
        <f t="shared" si="116"/>
        <v>42</v>
      </c>
      <c r="L458" s="1" t="str">
        <f t="shared" si="117"/>
        <v>48</v>
      </c>
      <c r="M458" s="1" t="str">
        <f t="shared" si="118"/>
        <v xml:space="preserve"> 80</v>
      </c>
      <c r="N458" s="1" t="str">
        <f t="shared" si="119"/>
        <v>59</v>
      </c>
      <c r="O458" s="1" t="str">
        <f t="shared" si="120"/>
        <v>34</v>
      </c>
      <c r="P458" s="2">
        <f t="shared" si="121"/>
        <v>24.713333333333335</v>
      </c>
      <c r="Q458" s="2">
        <f t="shared" si="122"/>
        <v>-80.992777777777775</v>
      </c>
      <c r="R458" s="16" t="s">
        <v>902</v>
      </c>
    </row>
    <row r="459" spans="1:18" ht="15.75" x14ac:dyDescent="0.25">
      <c r="A459" s="1">
        <v>458</v>
      </c>
      <c r="B459" s="1" t="s">
        <v>696</v>
      </c>
      <c r="C459" s="1" t="s">
        <v>18</v>
      </c>
      <c r="D459" s="1" t="s">
        <v>19</v>
      </c>
      <c r="E459" s="2" t="s">
        <v>884</v>
      </c>
      <c r="F459" s="2" t="s">
        <v>895</v>
      </c>
      <c r="G459" s="19" t="s">
        <v>880</v>
      </c>
      <c r="H459" s="7" t="s">
        <v>324</v>
      </c>
      <c r="I459" s="1" t="s">
        <v>454</v>
      </c>
      <c r="J459" s="1" t="str">
        <f t="shared" si="115"/>
        <v>24</v>
      </c>
      <c r="K459" s="1" t="str">
        <f t="shared" si="116"/>
        <v>55</v>
      </c>
      <c r="L459" s="1" t="str">
        <f t="shared" si="117"/>
        <v>35</v>
      </c>
      <c r="M459" s="1" t="str">
        <f t="shared" si="118"/>
        <v xml:space="preserve"> 80</v>
      </c>
      <c r="N459" s="1" t="str">
        <f t="shared" si="119"/>
        <v>35</v>
      </c>
      <c r="O459" s="1" t="str">
        <f t="shared" si="120"/>
        <v>30</v>
      </c>
      <c r="P459" s="2">
        <f t="shared" si="121"/>
        <v>24.926388888888887</v>
      </c>
      <c r="Q459" s="2">
        <f t="shared" si="122"/>
        <v>-80.591666666666669</v>
      </c>
      <c r="R459" s="16" t="s">
        <v>903</v>
      </c>
    </row>
    <row r="460" spans="1:18" ht="15.75" x14ac:dyDescent="0.25">
      <c r="A460" s="1">
        <v>459</v>
      </c>
      <c r="B460" s="1" t="s">
        <v>696</v>
      </c>
      <c r="C460" s="1" t="s">
        <v>18</v>
      </c>
      <c r="D460" s="1" t="s">
        <v>19</v>
      </c>
      <c r="E460" s="2" t="s">
        <v>885</v>
      </c>
      <c r="F460" s="2" t="s">
        <v>894</v>
      </c>
      <c r="G460" s="19" t="s">
        <v>880</v>
      </c>
      <c r="H460" s="7" t="s">
        <v>324</v>
      </c>
      <c r="I460" s="1" t="s">
        <v>454</v>
      </c>
      <c r="J460" s="1" t="str">
        <f t="shared" si="115"/>
        <v>24</v>
      </c>
      <c r="K460" s="1" t="str">
        <f t="shared" si="116"/>
        <v>56</v>
      </c>
      <c r="L460" s="1" t="str">
        <f t="shared" si="117"/>
        <v>29</v>
      </c>
      <c r="M460" s="1" t="str">
        <f t="shared" si="118"/>
        <v>80</v>
      </c>
      <c r="N460" s="1" t="str">
        <f t="shared" si="119"/>
        <v>33</v>
      </c>
      <c r="O460" s="1" t="str">
        <f t="shared" si="120"/>
        <v>40</v>
      </c>
      <c r="P460" s="2">
        <f t="shared" si="121"/>
        <v>24.941388888888888</v>
      </c>
      <c r="Q460" s="2">
        <f t="shared" si="122"/>
        <v>-80.561111111111117</v>
      </c>
      <c r="R460" s="16" t="s">
        <v>904</v>
      </c>
    </row>
    <row r="461" spans="1:18" ht="15.75" x14ac:dyDescent="0.25">
      <c r="A461" s="1">
        <v>460</v>
      </c>
      <c r="B461" s="1" t="s">
        <v>696</v>
      </c>
      <c r="C461" s="1" t="s">
        <v>18</v>
      </c>
      <c r="D461" s="1" t="s">
        <v>19</v>
      </c>
      <c r="E461" s="2" t="s">
        <v>886</v>
      </c>
      <c r="F461" s="2" t="s">
        <v>893</v>
      </c>
      <c r="G461" s="19" t="s">
        <v>880</v>
      </c>
      <c r="H461" s="7" t="s">
        <v>324</v>
      </c>
      <c r="I461" s="1" t="s">
        <v>454</v>
      </c>
      <c r="J461" s="1" t="str">
        <f t="shared" si="115"/>
        <v>24</v>
      </c>
      <c r="K461" s="1" t="str">
        <f t="shared" si="116"/>
        <v>57</v>
      </c>
      <c r="L461" s="1" t="str">
        <f t="shared" si="117"/>
        <v>36</v>
      </c>
      <c r="M461" s="1" t="str">
        <f t="shared" si="118"/>
        <v>80</v>
      </c>
      <c r="N461" s="1" t="str">
        <f t="shared" si="119"/>
        <v>33</v>
      </c>
      <c r="O461" s="1" t="str">
        <f t="shared" si="120"/>
        <v>12</v>
      </c>
      <c r="P461" s="2">
        <f t="shared" si="121"/>
        <v>24.96</v>
      </c>
      <c r="Q461" s="2">
        <f t="shared" si="122"/>
        <v>-80.553333333333327</v>
      </c>
      <c r="R461" s="16" t="s">
        <v>905</v>
      </c>
    </row>
    <row r="462" spans="1:18" ht="15.75" x14ac:dyDescent="0.25">
      <c r="A462" s="1">
        <v>461</v>
      </c>
      <c r="B462" s="1" t="s">
        <v>696</v>
      </c>
      <c r="C462" s="1" t="s">
        <v>18</v>
      </c>
      <c r="D462" s="1" t="s">
        <v>19</v>
      </c>
      <c r="E462" s="2" t="s">
        <v>887</v>
      </c>
      <c r="F462" s="2" t="s">
        <v>892</v>
      </c>
      <c r="G462" s="19" t="s">
        <v>880</v>
      </c>
      <c r="H462" s="7" t="s">
        <v>324</v>
      </c>
      <c r="I462" s="1" t="s">
        <v>454</v>
      </c>
      <c r="J462" s="1" t="str">
        <f t="shared" si="115"/>
        <v>25</v>
      </c>
      <c r="K462" s="1" t="str">
        <f t="shared" si="116"/>
        <v>01</v>
      </c>
      <c r="L462" s="1" t="str">
        <f t="shared" si="117"/>
        <v>34</v>
      </c>
      <c r="M462" s="1" t="str">
        <f t="shared" si="118"/>
        <v>80</v>
      </c>
      <c r="N462" s="1" t="str">
        <f t="shared" si="119"/>
        <v>24</v>
      </c>
      <c r="O462" s="1" t="str">
        <f t="shared" si="120"/>
        <v>42</v>
      </c>
      <c r="P462" s="2">
        <f t="shared" si="121"/>
        <v>25.02611111111111</v>
      </c>
      <c r="Q462" s="2">
        <f t="shared" si="122"/>
        <v>-80.411666666666662</v>
      </c>
      <c r="R462" s="16" t="s">
        <v>906</v>
      </c>
    </row>
    <row r="463" spans="1:18" ht="15.75" x14ac:dyDescent="0.25">
      <c r="A463" s="1">
        <v>462</v>
      </c>
      <c r="B463" s="1" t="s">
        <v>696</v>
      </c>
      <c r="C463" s="1" t="s">
        <v>18</v>
      </c>
      <c r="D463" s="1" t="s">
        <v>19</v>
      </c>
      <c r="E463" s="2" t="s">
        <v>888</v>
      </c>
      <c r="F463" s="2" t="s">
        <v>891</v>
      </c>
      <c r="G463" s="19" t="s">
        <v>880</v>
      </c>
      <c r="H463" s="7" t="s">
        <v>324</v>
      </c>
      <c r="I463" s="1" t="s">
        <v>454</v>
      </c>
      <c r="J463" s="1" t="str">
        <f t="shared" ref="J463:J481" si="123">MID(E463,1,FIND("°",E463,1)-1)</f>
        <v>25</v>
      </c>
      <c r="K463" s="1" t="str">
        <f t="shared" ref="K463:K481" si="124">MID(E463,FIND("°",E463,1)+1,(FIND("′",E463,1)-FIND("°",E463,1))-1)</f>
        <v>02</v>
      </c>
      <c r="L463" s="1" t="str">
        <f t="shared" ref="L463:L481" si="125">MID(E463,FIND("′",E463,1)+1,(FIND("″",E463,1)-FIND("′",E463,1))-1)</f>
        <v>37</v>
      </c>
      <c r="M463" s="1" t="str">
        <f t="shared" ref="M463:M481" si="126">MID(F463,1,FIND("°",F463,1)-1)</f>
        <v xml:space="preserve"> 80</v>
      </c>
      <c r="N463" s="1" t="str">
        <f t="shared" ref="N463:N481" si="127">MID(F463,FIND("°",F463,1)+1,(FIND("′",F463,1)-FIND("°",F463,1))-1)</f>
        <v>22</v>
      </c>
      <c r="O463" s="1" t="str">
        <f t="shared" ref="O463:O481" si="128">MID(F463,FIND("′",F463,1)+1,(FIND("″",F463,1)-FIND("′",F463,1))-1)</f>
        <v>49</v>
      </c>
      <c r="P463" s="2">
        <f t="shared" ref="P463:P481" si="129">((((L463/60)+K463)/60)+J463)*IF(C463="S",-1, 1)</f>
        <v>25.043611111111112</v>
      </c>
      <c r="Q463" s="2">
        <f t="shared" ref="Q463:Q481" si="130">((((O463/60)+N463)/60)+M463)*IF(D463="W",-1, 1)</f>
        <v>-80.380277777777778</v>
      </c>
      <c r="R463" s="16" t="s">
        <v>907</v>
      </c>
    </row>
    <row r="464" spans="1:18" ht="15.75" x14ac:dyDescent="0.25">
      <c r="A464" s="1">
        <v>463</v>
      </c>
      <c r="B464" s="1" t="s">
        <v>696</v>
      </c>
      <c r="C464" s="1" t="s">
        <v>18</v>
      </c>
      <c r="D464" s="1" t="s">
        <v>19</v>
      </c>
      <c r="E464" s="2" t="s">
        <v>889</v>
      </c>
      <c r="F464" s="2" t="s">
        <v>890</v>
      </c>
      <c r="G464" s="19" t="s">
        <v>880</v>
      </c>
      <c r="H464" s="7" t="s">
        <v>324</v>
      </c>
      <c r="I464" s="1" t="s">
        <v>454</v>
      </c>
      <c r="J464" s="1" t="str">
        <f t="shared" si="123"/>
        <v>25</v>
      </c>
      <c r="K464" s="1" t="str">
        <f t="shared" si="124"/>
        <v>07</v>
      </c>
      <c r="L464" s="1" t="str">
        <f t="shared" si="125"/>
        <v>00</v>
      </c>
      <c r="M464" s="1" t="str">
        <f t="shared" si="126"/>
        <v>80</v>
      </c>
      <c r="N464" s="1" t="str">
        <f t="shared" si="127"/>
        <v>21</v>
      </c>
      <c r="O464" s="1" t="str">
        <f t="shared" si="128"/>
        <v>10</v>
      </c>
      <c r="P464" s="2">
        <f t="shared" si="129"/>
        <v>25.116666666666667</v>
      </c>
      <c r="Q464" s="2">
        <f t="shared" si="130"/>
        <v>-80.352777777777774</v>
      </c>
      <c r="R464" s="16" t="s">
        <v>908</v>
      </c>
    </row>
    <row r="465" spans="7:17" x14ac:dyDescent="0.25">
      <c r="G465"/>
      <c r="J465" s="1" t="e">
        <f t="shared" si="123"/>
        <v>#VALUE!</v>
      </c>
      <c r="K465" s="1" t="e">
        <f t="shared" si="124"/>
        <v>#VALUE!</v>
      </c>
      <c r="L465" s="1" t="e">
        <f t="shared" si="125"/>
        <v>#VALUE!</v>
      </c>
      <c r="M465" s="1" t="e">
        <f t="shared" si="126"/>
        <v>#VALUE!</v>
      </c>
      <c r="N465" s="1" t="e">
        <f t="shared" si="127"/>
        <v>#VALUE!</v>
      </c>
      <c r="O465" s="1" t="e">
        <f t="shared" si="128"/>
        <v>#VALUE!</v>
      </c>
      <c r="P465" s="2" t="e">
        <f t="shared" si="129"/>
        <v>#VALUE!</v>
      </c>
      <c r="Q465" s="2" t="e">
        <f t="shared" si="130"/>
        <v>#VALUE!</v>
      </c>
    </row>
    <row r="466" spans="7:17" x14ac:dyDescent="0.25">
      <c r="G466"/>
      <c r="J466" s="1" t="e">
        <f t="shared" si="123"/>
        <v>#VALUE!</v>
      </c>
      <c r="K466" s="1" t="e">
        <f t="shared" si="124"/>
        <v>#VALUE!</v>
      </c>
      <c r="L466" s="1" t="e">
        <f t="shared" si="125"/>
        <v>#VALUE!</v>
      </c>
      <c r="M466" s="1" t="e">
        <f t="shared" si="126"/>
        <v>#VALUE!</v>
      </c>
      <c r="N466" s="1" t="e">
        <f t="shared" si="127"/>
        <v>#VALUE!</v>
      </c>
      <c r="O466" s="1" t="e">
        <f t="shared" si="128"/>
        <v>#VALUE!</v>
      </c>
      <c r="P466" s="2" t="e">
        <f t="shared" si="129"/>
        <v>#VALUE!</v>
      </c>
      <c r="Q466" s="2" t="e">
        <f t="shared" si="130"/>
        <v>#VALUE!</v>
      </c>
    </row>
    <row r="467" spans="7:17" x14ac:dyDescent="0.25">
      <c r="G467"/>
      <c r="J467" s="1" t="e">
        <f t="shared" si="123"/>
        <v>#VALUE!</v>
      </c>
      <c r="K467" s="1" t="e">
        <f t="shared" si="124"/>
        <v>#VALUE!</v>
      </c>
      <c r="L467" s="1" t="e">
        <f t="shared" si="125"/>
        <v>#VALUE!</v>
      </c>
      <c r="M467" s="1" t="e">
        <f t="shared" si="126"/>
        <v>#VALUE!</v>
      </c>
      <c r="N467" s="1" t="e">
        <f t="shared" si="127"/>
        <v>#VALUE!</v>
      </c>
      <c r="O467" s="1" t="e">
        <f t="shared" si="128"/>
        <v>#VALUE!</v>
      </c>
      <c r="P467" s="2" t="e">
        <f t="shared" si="129"/>
        <v>#VALUE!</v>
      </c>
      <c r="Q467" s="2" t="e">
        <f t="shared" si="130"/>
        <v>#VALUE!</v>
      </c>
    </row>
    <row r="468" spans="7:17" x14ac:dyDescent="0.25">
      <c r="G468"/>
      <c r="J468" s="1" t="e">
        <f t="shared" si="123"/>
        <v>#VALUE!</v>
      </c>
      <c r="K468" s="1" t="e">
        <f t="shared" si="124"/>
        <v>#VALUE!</v>
      </c>
      <c r="L468" s="1" t="e">
        <f t="shared" si="125"/>
        <v>#VALUE!</v>
      </c>
      <c r="M468" s="1" t="e">
        <f t="shared" si="126"/>
        <v>#VALUE!</v>
      </c>
      <c r="N468" s="1" t="e">
        <f t="shared" si="127"/>
        <v>#VALUE!</v>
      </c>
      <c r="O468" s="1" t="e">
        <f t="shared" si="128"/>
        <v>#VALUE!</v>
      </c>
      <c r="P468" s="2" t="e">
        <f t="shared" si="129"/>
        <v>#VALUE!</v>
      </c>
      <c r="Q468" s="2" t="e">
        <f t="shared" si="130"/>
        <v>#VALUE!</v>
      </c>
    </row>
    <row r="469" spans="7:17" x14ac:dyDescent="0.25">
      <c r="G469"/>
      <c r="J469" s="1" t="e">
        <f t="shared" si="123"/>
        <v>#VALUE!</v>
      </c>
      <c r="K469" s="1" t="e">
        <f t="shared" si="124"/>
        <v>#VALUE!</v>
      </c>
      <c r="L469" s="1" t="e">
        <f t="shared" si="125"/>
        <v>#VALUE!</v>
      </c>
      <c r="M469" s="1" t="e">
        <f t="shared" si="126"/>
        <v>#VALUE!</v>
      </c>
      <c r="N469" s="1" t="e">
        <f t="shared" si="127"/>
        <v>#VALUE!</v>
      </c>
      <c r="O469" s="1" t="e">
        <f t="shared" si="128"/>
        <v>#VALUE!</v>
      </c>
      <c r="P469" s="2" t="e">
        <f t="shared" si="129"/>
        <v>#VALUE!</v>
      </c>
      <c r="Q469" s="2" t="e">
        <f t="shared" si="130"/>
        <v>#VALUE!</v>
      </c>
    </row>
    <row r="470" spans="7:17" x14ac:dyDescent="0.25">
      <c r="G470"/>
      <c r="J470" s="1" t="e">
        <f t="shared" si="123"/>
        <v>#VALUE!</v>
      </c>
      <c r="K470" s="1" t="e">
        <f t="shared" si="124"/>
        <v>#VALUE!</v>
      </c>
      <c r="L470" s="1" t="e">
        <f t="shared" si="125"/>
        <v>#VALUE!</v>
      </c>
      <c r="M470" s="1" t="e">
        <f t="shared" si="126"/>
        <v>#VALUE!</v>
      </c>
      <c r="N470" s="1" t="e">
        <f t="shared" si="127"/>
        <v>#VALUE!</v>
      </c>
      <c r="O470" s="1" t="e">
        <f t="shared" si="128"/>
        <v>#VALUE!</v>
      </c>
      <c r="P470" s="2" t="e">
        <f t="shared" si="129"/>
        <v>#VALUE!</v>
      </c>
      <c r="Q470" s="2" t="e">
        <f t="shared" si="130"/>
        <v>#VALUE!</v>
      </c>
    </row>
    <row r="471" spans="7:17" x14ac:dyDescent="0.25">
      <c r="G471"/>
      <c r="J471" s="1" t="e">
        <f t="shared" si="123"/>
        <v>#VALUE!</v>
      </c>
      <c r="K471" s="1" t="e">
        <f t="shared" si="124"/>
        <v>#VALUE!</v>
      </c>
      <c r="L471" s="1" t="e">
        <f t="shared" si="125"/>
        <v>#VALUE!</v>
      </c>
      <c r="M471" s="1" t="e">
        <f t="shared" si="126"/>
        <v>#VALUE!</v>
      </c>
      <c r="N471" s="1" t="e">
        <f t="shared" si="127"/>
        <v>#VALUE!</v>
      </c>
      <c r="O471" s="1" t="e">
        <f t="shared" si="128"/>
        <v>#VALUE!</v>
      </c>
      <c r="P471" s="2" t="e">
        <f t="shared" si="129"/>
        <v>#VALUE!</v>
      </c>
      <c r="Q471" s="2" t="e">
        <f t="shared" si="130"/>
        <v>#VALUE!</v>
      </c>
    </row>
    <row r="472" spans="7:17" x14ac:dyDescent="0.25">
      <c r="G472"/>
      <c r="J472" s="1" t="e">
        <f t="shared" si="123"/>
        <v>#VALUE!</v>
      </c>
      <c r="K472" s="1" t="e">
        <f t="shared" si="124"/>
        <v>#VALUE!</v>
      </c>
      <c r="L472" s="1" t="e">
        <f t="shared" si="125"/>
        <v>#VALUE!</v>
      </c>
      <c r="M472" s="1" t="e">
        <f t="shared" si="126"/>
        <v>#VALUE!</v>
      </c>
      <c r="N472" s="1" t="e">
        <f t="shared" si="127"/>
        <v>#VALUE!</v>
      </c>
      <c r="O472" s="1" t="e">
        <f t="shared" si="128"/>
        <v>#VALUE!</v>
      </c>
      <c r="P472" s="2" t="e">
        <f t="shared" si="129"/>
        <v>#VALUE!</v>
      </c>
      <c r="Q472" s="2" t="e">
        <f t="shared" si="130"/>
        <v>#VALUE!</v>
      </c>
    </row>
    <row r="473" spans="7:17" x14ac:dyDescent="0.25">
      <c r="G473"/>
      <c r="J473" s="1" t="e">
        <f t="shared" si="123"/>
        <v>#VALUE!</v>
      </c>
      <c r="K473" s="1" t="e">
        <f t="shared" si="124"/>
        <v>#VALUE!</v>
      </c>
      <c r="L473" s="1" t="e">
        <f t="shared" si="125"/>
        <v>#VALUE!</v>
      </c>
      <c r="M473" s="1" t="e">
        <f t="shared" si="126"/>
        <v>#VALUE!</v>
      </c>
      <c r="N473" s="1" t="e">
        <f t="shared" si="127"/>
        <v>#VALUE!</v>
      </c>
      <c r="O473" s="1" t="e">
        <f t="shared" si="128"/>
        <v>#VALUE!</v>
      </c>
      <c r="P473" s="2" t="e">
        <f t="shared" si="129"/>
        <v>#VALUE!</v>
      </c>
      <c r="Q473" s="2" t="e">
        <f t="shared" si="130"/>
        <v>#VALUE!</v>
      </c>
    </row>
    <row r="474" spans="7:17" x14ac:dyDescent="0.25">
      <c r="G474"/>
      <c r="J474" s="1" t="e">
        <f t="shared" si="123"/>
        <v>#VALUE!</v>
      </c>
      <c r="K474" s="1" t="e">
        <f t="shared" si="124"/>
        <v>#VALUE!</v>
      </c>
      <c r="L474" s="1" t="e">
        <f t="shared" si="125"/>
        <v>#VALUE!</v>
      </c>
      <c r="M474" s="1" t="e">
        <f t="shared" si="126"/>
        <v>#VALUE!</v>
      </c>
      <c r="N474" s="1" t="e">
        <f t="shared" si="127"/>
        <v>#VALUE!</v>
      </c>
      <c r="O474" s="1" t="e">
        <f t="shared" si="128"/>
        <v>#VALUE!</v>
      </c>
      <c r="P474" s="2" t="e">
        <f t="shared" si="129"/>
        <v>#VALUE!</v>
      </c>
      <c r="Q474" s="2" t="e">
        <f t="shared" si="130"/>
        <v>#VALUE!</v>
      </c>
    </row>
    <row r="475" spans="7:17" x14ac:dyDescent="0.25">
      <c r="G475"/>
      <c r="J475" s="1" t="e">
        <f t="shared" si="123"/>
        <v>#VALUE!</v>
      </c>
      <c r="K475" s="1" t="e">
        <f t="shared" si="124"/>
        <v>#VALUE!</v>
      </c>
      <c r="L475" s="1" t="e">
        <f t="shared" si="125"/>
        <v>#VALUE!</v>
      </c>
      <c r="M475" s="1" t="e">
        <f t="shared" si="126"/>
        <v>#VALUE!</v>
      </c>
      <c r="N475" s="1" t="e">
        <f t="shared" si="127"/>
        <v>#VALUE!</v>
      </c>
      <c r="O475" s="1" t="e">
        <f t="shared" si="128"/>
        <v>#VALUE!</v>
      </c>
      <c r="P475" s="2" t="e">
        <f t="shared" si="129"/>
        <v>#VALUE!</v>
      </c>
      <c r="Q475" s="2" t="e">
        <f t="shared" si="130"/>
        <v>#VALUE!</v>
      </c>
    </row>
    <row r="476" spans="7:17" x14ac:dyDescent="0.25">
      <c r="G476"/>
      <c r="J476" s="1" t="e">
        <f t="shared" si="123"/>
        <v>#VALUE!</v>
      </c>
      <c r="K476" s="1" t="e">
        <f t="shared" si="124"/>
        <v>#VALUE!</v>
      </c>
      <c r="L476" s="1" t="e">
        <f t="shared" si="125"/>
        <v>#VALUE!</v>
      </c>
      <c r="M476" s="1" t="e">
        <f t="shared" si="126"/>
        <v>#VALUE!</v>
      </c>
      <c r="N476" s="1" t="e">
        <f t="shared" si="127"/>
        <v>#VALUE!</v>
      </c>
      <c r="O476" s="1" t="e">
        <f t="shared" si="128"/>
        <v>#VALUE!</v>
      </c>
      <c r="P476" s="2" t="e">
        <f t="shared" si="129"/>
        <v>#VALUE!</v>
      </c>
      <c r="Q476" s="2" t="e">
        <f t="shared" si="130"/>
        <v>#VALUE!</v>
      </c>
    </row>
    <row r="477" spans="7:17" x14ac:dyDescent="0.25">
      <c r="J477" s="1" t="e">
        <f t="shared" si="123"/>
        <v>#VALUE!</v>
      </c>
      <c r="K477" s="1" t="e">
        <f t="shared" si="124"/>
        <v>#VALUE!</v>
      </c>
      <c r="L477" s="1" t="e">
        <f t="shared" si="125"/>
        <v>#VALUE!</v>
      </c>
      <c r="M477" s="1" t="e">
        <f t="shared" si="126"/>
        <v>#VALUE!</v>
      </c>
      <c r="N477" s="1" t="e">
        <f t="shared" si="127"/>
        <v>#VALUE!</v>
      </c>
      <c r="O477" s="1" t="e">
        <f t="shared" si="128"/>
        <v>#VALUE!</v>
      </c>
      <c r="P477" s="2" t="e">
        <f t="shared" si="129"/>
        <v>#VALUE!</v>
      </c>
      <c r="Q477" s="2" t="e">
        <f t="shared" si="130"/>
        <v>#VALUE!</v>
      </c>
    </row>
    <row r="478" spans="7:17" x14ac:dyDescent="0.25">
      <c r="J478" s="1" t="e">
        <f t="shared" si="123"/>
        <v>#VALUE!</v>
      </c>
      <c r="K478" s="1" t="e">
        <f t="shared" si="124"/>
        <v>#VALUE!</v>
      </c>
      <c r="L478" s="1" t="e">
        <f t="shared" si="125"/>
        <v>#VALUE!</v>
      </c>
      <c r="M478" s="1" t="e">
        <f t="shared" si="126"/>
        <v>#VALUE!</v>
      </c>
      <c r="N478" s="1" t="e">
        <f t="shared" si="127"/>
        <v>#VALUE!</v>
      </c>
      <c r="O478" s="1" t="e">
        <f t="shared" si="128"/>
        <v>#VALUE!</v>
      </c>
      <c r="P478" s="2" t="e">
        <f t="shared" si="129"/>
        <v>#VALUE!</v>
      </c>
      <c r="Q478" s="2" t="e">
        <f t="shared" si="130"/>
        <v>#VALUE!</v>
      </c>
    </row>
    <row r="479" spans="7:17" x14ac:dyDescent="0.25">
      <c r="J479" s="1" t="e">
        <f t="shared" si="123"/>
        <v>#VALUE!</v>
      </c>
      <c r="K479" s="1" t="e">
        <f t="shared" si="124"/>
        <v>#VALUE!</v>
      </c>
      <c r="L479" s="1" t="e">
        <f t="shared" si="125"/>
        <v>#VALUE!</v>
      </c>
      <c r="M479" s="1" t="e">
        <f t="shared" si="126"/>
        <v>#VALUE!</v>
      </c>
      <c r="N479" s="1" t="e">
        <f t="shared" si="127"/>
        <v>#VALUE!</v>
      </c>
      <c r="O479" s="1" t="e">
        <f t="shared" si="128"/>
        <v>#VALUE!</v>
      </c>
      <c r="P479" s="2" t="e">
        <f t="shared" si="129"/>
        <v>#VALUE!</v>
      </c>
      <c r="Q479" s="2" t="e">
        <f t="shared" si="130"/>
        <v>#VALUE!</v>
      </c>
    </row>
    <row r="480" spans="7:17" x14ac:dyDescent="0.25">
      <c r="J480" s="1" t="e">
        <f t="shared" si="123"/>
        <v>#VALUE!</v>
      </c>
      <c r="K480" s="1" t="e">
        <f t="shared" si="124"/>
        <v>#VALUE!</v>
      </c>
      <c r="L480" s="1" t="e">
        <f t="shared" si="125"/>
        <v>#VALUE!</v>
      </c>
      <c r="M480" s="1" t="e">
        <f t="shared" si="126"/>
        <v>#VALUE!</v>
      </c>
      <c r="N480" s="1" t="e">
        <f t="shared" si="127"/>
        <v>#VALUE!</v>
      </c>
      <c r="O480" s="1" t="e">
        <f t="shared" si="128"/>
        <v>#VALUE!</v>
      </c>
      <c r="P480" s="2" t="e">
        <f t="shared" si="129"/>
        <v>#VALUE!</v>
      </c>
      <c r="Q480" s="2" t="e">
        <f t="shared" si="130"/>
        <v>#VALUE!</v>
      </c>
    </row>
    <row r="481" spans="10:17" x14ac:dyDescent="0.25">
      <c r="J481" s="1" t="e">
        <f t="shared" si="123"/>
        <v>#VALUE!</v>
      </c>
      <c r="K481" s="1" t="e">
        <f t="shared" si="124"/>
        <v>#VALUE!</v>
      </c>
      <c r="L481" s="1" t="e">
        <f t="shared" si="125"/>
        <v>#VALUE!</v>
      </c>
      <c r="M481" s="1" t="e">
        <f t="shared" si="126"/>
        <v>#VALUE!</v>
      </c>
      <c r="N481" s="1" t="e">
        <f t="shared" si="127"/>
        <v>#VALUE!</v>
      </c>
      <c r="O481" s="1" t="e">
        <f t="shared" si="128"/>
        <v>#VALUE!</v>
      </c>
      <c r="P481" s="2" t="e">
        <f t="shared" si="129"/>
        <v>#VALUE!</v>
      </c>
      <c r="Q481" s="2" t="e">
        <f t="shared" si="130"/>
        <v>#VALUE!</v>
      </c>
    </row>
  </sheetData>
  <autoFilter ref="A1:R481" xr:uid="{00000000-0001-0000-0000-000000000000}"/>
  <phoneticPr fontId="10" type="noConversion"/>
  <pageMargins left="0.51180555555555596" right="0.51180555555555596" top="0.78749999999999998" bottom="0.78749999999999998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Ocorrências Panulirus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Barbosa</dc:creator>
  <dc:description/>
  <cp:lastModifiedBy>Usuario</cp:lastModifiedBy>
  <cp:revision>1</cp:revision>
  <dcterms:created xsi:type="dcterms:W3CDTF">2019-12-13T15:58:37Z</dcterms:created>
  <dcterms:modified xsi:type="dcterms:W3CDTF">2026-04-20T13:25:54Z</dcterms:modified>
  <dc:language>pt-BR</dc:language>
</cp:coreProperties>
</file>