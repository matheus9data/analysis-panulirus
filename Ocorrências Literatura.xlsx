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B52A23E7-CDBD-46DA-B734-EBC2597E977E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Panulirus'!$B$1:$I$314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15" i="1" l="1"/>
  <c r="K315" i="1"/>
  <c r="L315" i="1"/>
  <c r="P315" i="1" s="1"/>
  <c r="M315" i="1"/>
  <c r="N315" i="1"/>
  <c r="O315" i="1"/>
  <c r="Q315" i="1" s="1"/>
  <c r="J316" i="1"/>
  <c r="K316" i="1"/>
  <c r="L316" i="1"/>
  <c r="P316" i="1" s="1"/>
  <c r="M316" i="1"/>
  <c r="N316" i="1"/>
  <c r="O316" i="1"/>
  <c r="Q316" i="1" s="1"/>
  <c r="J317" i="1"/>
  <c r="K317" i="1"/>
  <c r="P317" i="1" s="1"/>
  <c r="L317" i="1"/>
  <c r="M317" i="1"/>
  <c r="N317" i="1"/>
  <c r="O317" i="1"/>
  <c r="Q317" i="1" s="1"/>
  <c r="J318" i="1"/>
  <c r="K318" i="1"/>
  <c r="L318" i="1"/>
  <c r="P318" i="1" s="1"/>
  <c r="M318" i="1"/>
  <c r="N318" i="1"/>
  <c r="O318" i="1"/>
  <c r="Q318" i="1" s="1"/>
  <c r="J319" i="1"/>
  <c r="K319" i="1"/>
  <c r="L319" i="1"/>
  <c r="P319" i="1" s="1"/>
  <c r="M319" i="1"/>
  <c r="N319" i="1"/>
  <c r="O319" i="1"/>
  <c r="Q319" i="1" s="1"/>
  <c r="J320" i="1"/>
  <c r="K320" i="1"/>
  <c r="L320" i="1"/>
  <c r="M320" i="1"/>
  <c r="N320" i="1"/>
  <c r="O320" i="1"/>
  <c r="Q320" i="1" s="1"/>
  <c r="J321" i="1"/>
  <c r="K321" i="1"/>
  <c r="L321" i="1"/>
  <c r="P321" i="1" s="1"/>
  <c r="M321" i="1"/>
  <c r="N321" i="1"/>
  <c r="O321" i="1"/>
  <c r="Q321" i="1" s="1"/>
  <c r="J322" i="1"/>
  <c r="K322" i="1"/>
  <c r="L322" i="1"/>
  <c r="P322" i="1" s="1"/>
  <c r="M322" i="1"/>
  <c r="N322" i="1"/>
  <c r="O322" i="1"/>
  <c r="Q322" i="1" s="1"/>
  <c r="J323" i="1"/>
  <c r="K323" i="1"/>
  <c r="L323" i="1"/>
  <c r="M323" i="1"/>
  <c r="N323" i="1"/>
  <c r="O323" i="1"/>
  <c r="Q323" i="1" s="1"/>
  <c r="J116" i="1"/>
  <c r="K116" i="1"/>
  <c r="L116" i="1"/>
  <c r="M116" i="1"/>
  <c r="N116" i="1"/>
  <c r="O116" i="1"/>
  <c r="P116" i="1"/>
  <c r="J273" i="1"/>
  <c r="K273" i="1"/>
  <c r="L273" i="1"/>
  <c r="P273" i="1" s="1"/>
  <c r="M273" i="1"/>
  <c r="N273" i="1"/>
  <c r="O273" i="1"/>
  <c r="J274" i="1"/>
  <c r="K274" i="1"/>
  <c r="L274" i="1"/>
  <c r="M274" i="1"/>
  <c r="N274" i="1"/>
  <c r="O274" i="1"/>
  <c r="J275" i="1"/>
  <c r="K275" i="1"/>
  <c r="L275" i="1"/>
  <c r="P275" i="1" s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P281" i="1" s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P265" i="1" s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P271" i="1" s="1"/>
  <c r="M271" i="1"/>
  <c r="N271" i="1"/>
  <c r="O271" i="1"/>
  <c r="J272" i="1"/>
  <c r="K272" i="1"/>
  <c r="L272" i="1"/>
  <c r="M272" i="1"/>
  <c r="N272" i="1"/>
  <c r="O272" i="1"/>
  <c r="N36" i="2"/>
  <c r="P36" i="2" s="1"/>
  <c r="M36" i="2"/>
  <c r="L36" i="2"/>
  <c r="K36" i="2"/>
  <c r="O36" i="2" s="1"/>
  <c r="J36" i="2"/>
  <c r="I36" i="2"/>
  <c r="N35" i="2"/>
  <c r="P35" i="2" s="1"/>
  <c r="M35" i="2"/>
  <c r="L35" i="2"/>
  <c r="K35" i="2"/>
  <c r="O35" i="2" s="1"/>
  <c r="J35" i="2"/>
  <c r="I35" i="2"/>
  <c r="O34" i="2"/>
  <c r="N34" i="2"/>
  <c r="P34" i="2" s="1"/>
  <c r="M34" i="2"/>
  <c r="L34" i="2"/>
  <c r="K34" i="2"/>
  <c r="J34" i="2"/>
  <c r="I34" i="2"/>
  <c r="N33" i="2"/>
  <c r="P33" i="2" s="1"/>
  <c r="M33" i="2"/>
  <c r="L33" i="2"/>
  <c r="K33" i="2"/>
  <c r="O33" i="2" s="1"/>
  <c r="J33" i="2"/>
  <c r="I33" i="2"/>
  <c r="N32" i="2"/>
  <c r="P32" i="2" s="1"/>
  <c r="M32" i="2"/>
  <c r="L32" i="2"/>
  <c r="K32" i="2"/>
  <c r="O32" i="2" s="1"/>
  <c r="J32" i="2"/>
  <c r="I32" i="2"/>
  <c r="O31" i="2"/>
  <c r="N31" i="2"/>
  <c r="P31" i="2" s="1"/>
  <c r="M31" i="2"/>
  <c r="L31" i="2"/>
  <c r="K31" i="2"/>
  <c r="J31" i="2"/>
  <c r="I31" i="2"/>
  <c r="N30" i="2"/>
  <c r="P30" i="2" s="1"/>
  <c r="M30" i="2"/>
  <c r="L30" i="2"/>
  <c r="K30" i="2"/>
  <c r="O30" i="2" s="1"/>
  <c r="J30" i="2"/>
  <c r="I30" i="2"/>
  <c r="N29" i="2"/>
  <c r="P29" i="2" s="1"/>
  <c r="M29" i="2"/>
  <c r="L29" i="2"/>
  <c r="K29" i="2"/>
  <c r="O29" i="2" s="1"/>
  <c r="J29" i="2"/>
  <c r="I29" i="2"/>
  <c r="O28" i="2"/>
  <c r="N28" i="2"/>
  <c r="P28" i="2" s="1"/>
  <c r="M28" i="2"/>
  <c r="L28" i="2"/>
  <c r="K28" i="2"/>
  <c r="J28" i="2"/>
  <c r="I28" i="2"/>
  <c r="N27" i="2"/>
  <c r="P27" i="2" s="1"/>
  <c r="M27" i="2"/>
  <c r="L27" i="2"/>
  <c r="K27" i="2"/>
  <c r="O27" i="2" s="1"/>
  <c r="J27" i="2"/>
  <c r="I27" i="2"/>
  <c r="N26" i="2"/>
  <c r="P26" i="2" s="1"/>
  <c r="M26" i="2"/>
  <c r="L26" i="2"/>
  <c r="K26" i="2"/>
  <c r="O26" i="2" s="1"/>
  <c r="J26" i="2"/>
  <c r="I26" i="2"/>
  <c r="O25" i="2"/>
  <c r="N25" i="2"/>
  <c r="P25" i="2" s="1"/>
  <c r="M25" i="2"/>
  <c r="L25" i="2"/>
  <c r="K25" i="2"/>
  <c r="J25" i="2"/>
  <c r="I25" i="2"/>
  <c r="N24" i="2"/>
  <c r="P24" i="2" s="1"/>
  <c r="M24" i="2"/>
  <c r="L24" i="2"/>
  <c r="K24" i="2"/>
  <c r="O24" i="2" s="1"/>
  <c r="J24" i="2"/>
  <c r="I24" i="2"/>
  <c r="N23" i="2"/>
  <c r="P23" i="2" s="1"/>
  <c r="M23" i="2"/>
  <c r="L23" i="2"/>
  <c r="K23" i="2"/>
  <c r="O23" i="2" s="1"/>
  <c r="J23" i="2"/>
  <c r="I23" i="2"/>
  <c r="O22" i="2"/>
  <c r="N22" i="2"/>
  <c r="P22" i="2" s="1"/>
  <c r="M22" i="2"/>
  <c r="L22" i="2"/>
  <c r="K22" i="2"/>
  <c r="J22" i="2"/>
  <c r="I22" i="2"/>
  <c r="P21" i="2"/>
  <c r="N21" i="2"/>
  <c r="M21" i="2"/>
  <c r="L21" i="2"/>
  <c r="K21" i="2"/>
  <c r="O21" i="2" s="1"/>
  <c r="J21" i="2"/>
  <c r="I21" i="2"/>
  <c r="N20" i="2"/>
  <c r="M20" i="2"/>
  <c r="L20" i="2"/>
  <c r="K20" i="2"/>
  <c r="O20" i="2" s="1"/>
  <c r="J20" i="2"/>
  <c r="I20" i="2"/>
  <c r="O19" i="2"/>
  <c r="N19" i="2"/>
  <c r="P19" i="2" s="1"/>
  <c r="M19" i="2"/>
  <c r="L19" i="2"/>
  <c r="K19" i="2"/>
  <c r="J19" i="2"/>
  <c r="I19" i="2"/>
  <c r="P18" i="2"/>
  <c r="N18" i="2"/>
  <c r="M18" i="2"/>
  <c r="L18" i="2"/>
  <c r="K18" i="2"/>
  <c r="O18" i="2" s="1"/>
  <c r="J18" i="2"/>
  <c r="I18" i="2"/>
  <c r="N17" i="2"/>
  <c r="M17" i="2"/>
  <c r="L17" i="2"/>
  <c r="K17" i="2"/>
  <c r="O17" i="2" s="1"/>
  <c r="J17" i="2"/>
  <c r="I17" i="2"/>
  <c r="O16" i="2"/>
  <c r="N16" i="2"/>
  <c r="P16" i="2" s="1"/>
  <c r="M16" i="2"/>
  <c r="L16" i="2"/>
  <c r="K16" i="2"/>
  <c r="J16" i="2"/>
  <c r="I16" i="2"/>
  <c r="P15" i="2"/>
  <c r="N15" i="2"/>
  <c r="M15" i="2"/>
  <c r="L15" i="2"/>
  <c r="K15" i="2"/>
  <c r="O15" i="2" s="1"/>
  <c r="J15" i="2"/>
  <c r="I15" i="2"/>
  <c r="N14" i="2"/>
  <c r="P14" i="2" s="1"/>
  <c r="M14" i="2"/>
  <c r="L14" i="2"/>
  <c r="K14" i="2"/>
  <c r="O14" i="2" s="1"/>
  <c r="J14" i="2"/>
  <c r="I14" i="2"/>
  <c r="O13" i="2"/>
  <c r="N13" i="2"/>
  <c r="P13" i="2" s="1"/>
  <c r="M13" i="2"/>
  <c r="L13" i="2"/>
  <c r="K13" i="2"/>
  <c r="J13" i="2"/>
  <c r="I13" i="2"/>
  <c r="P12" i="2"/>
  <c r="N12" i="2"/>
  <c r="M12" i="2"/>
  <c r="L12" i="2"/>
  <c r="K12" i="2"/>
  <c r="O12" i="2" s="1"/>
  <c r="J12" i="2"/>
  <c r="I12" i="2"/>
  <c r="N11" i="2"/>
  <c r="M11" i="2"/>
  <c r="L11" i="2"/>
  <c r="K11" i="2"/>
  <c r="O11" i="2" s="1"/>
  <c r="J11" i="2"/>
  <c r="I11" i="2"/>
  <c r="O10" i="2"/>
  <c r="N10" i="2"/>
  <c r="P10" i="2" s="1"/>
  <c r="M10" i="2"/>
  <c r="L10" i="2"/>
  <c r="K10" i="2"/>
  <c r="J10" i="2"/>
  <c r="I10" i="2"/>
  <c r="P9" i="2"/>
  <c r="N9" i="2"/>
  <c r="M9" i="2"/>
  <c r="L9" i="2"/>
  <c r="K9" i="2"/>
  <c r="O9" i="2" s="1"/>
  <c r="J9" i="2"/>
  <c r="I9" i="2"/>
  <c r="N8" i="2"/>
  <c r="M8" i="2"/>
  <c r="L8" i="2"/>
  <c r="K8" i="2"/>
  <c r="O8" i="2" s="1"/>
  <c r="J8" i="2"/>
  <c r="I8" i="2"/>
  <c r="O7" i="2"/>
  <c r="N7" i="2"/>
  <c r="P7" i="2" s="1"/>
  <c r="M7" i="2"/>
  <c r="L7" i="2"/>
  <c r="K7" i="2"/>
  <c r="J7" i="2"/>
  <c r="I7" i="2"/>
  <c r="P6" i="2"/>
  <c r="N6" i="2"/>
  <c r="M6" i="2"/>
  <c r="L6" i="2"/>
  <c r="K6" i="2"/>
  <c r="O6" i="2" s="1"/>
  <c r="J6" i="2"/>
  <c r="I6" i="2"/>
  <c r="N5" i="2"/>
  <c r="P5" i="2" s="1"/>
  <c r="M5" i="2"/>
  <c r="L5" i="2"/>
  <c r="K5" i="2"/>
  <c r="O5" i="2" s="1"/>
  <c r="J5" i="2"/>
  <c r="I5" i="2"/>
  <c r="O4" i="2"/>
  <c r="N4" i="2"/>
  <c r="P4" i="2" s="1"/>
  <c r="M4" i="2"/>
  <c r="L4" i="2"/>
  <c r="K4" i="2"/>
  <c r="J4" i="2"/>
  <c r="I4" i="2"/>
  <c r="P3" i="2"/>
  <c r="N3" i="2"/>
  <c r="M3" i="2"/>
  <c r="L3" i="2"/>
  <c r="K3" i="2"/>
  <c r="O3" i="2" s="1"/>
  <c r="J3" i="2"/>
  <c r="I3" i="2"/>
  <c r="N2" i="2"/>
  <c r="M2" i="2"/>
  <c r="L2" i="2"/>
  <c r="K2" i="2"/>
  <c r="O2" i="2" s="1"/>
  <c r="J2" i="2"/>
  <c r="I2" i="2"/>
  <c r="O1" i="2"/>
  <c r="N1" i="2"/>
  <c r="P1" i="2" s="1"/>
  <c r="M1" i="2"/>
  <c r="L1" i="2"/>
  <c r="K1" i="2"/>
  <c r="J1" i="2"/>
  <c r="I1" i="2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P320" i="1" l="1"/>
  <c r="P323" i="1"/>
  <c r="Q293" i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74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4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P2" i="2"/>
  <c r="P11" i="2"/>
  <c r="P20" i="2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P8" i="2"/>
  <c r="P17" i="2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<sst xmlns="http://schemas.openxmlformats.org/spreadsheetml/2006/main" count="3239" uniqueCount="698">
  <si>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</si>
  <si>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</si>
  <si>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</si>
  <si>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</si>
  <si>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</si>
  <si>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</si>
  <si>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</si>
  <si>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</si>
  <si>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</si>
  <si>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</si>
  <si>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</si>
  <si>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</si>
  <si>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</si>
  <si>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</si>
  <si>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</si>
  <si>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</si>
  <si>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</si>
  <si>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</si>
  <si>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</si>
  <si>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</si>
  <si>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</si>
  <si>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</si>
  <si>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</si>
  <si>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</si>
  <si>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</si>
  <si>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</si>
  <si>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</si>
  <si>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</si>
  <si>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</si>
  <si>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</si>
  <si>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</si>
  <si>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</si>
  <si>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</si>
  <si>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</si>
  <si>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</si>
  <si>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</si>
  <si>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</si>
  <si>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</si>
  <si>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</si>
  <si>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</si>
  <si>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</si>
  <si>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</si>
  <si>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</si>
  <si>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</si>
  <si>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</si>
  <si>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</si>
  <si>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</si>
  <si>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</si>
  <si>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</si>
  <si>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</si>
  <si>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</si>
  <si>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</si>
  <si>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</si>
  <si>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</si>
  <si>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</si>
  <si>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</si>
  <si>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</si>
  <si>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</si>
  <si>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</si>
  <si>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</si>
  <si>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</si>
  <si>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</si>
  <si>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</si>
  <si>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</si>
  <si>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</si>
  <si>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</si>
  <si>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</si>
  <si>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</si>
  <si>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</si>
  <si>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</si>
  <si>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</si>
  <si>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</si>
  <si>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</si>
  <si>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</si>
  <si>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</si>
  <si>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</si>
  <si>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</si>
  <si>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</si>
  <si>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</si>
  <si>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</si>
  <si>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</si>
  <si>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</si>
  <si>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</si>
  <si>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</si>
  <si>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</si>
  <si>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</si>
  <si>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</si>
  <si>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</si>
  <si>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</si>
  <si>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</si>
  <si>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</si>
  <si>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</si>
  <si>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</si>
  <si>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</si>
  <si>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</si>
  <si>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</si>
  <si>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</si>
  <si>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</si>
  <si>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</si>
  <si>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</si>
  <si>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</si>
  <si>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</si>
  <si>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</si>
  <si>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</si>
  <si>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</si>
  <si>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</si>
  <si>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</si>
  <si>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</si>
  <si>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</si>
  <si>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</si>
  <si>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</si>
  <si>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</si>
  <si>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</si>
  <si>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</si>
  <si>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</si>
  <si>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</si>
  <si>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</si>
  <si>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</si>
  <si>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</si>
  <si>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</si>
  <si>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</si>
  <si>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</si>
  <si>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</si>
  <si>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</si>
  <si>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</si>
  <si>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</si>
  <si>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</si>
  <si>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</si>
  <si>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</si>
  <si>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</si>
  <si>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</si>
  <si>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</si>
  <si>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</si>
  <si>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</si>
  <si>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</si>
  <si>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</si>
  <si>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</si>
  <si>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</si>
  <si>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</si>
  <si>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</si>
  <si>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</si>
  <si>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</si>
  <si>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</si>
  <si>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</si>
  <si>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</si>
  <si>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</si>
  <si>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</si>
  <si>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</si>
  <si>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</si>
  <si>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</si>
  <si>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</si>
  <si>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</si>
  <si>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</si>
  <si>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</si>
  <si>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</si>
  <si>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</si>
  <si>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</si>
  <si>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</si>
  <si>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</si>
  <si>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</si>
  <si>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</si>
  <si>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</si>
  <si>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</si>
  <si>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</si>
  <si>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</si>
  <si>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</si>
  <si>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</si>
  <si>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</si>
  <si>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</si>
  <si>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</si>
  <si>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</si>
  <si>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</si>
  <si>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</si>
  <si>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</si>
  <si>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</si>
  <si>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</si>
  <si>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</si>
  <si>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</si>
  <si>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</si>
  <si>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</si>
  <si>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</si>
  <si>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</si>
  <si>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</si>
  <si>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</si>
  <si>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</si>
  <si>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</si>
  <si>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</si>
  <si>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</si>
  <si>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</si>
  <si>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</si>
  <si>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</si>
  <si>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</si>
  <si>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</si>
  <si>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</si>
  <si>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</si>
  <si>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</si>
  <si>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</si>
  <si>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</si>
  <si>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</si>
  <si>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</si>
  <si>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</si>
  <si>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</si>
  <si>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</si>
  <si>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</si>
  <si>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</si>
  <si>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</si>
  <si>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</si>
  <si>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</si>
  <si>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</si>
  <si>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</si>
  <si>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</si>
  <si>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</si>
  <si>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</si>
  <si>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</si>
  <si>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</si>
  <si>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</si>
  <si>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</si>
  <si>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</si>
  <si>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</si>
  <si>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</si>
  <si>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</si>
  <si>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</si>
  <si>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</si>
  <si>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</si>
  <si>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</si>
  <si>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</si>
  <si>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</si>
  <si>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</si>
  <si>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</si>
  <si>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</si>
  <si>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</si>
  <si>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</si>
  <si>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</si>
  <si>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</si>
  <si>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</si>
  <si>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</si>
  <si>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</si>
  <si>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</si>
  <si>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</si>
  <si>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</si>
  <si>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</si>
  <si>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</si>
  <si>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</si>
  <si>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</si>
  <si>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</si>
  <si>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</si>
  <si>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</si>
  <si>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</si>
  <si>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</si>
  <si>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</si>
  <si>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</si>
  <si>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</si>
  <si>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</si>
  <si>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</si>
  <si>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</si>
  <si>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</si>
  <si>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</si>
  <si>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</si>
  <si>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</si>
  <si>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</si>
  <si>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</si>
  <si>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</si>
  <si>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</si>
  <si>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</si>
  <si>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</si>
  <si>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</si>
  <si>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</si>
  <si>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</si>
  <si>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</si>
  <si>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</si>
  <si>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</si>
  <si>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</si>
  <si>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</si>
  <si>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</si>
  <si>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</si>
  <si>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</si>
  <si>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</si>
  <si>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</si>
  <si>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</si>
  <si>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</si>
  <si>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</si>
  <si>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</si>
  <si>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</si>
  <si>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</si>
  <si>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</si>
  <si>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</si>
  <si>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</si>
  <si>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</si>
  <si>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</si>
  <si>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</si>
  <si>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</si>
  <si>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</si>
  <si>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</si>
  <si>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</si>
  <si>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</si>
  <si>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</si>
  <si>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</si>
  <si>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</si>
  <si>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</si>
  <si>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</si>
  <si>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</si>
  <si>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</si>
  <si>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3°32,981′</t>
  </si>
  <si>
    <t>38°48.669′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</si>
  <si>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</si>
  <si>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</si>
  <si>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</si>
  <si>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</si>
  <si>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</si>
  <si>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</si>
  <si>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</si>
  <si>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</si>
  <si>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</si>
  <si>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</si>
  <si>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</si>
  <si>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</si>
  <si>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</si>
  <si>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</si>
  <si>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</si>
  <si>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</si>
  <si>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</si>
  <si>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</si>
  <si>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</si>
  <si>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</si>
  <si>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</si>
  <si>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</si>
  <si>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</si>
  <si>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</si>
  <si>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</si>
  <si>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</si>
  <si>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</si>
  <si>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</si>
  <si>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</si>
  <si>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</si>
  <si>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</si>
  <si>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</si>
  <si>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</si>
  <si>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</si>
  <si>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</si>
  <si>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</si>
  <si>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</si>
  <si>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</si>
  <si>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</si>
  <si>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</si>
  <si>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</si>
  <si>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</si>
  <si>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</si>
  <si>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</si>
  <si>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</si>
  <si>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</si>
  <si>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</si>
  <si>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</si>
  <si>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</si>
  <si>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</si>
  <si>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</si>
  <si>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</si>
  <si>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</si>
  <si>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</si>
  <si>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</si>
  <si>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</si>
  <si>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</si>
  <si>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</si>
  <si>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</si>
  <si>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</si>
  <si>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</si>
  <si>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</si>
  <si>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</si>
  <si>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</si>
  <si>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</si>
  <si>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</si>
  <si>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</si>
  <si>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</si>
  <si>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</si>
  <si>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</si>
  <si>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</si>
  <si>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</si>
  <si>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</si>
  <si>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</si>
  <si>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</si>
  <si>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</si>
  <si>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</si>
  <si>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</si>
  <si>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</si>
  <si>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</si>
  <si>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</si>
  <si>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</si>
  <si>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</si>
  <si>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</si>
  <si>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</si>
  <si>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</si>
  <si>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</si>
  <si>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</si>
  <si>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</si>
  <si>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</si>
  <si>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</si>
  <si>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</si>
  <si>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</si>
  <si>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</si>
  <si>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</si>
  <si>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</si>
  <si>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</si>
  <si>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</si>
  <si>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</si>
  <si>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</si>
  <si>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</si>
  <si>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</si>
  <si>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</si>
  <si>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</si>
  <si>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</si>
  <si>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</si>
  <si>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</si>
  <si>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</si>
  <si>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</si>
  <si>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</si>
  <si>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</si>
  <si>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</si>
  <si>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</si>
  <si>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</si>
  <si>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</si>
  <si>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</si>
  <si>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</si>
  <si>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</si>
  <si>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</si>
  <si>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</si>
  <si>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</si>
  <si>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</si>
  <si>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</si>
  <si>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</si>
  <si>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</si>
  <si>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</si>
  <si>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</si>
  <si>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</si>
  <si>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</si>
  <si>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</si>
  <si>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</si>
  <si>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</si>
  <si>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</si>
  <si>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</si>
  <si>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</si>
  <si>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</si>
  <si>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</si>
  <si>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</si>
  <si>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</si>
  <si>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</si>
  <si>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</si>
  <si>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</si>
  <si>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</si>
  <si>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</si>
  <si>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</si>
  <si>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</si>
  <si>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</si>
  <si>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</si>
  <si>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</si>
  <si>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</si>
  <si>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</si>
  <si>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</si>
  <si>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</si>
  <si>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</si>
  <si>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</si>
  <si>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</si>
  <si>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</si>
  <si>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</si>
  <si>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</si>
  <si>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</si>
  <si>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</si>
  <si>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</si>
  <si>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</si>
  <si>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</si>
  <si>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</si>
  <si>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</si>
  <si>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</si>
  <si>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</si>
  <si>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</si>
  <si>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</si>
  <si>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</si>
  <si>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</si>
  <si>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</si>
  <si>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</si>
  <si>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</si>
  <si>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</si>
  <si>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</si>
  <si>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</si>
  <si>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</si>
  <si>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</si>
  <si>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</si>
  <si>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</si>
  <si>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</si>
  <si>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</si>
  <si>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</si>
  <si>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</si>
  <si>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</si>
  <si>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</si>
  <si>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</si>
  <si>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</si>
  <si>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</si>
  <si>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</si>
  <si>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</si>
  <si>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</si>
  <si>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</si>
  <si>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</si>
  <si>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</si>
  <si>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</si>
  <si>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</si>
  <si>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</si>
  <si>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</si>
  <si>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</si>
  <si>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</si>
  <si>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</si>
  <si>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</si>
  <si>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</si>
  <si>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</si>
  <si>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</si>
  <si>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</si>
  <si>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</si>
  <si>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</si>
  <si>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</si>
  <si>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</si>
  <si>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</si>
  <si>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</si>
  <si>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</si>
  <si>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</si>
  <si>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</si>
  <si>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</si>
  <si>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</si>
  <si>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</si>
  <si>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</si>
  <si>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</si>
  <si>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</si>
  <si>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</si>
  <si>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</si>
  <si>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</si>
  <si>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</si>
  <si>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</si>
  <si>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</si>
  <si>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</si>
  <si>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</si>
  <si>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</si>
  <si>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</si>
  <si>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</si>
  <si>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</si>
  <si>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</si>
  <si>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</si>
  <si>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</si>
  <si>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</si>
  <si>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</si>
  <si>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</si>
  <si>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</si>
  <si>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</si>
  <si>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</si>
  <si>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</si>
  <si>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</si>
  <si>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</si>
  <si>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</si>
  <si>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</si>
  <si>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</si>
  <si>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</si>
  <si>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</si>
  <si>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</si>
  <si>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</si>
  <si>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</si>
  <si>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</si>
  <si>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</si>
  <si>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</si>
  <si>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</si>
  <si>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</si>
  <si>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</si>
  <si>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</si>
  <si>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</si>
  <si>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</si>
  <si>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</si>
  <si>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</si>
  <si>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</si>
  <si>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</si>
  <si>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</si>
  <si>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</si>
  <si>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</si>
  <si>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</si>
  <si>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</si>
  <si>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</si>
  <si>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</si>
  <si>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</si>
  <si>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</si>
  <si>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</si>
  <si>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</si>
  <si>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</si>
  <si>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</si>
  <si>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</si>
  <si>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</si>
  <si>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</si>
  <si>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</si>
  <si>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</si>
  <si>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</si>
  <si>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</si>
  <si>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</si>
  <si>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</si>
  <si>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</si>
  <si>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</si>
  <si>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</si>
  <si>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</si>
  <si>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</si>
  <si>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</si>
  <si>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</si>
  <si>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</si>
  <si>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</si>
  <si>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</si>
  <si>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</si>
  <si>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</si>
  <si>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</si>
  <si>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</si>
  <si>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</si>
  <si>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</si>
  <si>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</si>
  <si>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</si>
  <si>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</si>
  <si>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</si>
  <si>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</si>
  <si>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</si>
  <si>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</si>
  <si>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</si>
  <si>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</si>
  <si>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</si>
  <si>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</si>
  <si>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</si>
  <si>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</si>
  <si>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</si>
  <si>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</si>
  <si>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</si>
  <si>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</si>
  <si>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</si>
  <si>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</si>
  <si>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</si>
  <si>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</si>
  <si>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</si>
  <si>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</si>
  <si>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</si>
  <si>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</si>
  <si>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</si>
  <si>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</si>
  <si>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</si>
  <si>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</si>
  <si>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</si>
  <si>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</si>
  <si>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</si>
  <si>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</si>
  <si>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</si>
  <si>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</si>
  <si>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</si>
  <si>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</si>
  <si>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</si>
  <si>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</si>
  <si>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</si>
  <si>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</si>
  <si>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</si>
  <si>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</si>
  <si>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</si>
  <si>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</si>
  <si>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</si>
  <si>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</si>
  <si>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</si>
  <si>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</si>
  <si>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</si>
  <si>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</si>
  <si>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</si>
  <si>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</si>
  <si>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</si>
  <si>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</si>
  <si>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</si>
  <si>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</si>
  <si>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</si>
  <si>
    <t>BOLAÑOS-CUBILLOS, Nacor (2016)</t>
  </si>
  <si>
    <t>Cayo Bolivar</t>
  </si>
  <si>
    <t>Serranilla </t>
  </si>
  <si>
    <t>Serrana Bank</t>
  </si>
  <si>
    <t>Alice Shoal</t>
  </si>
  <si>
    <t>Bajo Nuevo</t>
  </si>
  <si>
    <t>Roncador</t>
  </si>
  <si>
    <t xml:space="preserve">Providencia </t>
  </si>
  <si>
    <t>San Andrés</t>
  </si>
  <si>
    <t>Cayos de Albuquerque</t>
  </si>
  <si>
    <t>Variación fenotípica de la langosta espinosa Panulirus argus (Decapoda_ Paniluridae) en el Caribe Suroccidental</t>
  </si>
  <si>
    <t>12°24′56″</t>
  </si>
  <si>
    <t>81°28′28″</t>
  </si>
  <si>
    <t>79°52′54″</t>
  </si>
  <si>
    <t>79°22′00″</t>
  </si>
  <si>
    <t>78°40′01″</t>
  </si>
  <si>
    <t>80°16′00″</t>
  </si>
  <si>
    <t>80°03′60″</t>
  </si>
  <si>
    <t>81°21′13″</t>
  </si>
  <si>
    <t>81°40′59″</t>
  </si>
  <si>
    <t>81°51′00″</t>
  </si>
  <si>
    <t>12°09′57″</t>
  </si>
  <si>
    <t>12°34′38″</t>
  </si>
  <si>
    <t>13°23′16″</t>
  </si>
  <si>
    <t>13°33′57″</t>
  </si>
  <si>
    <t>14°23′58″</t>
  </si>
  <si>
    <t>15°52′08″</t>
  </si>
  <si>
    <t>16°04′56″</t>
  </si>
  <si>
    <t>15°51′53″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</si>
</sst>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0"/>
  <sheetViews>
    <sheetView tabSelected="1" zoomScale="85" zoomScaleNormal="85" workbookViewId="0">
      <pane ySplit="1" topLeftCell="A2" activePane="bottomLeft" state="frozen"/>
      <selection pane="bottomLeft" activeCell="A314" sqref="A314:A323"/>
    </sheetView>
  </sheetViews>
  <sheetFormatPr defaultColWidth="9.140625" defaultRowHeight="15" x14ac:dyDescent="0.25"/>
  <cols>
    <col min="1" max="1" width="4.140625" style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/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si="13"/>
        <v>#VALUE!</v>
      </c>
      <c r="P74" s="2" t="e">
        <f t="shared" si="14"/>
        <v>#VALUE!</v>
      </c>
      <c r="Q74" s="2" t="e">
        <f t="shared" si="15"/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26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-20.85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304</v>
      </c>
      <c r="F117" s="7" t="s">
        <v>36</v>
      </c>
      <c r="G117" s="7" t="s">
        <v>305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306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307</v>
      </c>
      <c r="F118" s="7" t="s">
        <v>39</v>
      </c>
      <c r="G118" s="7" t="s">
        <v>305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306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308</v>
      </c>
      <c r="F119" s="7" t="s">
        <v>309</v>
      </c>
      <c r="G119" s="7" t="s">
        <v>305</v>
      </c>
      <c r="H119" s="1" t="s">
        <v>23</v>
      </c>
      <c r="I119" s="1" t="s">
        <v>310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306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311</v>
      </c>
      <c r="F120" s="7" t="s">
        <v>312</v>
      </c>
      <c r="G120" s="7" t="s">
        <v>305</v>
      </c>
      <c r="H120" s="1" t="s">
        <v>23</v>
      </c>
      <c r="I120" s="1" t="s">
        <v>310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306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313</v>
      </c>
      <c r="F121" s="7" t="s">
        <v>314</v>
      </c>
      <c r="G121" s="7" t="s">
        <v>305</v>
      </c>
      <c r="H121" s="1" t="s">
        <v>23</v>
      </c>
      <c r="I121" s="1" t="s">
        <v>315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306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316</v>
      </c>
      <c r="F122" s="7" t="s">
        <v>317</v>
      </c>
      <c r="G122" s="7" t="s">
        <v>305</v>
      </c>
      <c r="H122" s="1" t="s">
        <v>23</v>
      </c>
      <c r="I122" s="1" t="s">
        <v>315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306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318</v>
      </c>
      <c r="F123" s="7" t="s">
        <v>319</v>
      </c>
      <c r="G123" s="7" t="s">
        <v>305</v>
      </c>
      <c r="H123" s="1" t="s">
        <v>23</v>
      </c>
      <c r="I123" s="1" t="s">
        <v>320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306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321</v>
      </c>
      <c r="F124" s="7" t="s">
        <v>322</v>
      </c>
      <c r="G124" s="7" t="s">
        <v>305</v>
      </c>
      <c r="H124" s="1" t="s">
        <v>23</v>
      </c>
      <c r="I124" s="1" t="s">
        <v>320</v>
      </c>
      <c r="J124" s="1" t="str">
        <f t="shared" ref="J124:J187" si="16">MID(E124,1,FIND("°",E124,1)-1)</f>
        <v>08</v>
      </c>
      <c r="K124" s="1" t="str">
        <f t="shared" ref="K124:K187" si="17">MID(E124,FIND("°",E124,1)+1,(FIND("′",E124,1)-FIND("°",E124,1))-1)</f>
        <v>02</v>
      </c>
      <c r="L124" s="1" t="str">
        <f t="shared" ref="L124:L187" si="18">MID(E124,FIND("′",E124,1)+1,(FIND("″",E124,1)-FIND("′",E124,1))-1)</f>
        <v>54</v>
      </c>
      <c r="M124" s="1" t="str">
        <f t="shared" ref="M124:M187" si="19">MID(F124,1,FIND("°",F124,1)-1)</f>
        <v>34</v>
      </c>
      <c r="N124" s="1" t="str">
        <f t="shared" ref="N124:N187" si="20">MID(F124,FIND("°",F124,1)+1,(FIND("′",F124,1)-FIND("°",F124,1))-1)</f>
        <v>52</v>
      </c>
      <c r="O124" s="1" t="str">
        <f t="shared" ref="O124:O187" si="21">MID(F124,FIND("′",F124,1)+1,(FIND("″",F124,1)-FIND("′",F124,1))-1)</f>
        <v>42</v>
      </c>
      <c r="P124" s="2">
        <f t="shared" ref="P124:P187" si="22">((((L124/60)+K124)/60)+J124)*IF(C124="S",-1, 1)</f>
        <v>-8.0483333333333338</v>
      </c>
      <c r="Q124" s="2">
        <f t="shared" ref="Q124:Q187" si="23">((((O124/60)+N124)/60)+M124)*IF(D124="W",-1, 1)</f>
        <v>-34.87833333333333</v>
      </c>
      <c r="R124" s="16" t="s">
        <v>306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304</v>
      </c>
      <c r="F125" s="7" t="s">
        <v>36</v>
      </c>
      <c r="G125" s="7" t="s">
        <v>305</v>
      </c>
      <c r="H125" s="1" t="s">
        <v>23</v>
      </c>
      <c r="I125" s="1" t="s">
        <v>37</v>
      </c>
      <c r="J125" s="1" t="str">
        <f t="shared" si="16"/>
        <v>02</v>
      </c>
      <c r="K125" s="1" t="str">
        <f t="shared" si="17"/>
        <v>53</v>
      </c>
      <c r="L125" s="1" t="str">
        <f t="shared" si="18"/>
        <v>22</v>
      </c>
      <c r="M125" s="1" t="str">
        <f t="shared" si="19"/>
        <v>41</v>
      </c>
      <c r="N125" s="1" t="str">
        <f t="shared" si="20"/>
        <v>13</v>
      </c>
      <c r="O125" s="1" t="str">
        <f t="shared" si="21"/>
        <v>46</v>
      </c>
      <c r="P125" s="2">
        <f t="shared" si="22"/>
        <v>-2.8894444444444445</v>
      </c>
      <c r="Q125" s="2">
        <f t="shared" si="23"/>
        <v>-41.229444444444447</v>
      </c>
      <c r="R125" s="16" t="s">
        <v>306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307</v>
      </c>
      <c r="F126" s="7" t="s">
        <v>39</v>
      </c>
      <c r="G126" s="7" t="s">
        <v>305</v>
      </c>
      <c r="H126" s="1" t="s">
        <v>23</v>
      </c>
      <c r="I126" s="1" t="s">
        <v>37</v>
      </c>
      <c r="J126" s="1" t="str">
        <f t="shared" si="16"/>
        <v>04</v>
      </c>
      <c r="K126" s="1" t="str">
        <f t="shared" si="17"/>
        <v>06</v>
      </c>
      <c r="L126" s="1" t="str">
        <f t="shared" si="18"/>
        <v>06</v>
      </c>
      <c r="M126" s="1" t="str">
        <f t="shared" si="19"/>
        <v>38</v>
      </c>
      <c r="N126" s="1" t="str">
        <f t="shared" si="20"/>
        <v>08</v>
      </c>
      <c r="O126" s="1" t="str">
        <f t="shared" si="21"/>
        <v>56</v>
      </c>
      <c r="P126" s="2">
        <f t="shared" si="22"/>
        <v>-4.1016666666666666</v>
      </c>
      <c r="Q126" s="2">
        <f t="shared" si="23"/>
        <v>-38.148888888888891</v>
      </c>
      <c r="R126" s="16" t="s">
        <v>306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308</v>
      </c>
      <c r="F127" s="7" t="s">
        <v>309</v>
      </c>
      <c r="G127" s="7" t="s">
        <v>305</v>
      </c>
      <c r="H127" s="1" t="s">
        <v>23</v>
      </c>
      <c r="I127" s="1" t="s">
        <v>310</v>
      </c>
      <c r="J127" s="1" t="str">
        <f t="shared" si="16"/>
        <v>04</v>
      </c>
      <c r="K127" s="1" t="str">
        <f t="shared" si="17"/>
        <v>53</v>
      </c>
      <c r="L127" s="1" t="str">
        <f t="shared" si="18"/>
        <v>26</v>
      </c>
      <c r="M127" s="1" t="str">
        <f t="shared" si="19"/>
        <v>37</v>
      </c>
      <c r="N127" s="1" t="str">
        <f t="shared" si="20"/>
        <v>14</v>
      </c>
      <c r="O127" s="1" t="str">
        <f t="shared" si="21"/>
        <v>37</v>
      </c>
      <c r="P127" s="2">
        <f t="shared" si="22"/>
        <v>-4.8905555555555553</v>
      </c>
      <c r="Q127" s="2">
        <f t="shared" si="23"/>
        <v>-37.243611111111115</v>
      </c>
      <c r="R127" s="16" t="s">
        <v>306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311</v>
      </c>
      <c r="F128" s="7" t="s">
        <v>312</v>
      </c>
      <c r="G128" s="7" t="s">
        <v>305</v>
      </c>
      <c r="H128" s="1" t="s">
        <v>23</v>
      </c>
      <c r="I128" s="1" t="s">
        <v>310</v>
      </c>
      <c r="J128" s="1" t="str">
        <f t="shared" si="16"/>
        <v>05</v>
      </c>
      <c r="K128" s="1" t="str">
        <f t="shared" si="17"/>
        <v>12</v>
      </c>
      <c r="L128" s="1" t="str">
        <f t="shared" si="18"/>
        <v>06</v>
      </c>
      <c r="M128" s="1" t="str">
        <f t="shared" si="19"/>
        <v>35</v>
      </c>
      <c r="N128" s="1" t="str">
        <f t="shared" si="20"/>
        <v>27</v>
      </c>
      <c r="O128" s="1" t="str">
        <f t="shared" si="21"/>
        <v>27</v>
      </c>
      <c r="P128" s="2">
        <f t="shared" si="22"/>
        <v>-5.2016666666666662</v>
      </c>
      <c r="Q128" s="2">
        <f t="shared" si="23"/>
        <v>-35.457500000000003</v>
      </c>
      <c r="R128" s="16" t="s">
        <v>306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313</v>
      </c>
      <c r="F129" s="7" t="s">
        <v>314</v>
      </c>
      <c r="G129" s="7" t="s">
        <v>305</v>
      </c>
      <c r="H129" s="1" t="s">
        <v>23</v>
      </c>
      <c r="I129" s="1" t="s">
        <v>315</v>
      </c>
      <c r="J129" s="1" t="str">
        <f t="shared" si="16"/>
        <v>06</v>
      </c>
      <c r="K129" s="1" t="str">
        <f t="shared" si="17"/>
        <v>30</v>
      </c>
      <c r="L129" s="1" t="str">
        <f t="shared" si="18"/>
        <v>11</v>
      </c>
      <c r="M129" s="1" t="str">
        <f t="shared" si="19"/>
        <v>34</v>
      </c>
      <c r="N129" s="1" t="str">
        <f t="shared" si="20"/>
        <v>57</v>
      </c>
      <c r="O129" s="1" t="str">
        <f t="shared" si="21"/>
        <v>30</v>
      </c>
      <c r="P129" s="2">
        <f t="shared" si="22"/>
        <v>-6.5030555555555551</v>
      </c>
      <c r="Q129" s="2">
        <f t="shared" si="23"/>
        <v>-34.958333333333336</v>
      </c>
      <c r="R129" s="16" t="s">
        <v>306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316</v>
      </c>
      <c r="F130" s="7" t="s">
        <v>317</v>
      </c>
      <c r="G130" s="7" t="s">
        <v>305</v>
      </c>
      <c r="H130" s="1" t="s">
        <v>23</v>
      </c>
      <c r="I130" s="1" t="s">
        <v>315</v>
      </c>
      <c r="J130" s="1" t="str">
        <f t="shared" si="16"/>
        <v>06</v>
      </c>
      <c r="K130" s="1" t="str">
        <f t="shared" si="17"/>
        <v>57</v>
      </c>
      <c r="L130" s="1" t="str">
        <f t="shared" si="18"/>
        <v>57</v>
      </c>
      <c r="M130" s="1" t="str">
        <f t="shared" si="19"/>
        <v>34</v>
      </c>
      <c r="N130" s="1" t="str">
        <f t="shared" si="20"/>
        <v>51</v>
      </c>
      <c r="O130" s="1" t="str">
        <f t="shared" si="21"/>
        <v>22</v>
      </c>
      <c r="P130" s="2">
        <f t="shared" si="22"/>
        <v>-6.9658333333333333</v>
      </c>
      <c r="Q130" s="2">
        <f t="shared" si="23"/>
        <v>-34.856111111111112</v>
      </c>
      <c r="R130" s="16" t="s">
        <v>306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318</v>
      </c>
      <c r="F131" s="7" t="s">
        <v>319</v>
      </c>
      <c r="G131" s="7" t="s">
        <v>305</v>
      </c>
      <c r="H131" s="1" t="s">
        <v>23</v>
      </c>
      <c r="I131" s="1" t="s">
        <v>320</v>
      </c>
      <c r="J131" s="1" t="str">
        <f t="shared" si="16"/>
        <v>07</v>
      </c>
      <c r="K131" s="1" t="str">
        <f t="shared" si="17"/>
        <v>33</v>
      </c>
      <c r="L131" s="1" t="str">
        <f t="shared" si="18"/>
        <v>07</v>
      </c>
      <c r="M131" s="1" t="str">
        <f t="shared" si="19"/>
        <v>34</v>
      </c>
      <c r="N131" s="1" t="str">
        <f t="shared" si="20"/>
        <v>50</v>
      </c>
      <c r="O131" s="1" t="str">
        <f t="shared" si="21"/>
        <v>39</v>
      </c>
      <c r="P131" s="2">
        <f t="shared" si="22"/>
        <v>-7.5519444444444446</v>
      </c>
      <c r="Q131" s="2">
        <f t="shared" si="23"/>
        <v>-34.844166666666666</v>
      </c>
      <c r="R131" s="16" t="s">
        <v>306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321</v>
      </c>
      <c r="F132" s="7" t="s">
        <v>322</v>
      </c>
      <c r="G132" s="7" t="s">
        <v>305</v>
      </c>
      <c r="H132" s="1" t="s">
        <v>23</v>
      </c>
      <c r="I132" s="1" t="s">
        <v>320</v>
      </c>
      <c r="J132" s="1" t="str">
        <f t="shared" si="16"/>
        <v>08</v>
      </c>
      <c r="K132" s="1" t="str">
        <f t="shared" si="17"/>
        <v>02</v>
      </c>
      <c r="L132" s="1" t="str">
        <f t="shared" si="18"/>
        <v>54</v>
      </c>
      <c r="M132" s="1" t="str">
        <f t="shared" si="19"/>
        <v>34</v>
      </c>
      <c r="N132" s="1" t="str">
        <f t="shared" si="20"/>
        <v>52</v>
      </c>
      <c r="O132" s="1" t="str">
        <f t="shared" si="21"/>
        <v>42</v>
      </c>
      <c r="P132" s="2">
        <f t="shared" si="22"/>
        <v>-8.0483333333333338</v>
      </c>
      <c r="Q132" s="2">
        <f t="shared" si="23"/>
        <v>-34.87833333333333</v>
      </c>
      <c r="R132" s="16" t="s">
        <v>306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323</v>
      </c>
      <c r="F133" s="7" t="s">
        <v>324</v>
      </c>
      <c r="G133" s="1" t="s">
        <v>325</v>
      </c>
      <c r="H133" s="1" t="s">
        <v>326</v>
      </c>
      <c r="I133" s="1" t="s">
        <v>327</v>
      </c>
      <c r="J133" s="1" t="str">
        <f t="shared" si="16"/>
        <v>01</v>
      </c>
      <c r="K133" s="1" t="str">
        <f t="shared" si="17"/>
        <v>45</v>
      </c>
      <c r="L133" s="1" t="str">
        <f t="shared" si="18"/>
        <v>10</v>
      </c>
      <c r="M133" s="1" t="str">
        <f t="shared" si="19"/>
        <v>48</v>
      </c>
      <c r="N133" s="1" t="str">
        <f t="shared" si="20"/>
        <v>12</v>
      </c>
      <c r="O133" s="1" t="str">
        <f t="shared" si="21"/>
        <v>56</v>
      </c>
      <c r="P133" s="2">
        <f t="shared" si="22"/>
        <v>1.7527777777777778</v>
      </c>
      <c r="Q133" s="2">
        <f t="shared" si="23"/>
        <v>-48.215555555555554</v>
      </c>
      <c r="R133" s="16" t="s">
        <v>328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329</v>
      </c>
      <c r="F134" s="7" t="s">
        <v>330</v>
      </c>
      <c r="G134" s="1" t="s">
        <v>325</v>
      </c>
      <c r="H134" s="1" t="s">
        <v>326</v>
      </c>
      <c r="I134" s="1" t="s">
        <v>327</v>
      </c>
      <c r="J134" s="1" t="str">
        <f t="shared" si="16"/>
        <v>01</v>
      </c>
      <c r="K134" s="1" t="str">
        <f t="shared" si="17"/>
        <v>43</v>
      </c>
      <c r="L134" s="1" t="str">
        <f t="shared" si="18"/>
        <v>38</v>
      </c>
      <c r="M134" s="1" t="str">
        <f t="shared" si="19"/>
        <v>48</v>
      </c>
      <c r="N134" s="1" t="str">
        <f t="shared" si="20"/>
        <v>26</v>
      </c>
      <c r="O134" s="1" t="str">
        <f t="shared" si="21"/>
        <v>22</v>
      </c>
      <c r="P134" s="2">
        <f t="shared" si="22"/>
        <v>1.7272222222222222</v>
      </c>
      <c r="Q134" s="2">
        <f t="shared" si="23"/>
        <v>-48.439444444444447</v>
      </c>
      <c r="R134" s="16" t="s">
        <v>328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331</v>
      </c>
      <c r="F135" s="7" t="s">
        <v>332</v>
      </c>
      <c r="G135" s="1" t="s">
        <v>325</v>
      </c>
      <c r="H135" s="1" t="s">
        <v>326</v>
      </c>
      <c r="I135" s="1" t="s">
        <v>327</v>
      </c>
      <c r="J135" s="1" t="str">
        <f t="shared" si="16"/>
        <v>02</v>
      </c>
      <c r="K135" s="1" t="str">
        <f t="shared" si="17"/>
        <v>00</v>
      </c>
      <c r="L135" s="1" t="str">
        <f t="shared" si="18"/>
        <v>35</v>
      </c>
      <c r="M135" s="1" t="str">
        <f t="shared" si="19"/>
        <v>48</v>
      </c>
      <c r="N135" s="1" t="str">
        <f t="shared" si="20"/>
        <v>12</v>
      </c>
      <c r="O135" s="1" t="str">
        <f t="shared" si="21"/>
        <v>39</v>
      </c>
      <c r="P135" s="2">
        <f t="shared" si="22"/>
        <v>2.0097222222222224</v>
      </c>
      <c r="Q135" s="2">
        <f t="shared" si="23"/>
        <v>-48.210833333333333</v>
      </c>
      <c r="R135" s="16" t="s">
        <v>328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333</v>
      </c>
      <c r="F136" s="7" t="s">
        <v>334</v>
      </c>
      <c r="G136" s="1" t="s">
        <v>325</v>
      </c>
      <c r="H136" s="1" t="s">
        <v>326</v>
      </c>
      <c r="I136" s="1" t="s">
        <v>327</v>
      </c>
      <c r="J136" s="1" t="str">
        <f t="shared" si="16"/>
        <v>02</v>
      </c>
      <c r="K136" s="1" t="str">
        <f t="shared" si="17"/>
        <v>39</v>
      </c>
      <c r="L136" s="1" t="str">
        <f t="shared" si="18"/>
        <v>44</v>
      </c>
      <c r="M136" s="1" t="str">
        <f t="shared" si="19"/>
        <v>49</v>
      </c>
      <c r="N136" s="1" t="str">
        <f t="shared" si="20"/>
        <v>08</v>
      </c>
      <c r="O136" s="1" t="str">
        <f t="shared" si="21"/>
        <v>56</v>
      </c>
      <c r="P136" s="2">
        <f t="shared" si="22"/>
        <v>2.6622222222222223</v>
      </c>
      <c r="Q136" s="2">
        <f t="shared" si="23"/>
        <v>-49.148888888888891</v>
      </c>
      <c r="R136" s="16" t="s">
        <v>328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335</v>
      </c>
      <c r="F137" s="7" t="s">
        <v>336</v>
      </c>
      <c r="G137" s="1" t="s">
        <v>325</v>
      </c>
      <c r="H137" s="1" t="s">
        <v>326</v>
      </c>
      <c r="I137" s="1" t="s">
        <v>327</v>
      </c>
      <c r="J137" s="1" t="str">
        <f t="shared" si="16"/>
        <v>03</v>
      </c>
      <c r="K137" s="1" t="str">
        <f t="shared" si="17"/>
        <v>29</v>
      </c>
      <c r="L137" s="1" t="str">
        <f t="shared" si="18"/>
        <v>13</v>
      </c>
      <c r="M137" s="1" t="str">
        <f t="shared" si="19"/>
        <v>49</v>
      </c>
      <c r="N137" s="1" t="str">
        <f t="shared" si="20"/>
        <v>47</v>
      </c>
      <c r="O137" s="1" t="str">
        <f t="shared" si="21"/>
        <v>04</v>
      </c>
      <c r="P137" s="2">
        <f t="shared" si="22"/>
        <v>3.4869444444444442</v>
      </c>
      <c r="Q137" s="2">
        <f t="shared" si="23"/>
        <v>-49.784444444444446</v>
      </c>
      <c r="R137" s="16" t="s">
        <v>328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337</v>
      </c>
      <c r="F138" s="7" t="s">
        <v>338</v>
      </c>
      <c r="G138" s="1" t="s">
        <v>339</v>
      </c>
      <c r="H138" s="1" t="s">
        <v>326</v>
      </c>
      <c r="I138" s="1" t="s">
        <v>340</v>
      </c>
      <c r="J138" s="1" t="str">
        <f t="shared" si="16"/>
        <v>07</v>
      </c>
      <c r="K138" s="1" t="str">
        <f t="shared" si="17"/>
        <v>09</v>
      </c>
      <c r="L138" s="1" t="str">
        <f t="shared" si="18"/>
        <v>33</v>
      </c>
      <c r="M138" s="1" t="str">
        <f t="shared" si="19"/>
        <v>34</v>
      </c>
      <c r="N138" s="1" t="str">
        <f t="shared" si="20"/>
        <v>47</v>
      </c>
      <c r="O138" s="1" t="str">
        <f t="shared" si="21"/>
        <v>08</v>
      </c>
      <c r="P138" s="2">
        <f t="shared" si="22"/>
        <v>-7.1591666666666667</v>
      </c>
      <c r="Q138" s="2">
        <f t="shared" si="23"/>
        <v>-34.785555555555554</v>
      </c>
      <c r="R138" s="16" t="s">
        <v>341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342</v>
      </c>
      <c r="F139" s="7" t="s">
        <v>343</v>
      </c>
      <c r="G139" s="1" t="s">
        <v>339</v>
      </c>
      <c r="H139" s="1" t="s">
        <v>326</v>
      </c>
      <c r="I139" s="1" t="s">
        <v>344</v>
      </c>
      <c r="J139" s="1" t="str">
        <f t="shared" si="16"/>
        <v>07</v>
      </c>
      <c r="K139" s="1" t="str">
        <f t="shared" si="17"/>
        <v>10</v>
      </c>
      <c r="L139" s="1" t="str">
        <f t="shared" si="18"/>
        <v>47</v>
      </c>
      <c r="M139" s="1" t="str">
        <f t="shared" si="19"/>
        <v>34</v>
      </c>
      <c r="N139" s="1" t="str">
        <f t="shared" si="20"/>
        <v>46</v>
      </c>
      <c r="O139" s="1" t="str">
        <f t="shared" si="21"/>
        <v>56</v>
      </c>
      <c r="P139" s="2">
        <f t="shared" si="22"/>
        <v>-7.1797222222222219</v>
      </c>
      <c r="Q139" s="2">
        <f t="shared" si="23"/>
        <v>-34.782222222222224</v>
      </c>
      <c r="R139" s="16" t="s">
        <v>341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337</v>
      </c>
      <c r="F140" s="7" t="s">
        <v>338</v>
      </c>
      <c r="G140" s="1" t="s">
        <v>339</v>
      </c>
      <c r="H140" s="1" t="s">
        <v>326</v>
      </c>
      <c r="I140" s="1" t="s">
        <v>340</v>
      </c>
      <c r="J140" s="1" t="str">
        <f t="shared" si="16"/>
        <v>07</v>
      </c>
      <c r="K140" s="1" t="str">
        <f t="shared" si="17"/>
        <v>09</v>
      </c>
      <c r="L140" s="1" t="str">
        <f t="shared" si="18"/>
        <v>33</v>
      </c>
      <c r="M140" s="1" t="str">
        <f t="shared" si="19"/>
        <v>34</v>
      </c>
      <c r="N140" s="1" t="str">
        <f t="shared" si="20"/>
        <v>47</v>
      </c>
      <c r="O140" s="1" t="str">
        <f t="shared" si="21"/>
        <v>08</v>
      </c>
      <c r="P140" s="2">
        <f t="shared" si="22"/>
        <v>-7.1591666666666667</v>
      </c>
      <c r="Q140" s="2">
        <f t="shared" si="23"/>
        <v>-34.785555555555554</v>
      </c>
      <c r="R140" s="16" t="s">
        <v>341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342</v>
      </c>
      <c r="F141" s="7" t="s">
        <v>343</v>
      </c>
      <c r="G141" s="1" t="s">
        <v>339</v>
      </c>
      <c r="H141" s="1" t="s">
        <v>326</v>
      </c>
      <c r="I141" s="1" t="s">
        <v>344</v>
      </c>
      <c r="J141" s="1" t="str">
        <f t="shared" si="16"/>
        <v>07</v>
      </c>
      <c r="K141" s="1" t="str">
        <f t="shared" si="17"/>
        <v>10</v>
      </c>
      <c r="L141" s="1" t="str">
        <f t="shared" si="18"/>
        <v>47</v>
      </c>
      <c r="M141" s="1" t="str">
        <f t="shared" si="19"/>
        <v>34</v>
      </c>
      <c r="N141" s="1" t="str">
        <f t="shared" si="20"/>
        <v>46</v>
      </c>
      <c r="O141" s="1" t="str">
        <f t="shared" si="21"/>
        <v>56</v>
      </c>
      <c r="P141" s="2">
        <f t="shared" si="22"/>
        <v>-7.1797222222222219</v>
      </c>
      <c r="Q141" s="2">
        <f t="shared" si="23"/>
        <v>-34.782222222222224</v>
      </c>
      <c r="R141" s="16" t="s">
        <v>341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337</v>
      </c>
      <c r="F142" s="7" t="s">
        <v>338</v>
      </c>
      <c r="G142" s="1" t="s">
        <v>339</v>
      </c>
      <c r="H142" s="1" t="s">
        <v>326</v>
      </c>
      <c r="I142" s="1" t="s">
        <v>340</v>
      </c>
      <c r="J142" s="1" t="str">
        <f t="shared" si="16"/>
        <v>07</v>
      </c>
      <c r="K142" s="1" t="str">
        <f t="shared" si="17"/>
        <v>09</v>
      </c>
      <c r="L142" s="1" t="str">
        <f t="shared" si="18"/>
        <v>33</v>
      </c>
      <c r="M142" s="1" t="str">
        <f t="shared" si="19"/>
        <v>34</v>
      </c>
      <c r="N142" s="1" t="str">
        <f t="shared" si="20"/>
        <v>47</v>
      </c>
      <c r="O142" s="1" t="str">
        <f t="shared" si="21"/>
        <v>08</v>
      </c>
      <c r="P142" s="2">
        <f t="shared" si="22"/>
        <v>-7.1591666666666667</v>
      </c>
      <c r="Q142" s="2">
        <f t="shared" si="23"/>
        <v>-34.785555555555554</v>
      </c>
      <c r="R142" s="16" t="s">
        <v>341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342</v>
      </c>
      <c r="F143" s="7" t="s">
        <v>343</v>
      </c>
      <c r="G143" s="1" t="s">
        <v>339</v>
      </c>
      <c r="H143" s="1" t="s">
        <v>326</v>
      </c>
      <c r="I143" s="1" t="s">
        <v>344</v>
      </c>
      <c r="J143" s="1" t="str">
        <f t="shared" si="16"/>
        <v>07</v>
      </c>
      <c r="K143" s="1" t="str">
        <f t="shared" si="17"/>
        <v>10</v>
      </c>
      <c r="L143" s="1" t="str">
        <f t="shared" si="18"/>
        <v>47</v>
      </c>
      <c r="M143" s="1" t="str">
        <f t="shared" si="19"/>
        <v>34</v>
      </c>
      <c r="N143" s="1" t="str">
        <f t="shared" si="20"/>
        <v>46</v>
      </c>
      <c r="O143" s="1" t="str">
        <f t="shared" si="21"/>
        <v>56</v>
      </c>
      <c r="P143" s="2">
        <f t="shared" si="22"/>
        <v>-7.1797222222222219</v>
      </c>
      <c r="Q143" s="2">
        <f t="shared" si="23"/>
        <v>-34.782222222222224</v>
      </c>
      <c r="R143" s="16" t="s">
        <v>341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345</v>
      </c>
      <c r="F144" s="7" t="s">
        <v>346</v>
      </c>
      <c r="G144" s="1" t="s">
        <v>347</v>
      </c>
      <c r="H144" s="1" t="s">
        <v>326</v>
      </c>
      <c r="I144" s="15" t="s">
        <v>68</v>
      </c>
      <c r="J144" s="1" t="str">
        <f t="shared" si="16"/>
        <v>08</v>
      </c>
      <c r="K144" s="1" t="str">
        <f t="shared" si="17"/>
        <v>30</v>
      </c>
      <c r="L144" s="1" t="str">
        <f t="shared" si="18"/>
        <v>41</v>
      </c>
      <c r="M144" s="1" t="str">
        <f t="shared" si="19"/>
        <v>35</v>
      </c>
      <c r="N144" s="1" t="str">
        <f t="shared" si="20"/>
        <v>00</v>
      </c>
      <c r="O144" s="1" t="str">
        <f t="shared" si="21"/>
        <v>02</v>
      </c>
      <c r="P144" s="2">
        <f t="shared" si="22"/>
        <v>-8.511388888888888</v>
      </c>
      <c r="Q144" s="2">
        <f t="shared" si="23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348</v>
      </c>
      <c r="F145" s="7" t="s">
        <v>349</v>
      </c>
      <c r="G145" s="1" t="s">
        <v>347</v>
      </c>
      <c r="H145" s="1" t="s">
        <v>326</v>
      </c>
      <c r="I145" s="15" t="s">
        <v>68</v>
      </c>
      <c r="J145" s="1" t="str">
        <f t="shared" si="16"/>
        <v>08</v>
      </c>
      <c r="K145" s="1" t="str">
        <f t="shared" si="17"/>
        <v>30</v>
      </c>
      <c r="L145" s="1" t="str">
        <f t="shared" si="18"/>
        <v>31</v>
      </c>
      <c r="M145" s="1" t="str">
        <f t="shared" si="19"/>
        <v>34</v>
      </c>
      <c r="N145" s="1" t="str">
        <f t="shared" si="20"/>
        <v>59</v>
      </c>
      <c r="O145" s="1" t="str">
        <f t="shared" si="21"/>
        <v>58</v>
      </c>
      <c r="P145" s="2">
        <f t="shared" si="22"/>
        <v>-8.5086111111111116</v>
      </c>
      <c r="Q145" s="2">
        <f t="shared" si="23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350</v>
      </c>
      <c r="F146" s="7" t="s">
        <v>351</v>
      </c>
      <c r="G146" s="1" t="s">
        <v>347</v>
      </c>
      <c r="H146" s="1" t="s">
        <v>326</v>
      </c>
      <c r="I146" s="15" t="s">
        <v>68</v>
      </c>
      <c r="J146" s="1" t="str">
        <f t="shared" si="16"/>
        <v>08</v>
      </c>
      <c r="K146" s="1" t="str">
        <f t="shared" si="17"/>
        <v>30</v>
      </c>
      <c r="L146" s="1" t="str">
        <f t="shared" si="18"/>
        <v>23</v>
      </c>
      <c r="M146" s="1" t="str">
        <f t="shared" si="19"/>
        <v>34</v>
      </c>
      <c r="N146" s="1" t="str">
        <f t="shared" si="20"/>
        <v>59</v>
      </c>
      <c r="O146" s="1" t="str">
        <f t="shared" si="21"/>
        <v>57</v>
      </c>
      <c r="P146" s="2">
        <f t="shared" si="22"/>
        <v>-8.506388888888889</v>
      </c>
      <c r="Q146" s="2">
        <f t="shared" si="23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352</v>
      </c>
      <c r="F147" s="7" t="s">
        <v>353</v>
      </c>
      <c r="G147" s="1" t="s">
        <v>347</v>
      </c>
      <c r="H147" s="1" t="s">
        <v>326</v>
      </c>
      <c r="I147" s="15" t="s">
        <v>68</v>
      </c>
      <c r="J147" s="1" t="str">
        <f t="shared" si="16"/>
        <v>08</v>
      </c>
      <c r="K147" s="1" t="str">
        <f t="shared" si="17"/>
        <v>30</v>
      </c>
      <c r="L147" s="1" t="str">
        <f t="shared" si="18"/>
        <v>32</v>
      </c>
      <c r="M147" s="1" t="str">
        <f t="shared" si="19"/>
        <v>34</v>
      </c>
      <c r="N147" s="1" t="str">
        <f t="shared" si="20"/>
        <v>59</v>
      </c>
      <c r="O147" s="1" t="str">
        <f t="shared" si="21"/>
        <v>56</v>
      </c>
      <c r="P147" s="2">
        <f t="shared" si="22"/>
        <v>-8.5088888888888885</v>
      </c>
      <c r="Q147" s="2">
        <f t="shared" si="23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354</v>
      </c>
      <c r="F148" s="7" t="s">
        <v>355</v>
      </c>
      <c r="G148" s="1" t="s">
        <v>347</v>
      </c>
      <c r="H148" s="1" t="s">
        <v>326</v>
      </c>
      <c r="I148" s="15" t="s">
        <v>68</v>
      </c>
      <c r="J148" s="1" t="str">
        <f t="shared" si="16"/>
        <v>08</v>
      </c>
      <c r="K148" s="1" t="str">
        <f t="shared" si="17"/>
        <v>30</v>
      </c>
      <c r="L148" s="1" t="str">
        <f t="shared" si="18"/>
        <v>25</v>
      </c>
      <c r="M148" s="1" t="str">
        <f t="shared" si="19"/>
        <v>34</v>
      </c>
      <c r="N148" s="1" t="str">
        <f t="shared" si="20"/>
        <v>59</v>
      </c>
      <c r="O148" s="1" t="str">
        <f t="shared" si="21"/>
        <v>54</v>
      </c>
      <c r="P148" s="2">
        <f t="shared" si="22"/>
        <v>-8.5069444444444446</v>
      </c>
      <c r="Q148" s="2">
        <f t="shared" si="23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350</v>
      </c>
      <c r="F149" s="7" t="s">
        <v>355</v>
      </c>
      <c r="G149" s="1" t="s">
        <v>347</v>
      </c>
      <c r="H149" s="1" t="s">
        <v>326</v>
      </c>
      <c r="I149" s="15" t="s">
        <v>68</v>
      </c>
      <c r="J149" s="1" t="str">
        <f t="shared" si="16"/>
        <v>08</v>
      </c>
      <c r="K149" s="1" t="str">
        <f t="shared" si="17"/>
        <v>30</v>
      </c>
      <c r="L149" s="1" t="str">
        <f t="shared" si="18"/>
        <v>23</v>
      </c>
      <c r="M149" s="1" t="str">
        <f t="shared" si="19"/>
        <v>34</v>
      </c>
      <c r="N149" s="1" t="str">
        <f t="shared" si="20"/>
        <v>59</v>
      </c>
      <c r="O149" s="1" t="str">
        <f t="shared" si="21"/>
        <v>54</v>
      </c>
      <c r="P149" s="2">
        <f t="shared" si="22"/>
        <v>-8.506388888888889</v>
      </c>
      <c r="Q149" s="2">
        <f t="shared" si="23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356</v>
      </c>
      <c r="F150" s="7" t="s">
        <v>357</v>
      </c>
      <c r="G150" s="1" t="s">
        <v>347</v>
      </c>
      <c r="H150" s="1" t="s">
        <v>326</v>
      </c>
      <c r="I150" s="15" t="s">
        <v>68</v>
      </c>
      <c r="J150" s="1" t="str">
        <f t="shared" si="16"/>
        <v>08</v>
      </c>
      <c r="K150" s="1" t="str">
        <f t="shared" si="17"/>
        <v>30</v>
      </c>
      <c r="L150" s="1" t="str">
        <f t="shared" si="18"/>
        <v>21</v>
      </c>
      <c r="M150" s="1" t="str">
        <f t="shared" si="19"/>
        <v>34</v>
      </c>
      <c r="N150" s="1" t="str">
        <f t="shared" si="20"/>
        <v>59</v>
      </c>
      <c r="O150" s="1" t="str">
        <f t="shared" si="21"/>
        <v>52</v>
      </c>
      <c r="P150" s="2">
        <f t="shared" si="22"/>
        <v>-8.5058333333333334</v>
      </c>
      <c r="Q150" s="2">
        <f t="shared" si="23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358</v>
      </c>
      <c r="F151" s="7" t="s">
        <v>357</v>
      </c>
      <c r="G151" s="1" t="s">
        <v>347</v>
      </c>
      <c r="H151" s="1" t="s">
        <v>326</v>
      </c>
      <c r="I151" s="15" t="s">
        <v>68</v>
      </c>
      <c r="J151" s="1" t="str">
        <f t="shared" si="16"/>
        <v>08</v>
      </c>
      <c r="K151" s="1" t="str">
        <f t="shared" si="17"/>
        <v>30</v>
      </c>
      <c r="L151" s="1" t="str">
        <f t="shared" si="18"/>
        <v>24</v>
      </c>
      <c r="M151" s="1" t="str">
        <f t="shared" si="19"/>
        <v>34</v>
      </c>
      <c r="N151" s="1" t="str">
        <f t="shared" si="20"/>
        <v>59</v>
      </c>
      <c r="O151" s="1" t="str">
        <f t="shared" si="21"/>
        <v>52</v>
      </c>
      <c r="P151" s="2">
        <f t="shared" si="22"/>
        <v>-8.5066666666666659</v>
      </c>
      <c r="Q151" s="2">
        <f t="shared" si="23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345</v>
      </c>
      <c r="F152" s="7" t="s">
        <v>353</v>
      </c>
      <c r="G152" s="1" t="s">
        <v>347</v>
      </c>
      <c r="H152" s="1" t="s">
        <v>326</v>
      </c>
      <c r="I152" s="15" t="s">
        <v>68</v>
      </c>
      <c r="J152" s="1" t="str">
        <f t="shared" si="16"/>
        <v>08</v>
      </c>
      <c r="K152" s="1" t="str">
        <f t="shared" si="17"/>
        <v>30</v>
      </c>
      <c r="L152" s="1" t="str">
        <f t="shared" si="18"/>
        <v>41</v>
      </c>
      <c r="M152" s="1" t="str">
        <f t="shared" si="19"/>
        <v>34</v>
      </c>
      <c r="N152" s="1" t="str">
        <f t="shared" si="20"/>
        <v>59</v>
      </c>
      <c r="O152" s="1" t="str">
        <f t="shared" si="21"/>
        <v>56</v>
      </c>
      <c r="P152" s="2">
        <f t="shared" si="22"/>
        <v>-8.511388888888888</v>
      </c>
      <c r="Q152" s="2">
        <f t="shared" si="23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359</v>
      </c>
      <c r="F153" s="7" t="s">
        <v>360</v>
      </c>
      <c r="G153" s="1" t="s">
        <v>347</v>
      </c>
      <c r="H153" s="1" t="s">
        <v>326</v>
      </c>
      <c r="I153" s="15" t="s">
        <v>68</v>
      </c>
      <c r="J153" s="1" t="str">
        <f t="shared" si="16"/>
        <v>08</v>
      </c>
      <c r="K153" s="1" t="str">
        <f t="shared" si="17"/>
        <v>30</v>
      </c>
      <c r="L153" s="1" t="str">
        <f t="shared" si="18"/>
        <v>42</v>
      </c>
      <c r="M153" s="1" t="str">
        <f t="shared" si="19"/>
        <v>34</v>
      </c>
      <c r="N153" s="1" t="str">
        <f t="shared" si="20"/>
        <v>59</v>
      </c>
      <c r="O153" s="1" t="str">
        <f t="shared" si="21"/>
        <v>55</v>
      </c>
      <c r="P153" s="2">
        <f t="shared" si="22"/>
        <v>-8.5116666666666667</v>
      </c>
      <c r="Q153" s="2">
        <f t="shared" si="23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345</v>
      </c>
      <c r="F154" s="7" t="s">
        <v>361</v>
      </c>
      <c r="G154" s="1" t="s">
        <v>347</v>
      </c>
      <c r="H154" s="1" t="s">
        <v>326</v>
      </c>
      <c r="I154" s="15" t="s">
        <v>68</v>
      </c>
      <c r="J154" s="1" t="str">
        <f t="shared" si="16"/>
        <v>08</v>
      </c>
      <c r="K154" s="1" t="str">
        <f t="shared" si="17"/>
        <v>30</v>
      </c>
      <c r="L154" s="1" t="str">
        <f t="shared" si="18"/>
        <v>41</v>
      </c>
      <c r="M154" s="1" t="str">
        <f t="shared" si="19"/>
        <v>34</v>
      </c>
      <c r="N154" s="1" t="str">
        <f t="shared" si="20"/>
        <v>59</v>
      </c>
      <c r="O154" s="1" t="str">
        <f t="shared" si="21"/>
        <v>53</v>
      </c>
      <c r="P154" s="2">
        <f t="shared" si="22"/>
        <v>-8.511388888888888</v>
      </c>
      <c r="Q154" s="2">
        <f t="shared" si="23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359</v>
      </c>
      <c r="F155" s="7" t="s">
        <v>361</v>
      </c>
      <c r="G155" s="1" t="s">
        <v>347</v>
      </c>
      <c r="H155" s="1" t="s">
        <v>326</v>
      </c>
      <c r="I155" s="15" t="s">
        <v>68</v>
      </c>
      <c r="J155" s="1" t="str">
        <f t="shared" si="16"/>
        <v>08</v>
      </c>
      <c r="K155" s="1" t="str">
        <f t="shared" si="17"/>
        <v>30</v>
      </c>
      <c r="L155" s="1" t="str">
        <f t="shared" si="18"/>
        <v>42</v>
      </c>
      <c r="M155" s="1" t="str">
        <f t="shared" si="19"/>
        <v>34</v>
      </c>
      <c r="N155" s="1" t="str">
        <f t="shared" si="20"/>
        <v>59</v>
      </c>
      <c r="O155" s="1" t="str">
        <f t="shared" si="21"/>
        <v>53</v>
      </c>
      <c r="P155" s="2">
        <f t="shared" si="22"/>
        <v>-8.5116666666666667</v>
      </c>
      <c r="Q155" s="2">
        <f t="shared" si="23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345</v>
      </c>
      <c r="F156" s="7" t="s">
        <v>346</v>
      </c>
      <c r="G156" s="1" t="s">
        <v>347</v>
      </c>
      <c r="H156" s="1" t="s">
        <v>326</v>
      </c>
      <c r="I156" s="15" t="s">
        <v>68</v>
      </c>
      <c r="J156" s="1" t="str">
        <f t="shared" si="16"/>
        <v>08</v>
      </c>
      <c r="K156" s="1" t="str">
        <f t="shared" si="17"/>
        <v>30</v>
      </c>
      <c r="L156" s="1" t="str">
        <f t="shared" si="18"/>
        <v>41</v>
      </c>
      <c r="M156" s="1" t="str">
        <f t="shared" si="19"/>
        <v>35</v>
      </c>
      <c r="N156" s="1" t="str">
        <f t="shared" si="20"/>
        <v>00</v>
      </c>
      <c r="O156" s="1" t="str">
        <f t="shared" si="21"/>
        <v>02</v>
      </c>
      <c r="P156" s="2">
        <f t="shared" si="22"/>
        <v>-8.511388888888888</v>
      </c>
      <c r="Q156" s="2">
        <f t="shared" si="23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348</v>
      </c>
      <c r="F157" s="7" t="s">
        <v>349</v>
      </c>
      <c r="G157" s="1" t="s">
        <v>347</v>
      </c>
      <c r="H157" s="1" t="s">
        <v>326</v>
      </c>
      <c r="I157" s="15" t="s">
        <v>68</v>
      </c>
      <c r="J157" s="1" t="str">
        <f t="shared" si="16"/>
        <v>08</v>
      </c>
      <c r="K157" s="1" t="str">
        <f t="shared" si="17"/>
        <v>30</v>
      </c>
      <c r="L157" s="1" t="str">
        <f t="shared" si="18"/>
        <v>31</v>
      </c>
      <c r="M157" s="1" t="str">
        <f t="shared" si="19"/>
        <v>34</v>
      </c>
      <c r="N157" s="1" t="str">
        <f t="shared" si="20"/>
        <v>59</v>
      </c>
      <c r="O157" s="1" t="str">
        <f t="shared" si="21"/>
        <v>58</v>
      </c>
      <c r="P157" s="2">
        <f t="shared" si="22"/>
        <v>-8.5086111111111116</v>
      </c>
      <c r="Q157" s="2">
        <f t="shared" si="23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350</v>
      </c>
      <c r="F158" s="7" t="s">
        <v>351</v>
      </c>
      <c r="G158" s="1" t="s">
        <v>347</v>
      </c>
      <c r="H158" s="1" t="s">
        <v>326</v>
      </c>
      <c r="I158" s="15" t="s">
        <v>68</v>
      </c>
      <c r="J158" s="1" t="str">
        <f t="shared" si="16"/>
        <v>08</v>
      </c>
      <c r="K158" s="1" t="str">
        <f t="shared" si="17"/>
        <v>30</v>
      </c>
      <c r="L158" s="1" t="str">
        <f t="shared" si="18"/>
        <v>23</v>
      </c>
      <c r="M158" s="1" t="str">
        <f t="shared" si="19"/>
        <v>34</v>
      </c>
      <c r="N158" s="1" t="str">
        <f t="shared" si="20"/>
        <v>59</v>
      </c>
      <c r="O158" s="1" t="str">
        <f t="shared" si="21"/>
        <v>57</v>
      </c>
      <c r="P158" s="2">
        <f t="shared" si="22"/>
        <v>-8.506388888888889</v>
      </c>
      <c r="Q158" s="2">
        <f t="shared" si="23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352</v>
      </c>
      <c r="F159" s="7" t="s">
        <v>353</v>
      </c>
      <c r="G159" s="1" t="s">
        <v>347</v>
      </c>
      <c r="H159" s="1" t="s">
        <v>326</v>
      </c>
      <c r="I159" s="15" t="s">
        <v>68</v>
      </c>
      <c r="J159" s="1" t="str">
        <f t="shared" si="16"/>
        <v>08</v>
      </c>
      <c r="K159" s="1" t="str">
        <f t="shared" si="17"/>
        <v>30</v>
      </c>
      <c r="L159" s="1" t="str">
        <f t="shared" si="18"/>
        <v>32</v>
      </c>
      <c r="M159" s="1" t="str">
        <f t="shared" si="19"/>
        <v>34</v>
      </c>
      <c r="N159" s="1" t="str">
        <f t="shared" si="20"/>
        <v>59</v>
      </c>
      <c r="O159" s="1" t="str">
        <f t="shared" si="21"/>
        <v>56</v>
      </c>
      <c r="P159" s="2">
        <f t="shared" si="22"/>
        <v>-8.5088888888888885</v>
      </c>
      <c r="Q159" s="2">
        <f t="shared" si="23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354</v>
      </c>
      <c r="F160" s="7" t="s">
        <v>355</v>
      </c>
      <c r="G160" s="1" t="s">
        <v>347</v>
      </c>
      <c r="H160" s="1" t="s">
        <v>326</v>
      </c>
      <c r="I160" s="15" t="s">
        <v>68</v>
      </c>
      <c r="J160" s="1" t="str">
        <f t="shared" si="16"/>
        <v>08</v>
      </c>
      <c r="K160" s="1" t="str">
        <f t="shared" si="17"/>
        <v>30</v>
      </c>
      <c r="L160" s="1" t="str">
        <f t="shared" si="18"/>
        <v>25</v>
      </c>
      <c r="M160" s="1" t="str">
        <f t="shared" si="19"/>
        <v>34</v>
      </c>
      <c r="N160" s="1" t="str">
        <f t="shared" si="20"/>
        <v>59</v>
      </c>
      <c r="O160" s="1" t="str">
        <f t="shared" si="21"/>
        <v>54</v>
      </c>
      <c r="P160" s="2">
        <f t="shared" si="22"/>
        <v>-8.5069444444444446</v>
      </c>
      <c r="Q160" s="2">
        <f t="shared" si="23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350</v>
      </c>
      <c r="F161" s="7" t="s">
        <v>355</v>
      </c>
      <c r="G161" s="1" t="s">
        <v>347</v>
      </c>
      <c r="H161" s="1" t="s">
        <v>326</v>
      </c>
      <c r="I161" s="15" t="s">
        <v>68</v>
      </c>
      <c r="J161" s="1" t="str">
        <f t="shared" si="16"/>
        <v>08</v>
      </c>
      <c r="K161" s="1" t="str">
        <f t="shared" si="17"/>
        <v>30</v>
      </c>
      <c r="L161" s="1" t="str">
        <f t="shared" si="18"/>
        <v>23</v>
      </c>
      <c r="M161" s="1" t="str">
        <f t="shared" si="19"/>
        <v>34</v>
      </c>
      <c r="N161" s="1" t="str">
        <f t="shared" si="20"/>
        <v>59</v>
      </c>
      <c r="O161" s="1" t="str">
        <f t="shared" si="21"/>
        <v>54</v>
      </c>
      <c r="P161" s="2">
        <f t="shared" si="22"/>
        <v>-8.506388888888889</v>
      </c>
      <c r="Q161" s="2">
        <f t="shared" si="23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356</v>
      </c>
      <c r="F162" s="7" t="s">
        <v>357</v>
      </c>
      <c r="G162" s="1" t="s">
        <v>347</v>
      </c>
      <c r="H162" s="1" t="s">
        <v>326</v>
      </c>
      <c r="I162" s="15" t="s">
        <v>68</v>
      </c>
      <c r="J162" s="1" t="str">
        <f t="shared" si="16"/>
        <v>08</v>
      </c>
      <c r="K162" s="1" t="str">
        <f t="shared" si="17"/>
        <v>30</v>
      </c>
      <c r="L162" s="1" t="str">
        <f t="shared" si="18"/>
        <v>21</v>
      </c>
      <c r="M162" s="1" t="str">
        <f t="shared" si="19"/>
        <v>34</v>
      </c>
      <c r="N162" s="1" t="str">
        <f t="shared" si="20"/>
        <v>59</v>
      </c>
      <c r="O162" s="1" t="str">
        <f t="shared" si="21"/>
        <v>52</v>
      </c>
      <c r="P162" s="2">
        <f t="shared" si="22"/>
        <v>-8.5058333333333334</v>
      </c>
      <c r="Q162" s="2">
        <f t="shared" si="23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358</v>
      </c>
      <c r="F163" s="7" t="s">
        <v>357</v>
      </c>
      <c r="G163" s="1" t="s">
        <v>347</v>
      </c>
      <c r="H163" s="1" t="s">
        <v>326</v>
      </c>
      <c r="I163" s="15" t="s">
        <v>68</v>
      </c>
      <c r="J163" s="1" t="str">
        <f t="shared" si="16"/>
        <v>08</v>
      </c>
      <c r="K163" s="1" t="str">
        <f t="shared" si="17"/>
        <v>30</v>
      </c>
      <c r="L163" s="1" t="str">
        <f t="shared" si="18"/>
        <v>24</v>
      </c>
      <c r="M163" s="1" t="str">
        <f t="shared" si="19"/>
        <v>34</v>
      </c>
      <c r="N163" s="1" t="str">
        <f t="shared" si="20"/>
        <v>59</v>
      </c>
      <c r="O163" s="1" t="str">
        <f t="shared" si="21"/>
        <v>52</v>
      </c>
      <c r="P163" s="2">
        <f t="shared" si="22"/>
        <v>-8.5066666666666659</v>
      </c>
      <c r="Q163" s="2">
        <f t="shared" si="23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345</v>
      </c>
      <c r="F164" s="7" t="s">
        <v>353</v>
      </c>
      <c r="G164" s="1" t="s">
        <v>347</v>
      </c>
      <c r="H164" s="1" t="s">
        <v>326</v>
      </c>
      <c r="I164" s="15" t="s">
        <v>68</v>
      </c>
      <c r="J164" s="1" t="str">
        <f t="shared" si="16"/>
        <v>08</v>
      </c>
      <c r="K164" s="1" t="str">
        <f t="shared" si="17"/>
        <v>30</v>
      </c>
      <c r="L164" s="1" t="str">
        <f t="shared" si="18"/>
        <v>41</v>
      </c>
      <c r="M164" s="1" t="str">
        <f t="shared" si="19"/>
        <v>34</v>
      </c>
      <c r="N164" s="1" t="str">
        <f t="shared" si="20"/>
        <v>59</v>
      </c>
      <c r="O164" s="1" t="str">
        <f t="shared" si="21"/>
        <v>56</v>
      </c>
      <c r="P164" s="2">
        <f t="shared" si="22"/>
        <v>-8.511388888888888</v>
      </c>
      <c r="Q164" s="2">
        <f t="shared" si="23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359</v>
      </c>
      <c r="F165" s="7" t="s">
        <v>360</v>
      </c>
      <c r="G165" s="1" t="s">
        <v>347</v>
      </c>
      <c r="H165" s="1" t="s">
        <v>326</v>
      </c>
      <c r="I165" s="15" t="s">
        <v>68</v>
      </c>
      <c r="J165" s="1" t="str">
        <f t="shared" si="16"/>
        <v>08</v>
      </c>
      <c r="K165" s="1" t="str">
        <f t="shared" si="17"/>
        <v>30</v>
      </c>
      <c r="L165" s="1" t="str">
        <f t="shared" si="18"/>
        <v>42</v>
      </c>
      <c r="M165" s="1" t="str">
        <f t="shared" si="19"/>
        <v>34</v>
      </c>
      <c r="N165" s="1" t="str">
        <f t="shared" si="20"/>
        <v>59</v>
      </c>
      <c r="O165" s="1" t="str">
        <f t="shared" si="21"/>
        <v>55</v>
      </c>
      <c r="P165" s="2">
        <f t="shared" si="22"/>
        <v>-8.5116666666666667</v>
      </c>
      <c r="Q165" s="2">
        <f t="shared" si="23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345</v>
      </c>
      <c r="F166" s="7" t="s">
        <v>361</v>
      </c>
      <c r="G166" s="1" t="s">
        <v>347</v>
      </c>
      <c r="H166" s="1" t="s">
        <v>326</v>
      </c>
      <c r="I166" s="15" t="s">
        <v>68</v>
      </c>
      <c r="J166" s="1" t="str">
        <f t="shared" si="16"/>
        <v>08</v>
      </c>
      <c r="K166" s="1" t="str">
        <f t="shared" si="17"/>
        <v>30</v>
      </c>
      <c r="L166" s="1" t="str">
        <f t="shared" si="18"/>
        <v>41</v>
      </c>
      <c r="M166" s="1" t="str">
        <f t="shared" si="19"/>
        <v>34</v>
      </c>
      <c r="N166" s="1" t="str">
        <f t="shared" si="20"/>
        <v>59</v>
      </c>
      <c r="O166" s="1" t="str">
        <f t="shared" si="21"/>
        <v>53</v>
      </c>
      <c r="P166" s="2">
        <f t="shared" si="22"/>
        <v>-8.511388888888888</v>
      </c>
      <c r="Q166" s="2">
        <f t="shared" si="23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359</v>
      </c>
      <c r="F167" s="7" t="s">
        <v>361</v>
      </c>
      <c r="G167" s="1" t="s">
        <v>347</v>
      </c>
      <c r="H167" s="1" t="s">
        <v>326</v>
      </c>
      <c r="I167" s="15" t="s">
        <v>68</v>
      </c>
      <c r="J167" s="1" t="str">
        <f t="shared" si="16"/>
        <v>08</v>
      </c>
      <c r="K167" s="1" t="str">
        <f t="shared" si="17"/>
        <v>30</v>
      </c>
      <c r="L167" s="1" t="str">
        <f t="shared" si="18"/>
        <v>42</v>
      </c>
      <c r="M167" s="1" t="str">
        <f t="shared" si="19"/>
        <v>34</v>
      </c>
      <c r="N167" s="1" t="str">
        <f t="shared" si="20"/>
        <v>59</v>
      </c>
      <c r="O167" s="1" t="str">
        <f t="shared" si="21"/>
        <v>53</v>
      </c>
      <c r="P167" s="2">
        <f t="shared" si="22"/>
        <v>-8.5116666666666667</v>
      </c>
      <c r="Q167" s="2">
        <f t="shared" si="23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345</v>
      </c>
      <c r="F168" s="7" t="s">
        <v>346</v>
      </c>
      <c r="G168" s="1" t="s">
        <v>347</v>
      </c>
      <c r="H168" s="1" t="s">
        <v>326</v>
      </c>
      <c r="I168" s="15" t="s">
        <v>68</v>
      </c>
      <c r="J168" s="1" t="str">
        <f t="shared" si="16"/>
        <v>08</v>
      </c>
      <c r="K168" s="1" t="str">
        <f t="shared" si="17"/>
        <v>30</v>
      </c>
      <c r="L168" s="1" t="str">
        <f t="shared" si="18"/>
        <v>41</v>
      </c>
      <c r="M168" s="1" t="str">
        <f t="shared" si="19"/>
        <v>35</v>
      </c>
      <c r="N168" s="1" t="str">
        <f t="shared" si="20"/>
        <v>00</v>
      </c>
      <c r="O168" s="1" t="str">
        <f t="shared" si="21"/>
        <v>02</v>
      </c>
      <c r="P168" s="2">
        <f t="shared" si="22"/>
        <v>-8.511388888888888</v>
      </c>
      <c r="Q168" s="2">
        <f t="shared" si="23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348</v>
      </c>
      <c r="F169" s="7" t="s">
        <v>349</v>
      </c>
      <c r="G169" s="1" t="s">
        <v>347</v>
      </c>
      <c r="H169" s="1" t="s">
        <v>326</v>
      </c>
      <c r="I169" s="15" t="s">
        <v>68</v>
      </c>
      <c r="J169" s="1" t="str">
        <f t="shared" si="16"/>
        <v>08</v>
      </c>
      <c r="K169" s="1" t="str">
        <f t="shared" si="17"/>
        <v>30</v>
      </c>
      <c r="L169" s="1" t="str">
        <f t="shared" si="18"/>
        <v>31</v>
      </c>
      <c r="M169" s="1" t="str">
        <f t="shared" si="19"/>
        <v>34</v>
      </c>
      <c r="N169" s="1" t="str">
        <f t="shared" si="20"/>
        <v>59</v>
      </c>
      <c r="O169" s="1" t="str">
        <f t="shared" si="21"/>
        <v>58</v>
      </c>
      <c r="P169" s="2">
        <f t="shared" si="22"/>
        <v>-8.5086111111111116</v>
      </c>
      <c r="Q169" s="2">
        <f t="shared" si="23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350</v>
      </c>
      <c r="F170" s="7" t="s">
        <v>351</v>
      </c>
      <c r="G170" s="1" t="s">
        <v>347</v>
      </c>
      <c r="H170" s="1" t="s">
        <v>326</v>
      </c>
      <c r="I170" s="15" t="s">
        <v>68</v>
      </c>
      <c r="J170" s="1" t="str">
        <f t="shared" si="16"/>
        <v>08</v>
      </c>
      <c r="K170" s="1" t="str">
        <f t="shared" si="17"/>
        <v>30</v>
      </c>
      <c r="L170" s="1" t="str">
        <f t="shared" si="18"/>
        <v>23</v>
      </c>
      <c r="M170" s="1" t="str">
        <f t="shared" si="19"/>
        <v>34</v>
      </c>
      <c r="N170" s="1" t="str">
        <f t="shared" si="20"/>
        <v>59</v>
      </c>
      <c r="O170" s="1" t="str">
        <f t="shared" si="21"/>
        <v>57</v>
      </c>
      <c r="P170" s="2">
        <f t="shared" si="22"/>
        <v>-8.506388888888889</v>
      </c>
      <c r="Q170" s="2">
        <f t="shared" si="23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352</v>
      </c>
      <c r="F171" s="7" t="s">
        <v>353</v>
      </c>
      <c r="G171" s="1" t="s">
        <v>347</v>
      </c>
      <c r="H171" s="1" t="s">
        <v>326</v>
      </c>
      <c r="I171" s="15" t="s">
        <v>68</v>
      </c>
      <c r="J171" s="1" t="str">
        <f t="shared" si="16"/>
        <v>08</v>
      </c>
      <c r="K171" s="1" t="str">
        <f t="shared" si="17"/>
        <v>30</v>
      </c>
      <c r="L171" s="1" t="str">
        <f t="shared" si="18"/>
        <v>32</v>
      </c>
      <c r="M171" s="1" t="str">
        <f t="shared" si="19"/>
        <v>34</v>
      </c>
      <c r="N171" s="1" t="str">
        <f t="shared" si="20"/>
        <v>59</v>
      </c>
      <c r="O171" s="1" t="str">
        <f t="shared" si="21"/>
        <v>56</v>
      </c>
      <c r="P171" s="2">
        <f t="shared" si="22"/>
        <v>-8.5088888888888885</v>
      </c>
      <c r="Q171" s="2">
        <f t="shared" si="23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354</v>
      </c>
      <c r="F172" s="7" t="s">
        <v>355</v>
      </c>
      <c r="G172" s="1" t="s">
        <v>347</v>
      </c>
      <c r="H172" s="1" t="s">
        <v>326</v>
      </c>
      <c r="I172" s="15" t="s">
        <v>68</v>
      </c>
      <c r="J172" s="1" t="str">
        <f t="shared" si="16"/>
        <v>08</v>
      </c>
      <c r="K172" s="1" t="str">
        <f t="shared" si="17"/>
        <v>30</v>
      </c>
      <c r="L172" s="1" t="str">
        <f t="shared" si="18"/>
        <v>25</v>
      </c>
      <c r="M172" s="1" t="str">
        <f t="shared" si="19"/>
        <v>34</v>
      </c>
      <c r="N172" s="1" t="str">
        <f t="shared" si="20"/>
        <v>59</v>
      </c>
      <c r="O172" s="1" t="str">
        <f t="shared" si="21"/>
        <v>54</v>
      </c>
      <c r="P172" s="2">
        <f t="shared" si="22"/>
        <v>-8.5069444444444446</v>
      </c>
      <c r="Q172" s="2">
        <f t="shared" si="23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350</v>
      </c>
      <c r="F173" s="7" t="s">
        <v>355</v>
      </c>
      <c r="G173" s="1" t="s">
        <v>347</v>
      </c>
      <c r="H173" s="1" t="s">
        <v>326</v>
      </c>
      <c r="I173" s="15" t="s">
        <v>68</v>
      </c>
      <c r="J173" s="1" t="str">
        <f t="shared" si="16"/>
        <v>08</v>
      </c>
      <c r="K173" s="1" t="str">
        <f t="shared" si="17"/>
        <v>30</v>
      </c>
      <c r="L173" s="1" t="str">
        <f t="shared" si="18"/>
        <v>23</v>
      </c>
      <c r="M173" s="1" t="str">
        <f t="shared" si="19"/>
        <v>34</v>
      </c>
      <c r="N173" s="1" t="str">
        <f t="shared" si="20"/>
        <v>59</v>
      </c>
      <c r="O173" s="1" t="str">
        <f t="shared" si="21"/>
        <v>54</v>
      </c>
      <c r="P173" s="2">
        <f t="shared" si="22"/>
        <v>-8.506388888888889</v>
      </c>
      <c r="Q173" s="2">
        <f t="shared" si="23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356</v>
      </c>
      <c r="F174" s="7" t="s">
        <v>357</v>
      </c>
      <c r="G174" s="1" t="s">
        <v>347</v>
      </c>
      <c r="H174" s="1" t="s">
        <v>326</v>
      </c>
      <c r="I174" s="15" t="s">
        <v>68</v>
      </c>
      <c r="J174" s="1" t="str">
        <f t="shared" si="16"/>
        <v>08</v>
      </c>
      <c r="K174" s="1" t="str">
        <f t="shared" si="17"/>
        <v>30</v>
      </c>
      <c r="L174" s="1" t="str">
        <f t="shared" si="18"/>
        <v>21</v>
      </c>
      <c r="M174" s="1" t="str">
        <f t="shared" si="19"/>
        <v>34</v>
      </c>
      <c r="N174" s="1" t="str">
        <f t="shared" si="20"/>
        <v>59</v>
      </c>
      <c r="O174" s="1" t="str">
        <f t="shared" si="21"/>
        <v>52</v>
      </c>
      <c r="P174" s="2">
        <f t="shared" si="22"/>
        <v>-8.5058333333333334</v>
      </c>
      <c r="Q174" s="2">
        <f t="shared" si="23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358</v>
      </c>
      <c r="F175" s="7" t="s">
        <v>357</v>
      </c>
      <c r="G175" s="1" t="s">
        <v>347</v>
      </c>
      <c r="H175" s="1" t="s">
        <v>326</v>
      </c>
      <c r="I175" s="15" t="s">
        <v>68</v>
      </c>
      <c r="J175" s="1" t="str">
        <f t="shared" si="16"/>
        <v>08</v>
      </c>
      <c r="K175" s="1" t="str">
        <f t="shared" si="17"/>
        <v>30</v>
      </c>
      <c r="L175" s="1" t="str">
        <f t="shared" si="18"/>
        <v>24</v>
      </c>
      <c r="M175" s="1" t="str">
        <f t="shared" si="19"/>
        <v>34</v>
      </c>
      <c r="N175" s="1" t="str">
        <f t="shared" si="20"/>
        <v>59</v>
      </c>
      <c r="O175" s="1" t="str">
        <f t="shared" si="21"/>
        <v>52</v>
      </c>
      <c r="P175" s="2">
        <f t="shared" si="22"/>
        <v>-8.5066666666666659</v>
      </c>
      <c r="Q175" s="2">
        <f t="shared" si="23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345</v>
      </c>
      <c r="F176" s="7" t="s">
        <v>353</v>
      </c>
      <c r="G176" s="1" t="s">
        <v>347</v>
      </c>
      <c r="H176" s="1" t="s">
        <v>326</v>
      </c>
      <c r="I176" s="15" t="s">
        <v>68</v>
      </c>
      <c r="J176" s="1" t="str">
        <f t="shared" si="16"/>
        <v>08</v>
      </c>
      <c r="K176" s="1" t="str">
        <f t="shared" si="17"/>
        <v>30</v>
      </c>
      <c r="L176" s="1" t="str">
        <f t="shared" si="18"/>
        <v>41</v>
      </c>
      <c r="M176" s="1" t="str">
        <f t="shared" si="19"/>
        <v>34</v>
      </c>
      <c r="N176" s="1" t="str">
        <f t="shared" si="20"/>
        <v>59</v>
      </c>
      <c r="O176" s="1" t="str">
        <f t="shared" si="21"/>
        <v>56</v>
      </c>
      <c r="P176" s="2">
        <f t="shared" si="22"/>
        <v>-8.511388888888888</v>
      </c>
      <c r="Q176" s="2">
        <f t="shared" si="23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359</v>
      </c>
      <c r="F177" s="7" t="s">
        <v>360</v>
      </c>
      <c r="G177" s="1" t="s">
        <v>347</v>
      </c>
      <c r="H177" s="1" t="s">
        <v>326</v>
      </c>
      <c r="I177" s="15" t="s">
        <v>68</v>
      </c>
      <c r="J177" s="1" t="str">
        <f t="shared" si="16"/>
        <v>08</v>
      </c>
      <c r="K177" s="1" t="str">
        <f t="shared" si="17"/>
        <v>30</v>
      </c>
      <c r="L177" s="1" t="str">
        <f t="shared" si="18"/>
        <v>42</v>
      </c>
      <c r="M177" s="1" t="str">
        <f t="shared" si="19"/>
        <v>34</v>
      </c>
      <c r="N177" s="1" t="str">
        <f t="shared" si="20"/>
        <v>59</v>
      </c>
      <c r="O177" s="1" t="str">
        <f t="shared" si="21"/>
        <v>55</v>
      </c>
      <c r="P177" s="2">
        <f t="shared" si="22"/>
        <v>-8.5116666666666667</v>
      </c>
      <c r="Q177" s="2">
        <f t="shared" si="23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345</v>
      </c>
      <c r="F178" s="7" t="s">
        <v>361</v>
      </c>
      <c r="G178" s="1" t="s">
        <v>347</v>
      </c>
      <c r="H178" s="1" t="s">
        <v>326</v>
      </c>
      <c r="I178" s="15" t="s">
        <v>68</v>
      </c>
      <c r="J178" s="1" t="str">
        <f t="shared" si="16"/>
        <v>08</v>
      </c>
      <c r="K178" s="1" t="str">
        <f t="shared" si="17"/>
        <v>30</v>
      </c>
      <c r="L178" s="1" t="str">
        <f t="shared" si="18"/>
        <v>41</v>
      </c>
      <c r="M178" s="1" t="str">
        <f t="shared" si="19"/>
        <v>34</v>
      </c>
      <c r="N178" s="1" t="str">
        <f t="shared" si="20"/>
        <v>59</v>
      </c>
      <c r="O178" s="1" t="str">
        <f t="shared" si="21"/>
        <v>53</v>
      </c>
      <c r="P178" s="2">
        <f t="shared" si="22"/>
        <v>-8.511388888888888</v>
      </c>
      <c r="Q178" s="2">
        <f t="shared" si="23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359</v>
      </c>
      <c r="F179" s="7" t="s">
        <v>361</v>
      </c>
      <c r="G179" s="1" t="s">
        <v>347</v>
      </c>
      <c r="H179" s="1" t="s">
        <v>326</v>
      </c>
      <c r="I179" s="15" t="s">
        <v>68</v>
      </c>
      <c r="J179" s="1" t="str">
        <f t="shared" si="16"/>
        <v>08</v>
      </c>
      <c r="K179" s="1" t="str">
        <f t="shared" si="17"/>
        <v>30</v>
      </c>
      <c r="L179" s="1" t="str">
        <f t="shared" si="18"/>
        <v>42</v>
      </c>
      <c r="M179" s="1" t="str">
        <f t="shared" si="19"/>
        <v>34</v>
      </c>
      <c r="N179" s="1" t="str">
        <f t="shared" si="20"/>
        <v>59</v>
      </c>
      <c r="O179" s="1" t="str">
        <f t="shared" si="21"/>
        <v>53</v>
      </c>
      <c r="P179" s="2">
        <f t="shared" si="22"/>
        <v>-8.5116666666666667</v>
      </c>
      <c r="Q179" s="2">
        <f t="shared" si="23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362</v>
      </c>
      <c r="F180" s="7" t="s">
        <v>363</v>
      </c>
      <c r="G180" s="7" t="s">
        <v>364</v>
      </c>
      <c r="H180" s="1" t="s">
        <v>326</v>
      </c>
      <c r="I180" s="1" t="s">
        <v>365</v>
      </c>
      <c r="J180" s="1" t="str">
        <f t="shared" si="16"/>
        <v>16</v>
      </c>
      <c r="K180" s="1" t="str">
        <f t="shared" si="17"/>
        <v>24</v>
      </c>
      <c r="L180" s="1" t="str">
        <f t="shared" si="18"/>
        <v>18</v>
      </c>
      <c r="M180" s="1" t="str">
        <f t="shared" si="19"/>
        <v>88</v>
      </c>
      <c r="N180" s="1" t="str">
        <f t="shared" si="20"/>
        <v>10</v>
      </c>
      <c r="O180" s="1" t="str">
        <f t="shared" si="21"/>
        <v>42</v>
      </c>
      <c r="P180" s="2">
        <f t="shared" si="22"/>
        <v>16.405000000000001</v>
      </c>
      <c r="Q180" s="2">
        <f t="shared" si="23"/>
        <v>-88.178333333333327</v>
      </c>
      <c r="R180" s="16" t="s">
        <v>366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367</v>
      </c>
      <c r="F181" s="7" t="s">
        <v>368</v>
      </c>
      <c r="G181" s="7" t="s">
        <v>364</v>
      </c>
      <c r="H181" s="1" t="s">
        <v>326</v>
      </c>
      <c r="I181" s="1" t="s">
        <v>369</v>
      </c>
      <c r="J181" s="1" t="str">
        <f t="shared" si="16"/>
        <v>19</v>
      </c>
      <c r="K181" s="1" t="str">
        <f t="shared" si="17"/>
        <v>09</v>
      </c>
      <c r="L181" s="1" t="str">
        <f t="shared" si="18"/>
        <v>17</v>
      </c>
      <c r="M181" s="1" t="str">
        <f t="shared" si="19"/>
        <v>87</v>
      </c>
      <c r="N181" s="1" t="str">
        <f t="shared" si="20"/>
        <v>11</v>
      </c>
      <c r="O181" s="1" t="str">
        <f t="shared" si="21"/>
        <v>43</v>
      </c>
      <c r="P181" s="2">
        <f t="shared" si="22"/>
        <v>19.154722222222222</v>
      </c>
      <c r="Q181" s="2">
        <f t="shared" si="23"/>
        <v>-87.195277777777775</v>
      </c>
      <c r="R181" s="16" t="s">
        <v>366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370</v>
      </c>
      <c r="F182" s="7" t="s">
        <v>371</v>
      </c>
      <c r="G182" s="7" t="s">
        <v>364</v>
      </c>
      <c r="H182" s="1" t="s">
        <v>326</v>
      </c>
      <c r="I182" s="1" t="s">
        <v>372</v>
      </c>
      <c r="J182" s="1" t="str">
        <f t="shared" si="16"/>
        <v>21</v>
      </c>
      <c r="K182" s="1" t="str">
        <f t="shared" si="17"/>
        <v>53</v>
      </c>
      <c r="L182" s="1" t="str">
        <f t="shared" si="18"/>
        <v>01</v>
      </c>
      <c r="M182" s="1" t="str">
        <f t="shared" si="19"/>
        <v>81</v>
      </c>
      <c r="N182" s="1" t="str">
        <f t="shared" si="20"/>
        <v>42</v>
      </c>
      <c r="O182" s="1" t="str">
        <f t="shared" si="21"/>
        <v>21</v>
      </c>
      <c r="P182" s="2">
        <f t="shared" si="22"/>
        <v>21.883611111111112</v>
      </c>
      <c r="Q182" s="2">
        <f t="shared" si="23"/>
        <v>-81.705833333333331</v>
      </c>
      <c r="R182" s="16" t="s">
        <v>366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373</v>
      </c>
      <c r="F183" s="7" t="s">
        <v>374</v>
      </c>
      <c r="G183" s="7" t="s">
        <v>364</v>
      </c>
      <c r="H183" s="1" t="s">
        <v>326</v>
      </c>
      <c r="I183" s="1" t="s">
        <v>375</v>
      </c>
      <c r="J183" s="1" t="str">
        <f t="shared" si="16"/>
        <v>17</v>
      </c>
      <c r="K183" s="1" t="str">
        <f t="shared" si="17"/>
        <v>46</v>
      </c>
      <c r="L183" s="1" t="str">
        <f t="shared" si="18"/>
        <v>53</v>
      </c>
      <c r="M183" s="1" t="str">
        <f t="shared" si="19"/>
        <v>65</v>
      </c>
      <c r="N183" s="1" t="str">
        <f t="shared" si="20"/>
        <v>07</v>
      </c>
      <c r="O183" s="1" t="str">
        <f t="shared" si="21"/>
        <v>50</v>
      </c>
      <c r="P183" s="2">
        <f t="shared" si="22"/>
        <v>17.781388888888888</v>
      </c>
      <c r="Q183" s="2">
        <f t="shared" si="23"/>
        <v>-65.13055555555556</v>
      </c>
      <c r="R183" s="16" t="s">
        <v>366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376</v>
      </c>
      <c r="F184" s="7" t="s">
        <v>377</v>
      </c>
      <c r="G184" s="7" t="s">
        <v>364</v>
      </c>
      <c r="H184" s="1" t="s">
        <v>326</v>
      </c>
      <c r="I184" s="1" t="s">
        <v>378</v>
      </c>
      <c r="J184" s="1" t="str">
        <f t="shared" si="16"/>
        <v>15</v>
      </c>
      <c r="K184" s="1" t="str">
        <f t="shared" si="17"/>
        <v>49</v>
      </c>
      <c r="L184" s="1" t="str">
        <f t="shared" si="18"/>
        <v>37</v>
      </c>
      <c r="M184" s="1" t="str">
        <f t="shared" si="19"/>
        <v>62</v>
      </c>
      <c r="N184" s="1" t="str">
        <f t="shared" si="20"/>
        <v>10</v>
      </c>
      <c r="O184" s="1" t="str">
        <f t="shared" si="21"/>
        <v>49</v>
      </c>
      <c r="P184" s="2">
        <f t="shared" si="22"/>
        <v>15.826944444444445</v>
      </c>
      <c r="Q184" s="2">
        <f t="shared" si="23"/>
        <v>-62.180277777777775</v>
      </c>
      <c r="R184" s="16" t="s">
        <v>366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379</v>
      </c>
      <c r="F185" s="7" t="s">
        <v>380</v>
      </c>
      <c r="G185" s="7" t="s">
        <v>364</v>
      </c>
      <c r="H185" s="1" t="s">
        <v>326</v>
      </c>
      <c r="I185" s="1" t="s">
        <v>381</v>
      </c>
      <c r="J185" s="1" t="str">
        <f t="shared" si="16"/>
        <v>24</v>
      </c>
      <c r="K185" s="1" t="str">
        <f t="shared" si="17"/>
        <v>28</v>
      </c>
      <c r="L185" s="1" t="str">
        <f t="shared" si="18"/>
        <v>24</v>
      </c>
      <c r="M185" s="1" t="str">
        <f t="shared" si="19"/>
        <v>81</v>
      </c>
      <c r="N185" s="1" t="str">
        <f t="shared" si="20"/>
        <v>03</v>
      </c>
      <c r="O185" s="1" t="str">
        <f t="shared" si="21"/>
        <v>19</v>
      </c>
      <c r="P185" s="2">
        <f t="shared" si="22"/>
        <v>24.473333333333333</v>
      </c>
      <c r="Q185" s="2">
        <f t="shared" si="23"/>
        <v>-81.055277777777775</v>
      </c>
      <c r="R185" s="16" t="s">
        <v>366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382</v>
      </c>
      <c r="F186" s="7" t="s">
        <v>383</v>
      </c>
      <c r="G186" s="7" t="s">
        <v>384</v>
      </c>
      <c r="H186" s="1" t="s">
        <v>326</v>
      </c>
      <c r="I186" s="7" t="s">
        <v>385</v>
      </c>
      <c r="J186" s="1" t="str">
        <f t="shared" si="16"/>
        <v>12</v>
      </c>
      <c r="K186" s="1" t="str">
        <f t="shared" si="17"/>
        <v>11</v>
      </c>
      <c r="L186" s="1" t="str">
        <f t="shared" si="18"/>
        <v>35</v>
      </c>
      <c r="M186" s="1" t="str">
        <f t="shared" si="19"/>
        <v>83</v>
      </c>
      <c r="N186" s="1" t="str">
        <f t="shared" si="20"/>
        <v>25</v>
      </c>
      <c r="O186" s="1" t="str">
        <f t="shared" si="21"/>
        <v>46</v>
      </c>
      <c r="P186" s="2">
        <f t="shared" si="22"/>
        <v>12.193055555555556</v>
      </c>
      <c r="Q186" s="2">
        <f t="shared" si="23"/>
        <v>-83.429444444444442</v>
      </c>
      <c r="R186" s="16" t="s">
        <v>386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387</v>
      </c>
      <c r="F187" s="7" t="s">
        <v>388</v>
      </c>
      <c r="G187" s="7" t="s">
        <v>384</v>
      </c>
      <c r="H187" s="1" t="s">
        <v>326</v>
      </c>
      <c r="I187" s="7" t="s">
        <v>385</v>
      </c>
      <c r="J187" s="1" t="str">
        <f t="shared" si="16"/>
        <v>15</v>
      </c>
      <c r="K187" s="1" t="str">
        <f t="shared" si="17"/>
        <v>27</v>
      </c>
      <c r="L187" s="1" t="str">
        <f t="shared" si="18"/>
        <v>28</v>
      </c>
      <c r="M187" s="1" t="str">
        <f t="shared" si="19"/>
        <v>83</v>
      </c>
      <c r="N187" s="1" t="str">
        <f t="shared" si="20"/>
        <v>42</v>
      </c>
      <c r="O187" s="1" t="str">
        <f t="shared" si="21"/>
        <v>30</v>
      </c>
      <c r="P187" s="2">
        <f t="shared" si="22"/>
        <v>15.457777777777778</v>
      </c>
      <c r="Q187" s="2">
        <f t="shared" si="23"/>
        <v>-83.708333333333329</v>
      </c>
      <c r="R187" s="16" t="s">
        <v>386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389</v>
      </c>
      <c r="F188" s="7" t="s">
        <v>390</v>
      </c>
      <c r="G188" s="7" t="s">
        <v>384</v>
      </c>
      <c r="H188" s="1" t="s">
        <v>326</v>
      </c>
      <c r="I188" s="7" t="s">
        <v>385</v>
      </c>
      <c r="J188" s="1" t="str">
        <f t="shared" ref="J188:J251" si="24">MID(E188,1,FIND("°",E188,1)-1)</f>
        <v>16</v>
      </c>
      <c r="K188" s="1" t="str">
        <f t="shared" ref="K188:K251" si="25">MID(E188,FIND("°",E188,1)+1,(FIND("′",E188,1)-FIND("°",E188,1))-1)</f>
        <v>06</v>
      </c>
      <c r="L188" s="1" t="str">
        <f t="shared" ref="L188:L251" si="26">MID(E188,FIND("′",E188,1)+1,(FIND("″",E188,1)-FIND("′",E188,1))-1)</f>
        <v>27</v>
      </c>
      <c r="M188" s="1" t="str">
        <f t="shared" ref="M188:M251" si="27">MID(F188,1,FIND("°",F188,1)-1)</f>
        <v>86</v>
      </c>
      <c r="N188" s="1" t="str">
        <f t="shared" ref="N188:N251" si="28">MID(F188,FIND("°",F188,1)+1,(FIND("′",F188,1)-FIND("°",F188,1))-1)</f>
        <v>00</v>
      </c>
      <c r="O188" s="1" t="str">
        <f t="shared" ref="O188:O251" si="29">MID(F188,FIND("′",F188,1)+1,(FIND("″",F188,1)-FIND("′",F188,1))-1)</f>
        <v>39</v>
      </c>
      <c r="P188" s="2">
        <f t="shared" ref="P188:P251" si="30">((((L188/60)+K188)/60)+J188)*IF(C188="S",-1, 1)</f>
        <v>16.107500000000002</v>
      </c>
      <c r="Q188" s="2">
        <f t="shared" ref="Q188:Q233" si="31">((((O188/60)+N188)/60)+M188)*IF(D188="W",-1, 1)</f>
        <v>-86.010833333333338</v>
      </c>
      <c r="R188" s="16" t="s">
        <v>386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391</v>
      </c>
      <c r="F189" s="7" t="s">
        <v>392</v>
      </c>
      <c r="G189" s="7" t="s">
        <v>384</v>
      </c>
      <c r="H189" s="1" t="s">
        <v>326</v>
      </c>
      <c r="I189" s="7" t="s">
        <v>385</v>
      </c>
      <c r="J189" s="1" t="str">
        <f t="shared" si="24"/>
        <v>15</v>
      </c>
      <c r="K189" s="1" t="str">
        <f t="shared" si="25"/>
        <v>58</v>
      </c>
      <c r="L189" s="1" t="str">
        <f t="shared" si="26"/>
        <v>47</v>
      </c>
      <c r="M189" s="1" t="str">
        <f t="shared" si="27"/>
        <v>87</v>
      </c>
      <c r="N189" s="1" t="str">
        <f t="shared" si="28"/>
        <v>42</v>
      </c>
      <c r="O189" s="1" t="str">
        <f t="shared" si="29"/>
        <v>42</v>
      </c>
      <c r="P189" s="2">
        <f t="shared" si="30"/>
        <v>15.979722222222222</v>
      </c>
      <c r="Q189" s="2">
        <f t="shared" si="31"/>
        <v>-87.711666666666673</v>
      </c>
      <c r="R189" s="16" t="s">
        <v>386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393</v>
      </c>
      <c r="F190" s="7" t="s">
        <v>394</v>
      </c>
      <c r="G190" s="7" t="s">
        <v>384</v>
      </c>
      <c r="H190" s="1" t="s">
        <v>326</v>
      </c>
      <c r="I190" s="7" t="s">
        <v>385</v>
      </c>
      <c r="J190" s="1" t="str">
        <f t="shared" si="24"/>
        <v>16</v>
      </c>
      <c r="K190" s="1" t="str">
        <f t="shared" si="25"/>
        <v>54</v>
      </c>
      <c r="L190" s="1" t="str">
        <f t="shared" si="26"/>
        <v>33</v>
      </c>
      <c r="M190" s="1" t="str">
        <f t="shared" si="27"/>
        <v>88</v>
      </c>
      <c r="N190" s="1" t="str">
        <f t="shared" si="28"/>
        <v>02</v>
      </c>
      <c r="O190" s="1" t="str">
        <f t="shared" si="29"/>
        <v>54</v>
      </c>
      <c r="P190" s="2">
        <f t="shared" si="30"/>
        <v>16.909166666666668</v>
      </c>
      <c r="Q190" s="2">
        <f t="shared" si="31"/>
        <v>-88.048333333333332</v>
      </c>
      <c r="R190" s="16" t="s">
        <v>386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395</v>
      </c>
      <c r="F191" s="7" t="s">
        <v>396</v>
      </c>
      <c r="G191" s="7" t="s">
        <v>384</v>
      </c>
      <c r="H191" s="1" t="s">
        <v>326</v>
      </c>
      <c r="I191" s="7" t="s">
        <v>397</v>
      </c>
      <c r="J191" s="1" t="str">
        <f t="shared" si="24"/>
        <v>21</v>
      </c>
      <c r="K191" s="1" t="str">
        <f t="shared" si="25"/>
        <v>36</v>
      </c>
      <c r="L191" s="1" t="str">
        <f t="shared" si="26"/>
        <v>45</v>
      </c>
      <c r="M191" s="1" t="str">
        <f t="shared" si="27"/>
        <v>89</v>
      </c>
      <c r="N191" s="1" t="str">
        <f t="shared" si="28"/>
        <v>31</v>
      </c>
      <c r="O191" s="1" t="str">
        <f t="shared" si="29"/>
        <v>40</v>
      </c>
      <c r="P191" s="2">
        <f t="shared" si="30"/>
        <v>21.612500000000001</v>
      </c>
      <c r="Q191" s="2">
        <f t="shared" si="31"/>
        <v>-89.527777777777771</v>
      </c>
      <c r="R191" s="16" t="s">
        <v>386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398</v>
      </c>
      <c r="F192" s="7" t="s">
        <v>399</v>
      </c>
      <c r="G192" s="7" t="s">
        <v>384</v>
      </c>
      <c r="H192" s="1" t="s">
        <v>326</v>
      </c>
      <c r="I192" s="7" t="s">
        <v>397</v>
      </c>
      <c r="J192" s="1" t="str">
        <f t="shared" si="24"/>
        <v>19</v>
      </c>
      <c r="K192" s="1" t="str">
        <f t="shared" si="25"/>
        <v>16</v>
      </c>
      <c r="L192" s="1" t="str">
        <f t="shared" si="26"/>
        <v>24</v>
      </c>
      <c r="M192" s="1" t="str">
        <f t="shared" si="27"/>
        <v>81</v>
      </c>
      <c r="N192" s="1" t="str">
        <f t="shared" si="28"/>
        <v>14</v>
      </c>
      <c r="O192" s="1" t="str">
        <f t="shared" si="29"/>
        <v>12</v>
      </c>
      <c r="P192" s="2">
        <f t="shared" si="30"/>
        <v>19.273333333333333</v>
      </c>
      <c r="Q192" s="2">
        <f t="shared" si="31"/>
        <v>-81.236666666666665</v>
      </c>
      <c r="R192" s="16" t="s">
        <v>386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400</v>
      </c>
      <c r="F193" s="7" t="s">
        <v>401</v>
      </c>
      <c r="G193" s="7" t="s">
        <v>384</v>
      </c>
      <c r="H193" s="1" t="s">
        <v>326</v>
      </c>
      <c r="I193" s="7" t="s">
        <v>397</v>
      </c>
      <c r="J193" s="1" t="str">
        <f t="shared" si="24"/>
        <v>19</v>
      </c>
      <c r="K193" s="1" t="str">
        <f t="shared" si="25"/>
        <v>40</v>
      </c>
      <c r="L193" s="1" t="str">
        <f t="shared" si="26"/>
        <v>37</v>
      </c>
      <c r="M193" s="1" t="str">
        <f t="shared" si="27"/>
        <v>80</v>
      </c>
      <c r="N193" s="1" t="str">
        <f t="shared" si="28"/>
        <v>01</v>
      </c>
      <c r="O193" s="1" t="str">
        <f t="shared" si="29"/>
        <v>17</v>
      </c>
      <c r="P193" s="2">
        <f t="shared" si="30"/>
        <v>19.676944444444445</v>
      </c>
      <c r="Q193" s="2">
        <f t="shared" si="31"/>
        <v>-80.021388888888893</v>
      </c>
      <c r="R193" s="16" t="s">
        <v>386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402</v>
      </c>
      <c r="F194" s="7" t="s">
        <v>403</v>
      </c>
      <c r="G194" s="7" t="s">
        <v>384</v>
      </c>
      <c r="H194" s="1" t="s">
        <v>326</v>
      </c>
      <c r="I194" s="7" t="s">
        <v>397</v>
      </c>
      <c r="J194" s="1" t="str">
        <f t="shared" si="24"/>
        <v>19</v>
      </c>
      <c r="K194" s="1" t="str">
        <f t="shared" si="25"/>
        <v>53</v>
      </c>
      <c r="L194" s="1" t="str">
        <f t="shared" si="26"/>
        <v>57</v>
      </c>
      <c r="M194" s="1" t="str">
        <f t="shared" si="27"/>
        <v>75</v>
      </c>
      <c r="N194" s="1" t="str">
        <f t="shared" si="28"/>
        <v>00</v>
      </c>
      <c r="O194" s="1" t="str">
        <f t="shared" si="29"/>
        <v>52</v>
      </c>
      <c r="P194" s="2">
        <f t="shared" si="30"/>
        <v>19.899166666666666</v>
      </c>
      <c r="Q194" s="2">
        <f t="shared" si="31"/>
        <v>-75.01444444444445</v>
      </c>
      <c r="R194" s="16" t="s">
        <v>386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404</v>
      </c>
      <c r="F195" s="7" t="s">
        <v>405</v>
      </c>
      <c r="G195" s="7" t="s">
        <v>384</v>
      </c>
      <c r="H195" s="1" t="s">
        <v>326</v>
      </c>
      <c r="I195" s="7" t="s">
        <v>397</v>
      </c>
      <c r="J195" s="1" t="str">
        <f t="shared" si="24"/>
        <v>18</v>
      </c>
      <c r="K195" s="1" t="str">
        <f t="shared" si="25"/>
        <v>21</v>
      </c>
      <c r="L195" s="1" t="str">
        <f t="shared" si="26"/>
        <v>10</v>
      </c>
      <c r="M195" s="1" t="str">
        <f t="shared" si="27"/>
        <v>69</v>
      </c>
      <c r="N195" s="1" t="str">
        <f t="shared" si="28"/>
        <v>52</v>
      </c>
      <c r="O195" s="1" t="str">
        <f t="shared" si="29"/>
        <v>10</v>
      </c>
      <c r="P195" s="2">
        <f t="shared" si="30"/>
        <v>18.352777777777778</v>
      </c>
      <c r="Q195" s="2">
        <f t="shared" si="31"/>
        <v>-69.86944444444444</v>
      </c>
      <c r="R195" s="16" t="s">
        <v>386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406</v>
      </c>
      <c r="F196" s="7" t="s">
        <v>407</v>
      </c>
      <c r="G196" s="7" t="s">
        <v>384</v>
      </c>
      <c r="H196" s="1" t="s">
        <v>326</v>
      </c>
      <c r="I196" s="7" t="s">
        <v>397</v>
      </c>
      <c r="J196" s="1" t="str">
        <f t="shared" si="24"/>
        <v>19</v>
      </c>
      <c r="K196" s="1" t="str">
        <f t="shared" si="25"/>
        <v>42</v>
      </c>
      <c r="L196" s="1" t="str">
        <f t="shared" si="26"/>
        <v>37</v>
      </c>
      <c r="M196" s="1" t="str">
        <f t="shared" si="27"/>
        <v>70</v>
      </c>
      <c r="N196" s="1" t="str">
        <f t="shared" si="28"/>
        <v>03</v>
      </c>
      <c r="O196" s="1" t="str">
        <f t="shared" si="29"/>
        <v>14</v>
      </c>
      <c r="P196" s="2">
        <f t="shared" si="30"/>
        <v>19.710277777777776</v>
      </c>
      <c r="Q196" s="2">
        <f t="shared" si="31"/>
        <v>-70.053888888888892</v>
      </c>
      <c r="R196" s="16" t="s">
        <v>386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408</v>
      </c>
      <c r="F197" s="7" t="s">
        <v>409</v>
      </c>
      <c r="G197" s="7" t="s">
        <v>384</v>
      </c>
      <c r="H197" s="1" t="s">
        <v>326</v>
      </c>
      <c r="I197" s="7" t="s">
        <v>397</v>
      </c>
      <c r="J197" s="1" t="str">
        <f t="shared" si="24"/>
        <v>17</v>
      </c>
      <c r="K197" s="1" t="str">
        <f t="shared" si="25"/>
        <v>55</v>
      </c>
      <c r="L197" s="1" t="str">
        <f t="shared" si="26"/>
        <v>50</v>
      </c>
      <c r="M197" s="1" t="str">
        <f t="shared" si="27"/>
        <v>66</v>
      </c>
      <c r="N197" s="1" t="str">
        <f t="shared" si="28"/>
        <v>21</v>
      </c>
      <c r="O197" s="1" t="str">
        <f t="shared" si="29"/>
        <v>14</v>
      </c>
      <c r="P197" s="2">
        <f t="shared" si="30"/>
        <v>17.930555555555557</v>
      </c>
      <c r="Q197" s="2">
        <f t="shared" si="31"/>
        <v>-66.353888888888889</v>
      </c>
      <c r="R197" s="16" t="s">
        <v>386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410</v>
      </c>
      <c r="F198" s="7" t="s">
        <v>411</v>
      </c>
      <c r="G198" s="7" t="s">
        <v>384</v>
      </c>
      <c r="H198" s="1" t="s">
        <v>326</v>
      </c>
      <c r="I198" s="7" t="s">
        <v>412</v>
      </c>
      <c r="J198" s="1" t="str">
        <f t="shared" si="24"/>
        <v>17</v>
      </c>
      <c r="K198" s="1" t="str">
        <f t="shared" si="25"/>
        <v>15</v>
      </c>
      <c r="L198" s="1" t="str">
        <f t="shared" si="26"/>
        <v>20</v>
      </c>
      <c r="M198" s="1" t="str">
        <f t="shared" si="27"/>
        <v>62</v>
      </c>
      <c r="N198" s="1" t="str">
        <f t="shared" si="28"/>
        <v>42</v>
      </c>
      <c r="O198" s="1" t="str">
        <f t="shared" si="29"/>
        <v>40</v>
      </c>
      <c r="P198" s="2">
        <f t="shared" si="30"/>
        <v>17.255555555555556</v>
      </c>
      <c r="Q198" s="2">
        <f t="shared" si="31"/>
        <v>-62.711111111111109</v>
      </c>
      <c r="R198" s="16" t="s">
        <v>386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413</v>
      </c>
      <c r="F199" s="7" t="s">
        <v>414</v>
      </c>
      <c r="G199" s="7" t="s">
        <v>384</v>
      </c>
      <c r="H199" s="1" t="s">
        <v>326</v>
      </c>
      <c r="I199" s="7" t="s">
        <v>412</v>
      </c>
      <c r="J199" s="1" t="str">
        <f t="shared" si="24"/>
        <v>14</v>
      </c>
      <c r="K199" s="1" t="str">
        <f t="shared" si="25"/>
        <v>33</v>
      </c>
      <c r="L199" s="1" t="str">
        <f t="shared" si="26"/>
        <v>56</v>
      </c>
      <c r="M199" s="1" t="str">
        <f t="shared" si="27"/>
        <v>61</v>
      </c>
      <c r="N199" s="1" t="str">
        <f t="shared" si="28"/>
        <v>03</v>
      </c>
      <c r="O199" s="1" t="str">
        <f t="shared" si="29"/>
        <v>00</v>
      </c>
      <c r="P199" s="2">
        <f t="shared" si="30"/>
        <v>14.565555555555555</v>
      </c>
      <c r="Q199" s="2">
        <f t="shared" si="31"/>
        <v>-61.05</v>
      </c>
      <c r="R199" s="16" t="s">
        <v>386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415</v>
      </c>
      <c r="F200" s="7" t="s">
        <v>416</v>
      </c>
      <c r="G200" s="7" t="s">
        <v>384</v>
      </c>
      <c r="H200" s="1" t="s">
        <v>326</v>
      </c>
      <c r="I200" s="7" t="s">
        <v>412</v>
      </c>
      <c r="J200" s="1" t="str">
        <f t="shared" si="24"/>
        <v>11</v>
      </c>
      <c r="K200" s="1" t="str">
        <f t="shared" si="25"/>
        <v>03</v>
      </c>
      <c r="L200" s="1" t="str">
        <f t="shared" si="26"/>
        <v>46</v>
      </c>
      <c r="M200" s="1" t="str">
        <f t="shared" si="27"/>
        <v>64</v>
      </c>
      <c r="N200" s="1" t="str">
        <f t="shared" si="28"/>
        <v>01</v>
      </c>
      <c r="O200" s="1" t="str">
        <f t="shared" si="29"/>
        <v>30</v>
      </c>
      <c r="P200" s="2">
        <f t="shared" si="30"/>
        <v>11.062777777777777</v>
      </c>
      <c r="Q200" s="2">
        <f t="shared" si="31"/>
        <v>-64.025000000000006</v>
      </c>
      <c r="R200" s="16" t="s">
        <v>386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417</v>
      </c>
      <c r="F201" s="7" t="s">
        <v>418</v>
      </c>
      <c r="G201" s="7" t="s">
        <v>384</v>
      </c>
      <c r="H201" s="1" t="s">
        <v>326</v>
      </c>
      <c r="I201" s="7" t="s">
        <v>412</v>
      </c>
      <c r="J201" s="1" t="str">
        <f t="shared" si="24"/>
        <v>10</v>
      </c>
      <c r="K201" s="1" t="str">
        <f t="shared" si="25"/>
        <v>57</v>
      </c>
      <c r="L201" s="1" t="str">
        <f t="shared" si="26"/>
        <v>51</v>
      </c>
      <c r="M201" s="1" t="str">
        <f t="shared" si="27"/>
        <v>65</v>
      </c>
      <c r="N201" s="1" t="str">
        <f t="shared" si="28"/>
        <v>15</v>
      </c>
      <c r="O201" s="1" t="str">
        <f t="shared" si="29"/>
        <v>53</v>
      </c>
      <c r="P201" s="2">
        <f t="shared" si="30"/>
        <v>10.964166666666667</v>
      </c>
      <c r="Q201" s="2">
        <f t="shared" si="31"/>
        <v>-65.264722222222218</v>
      </c>
      <c r="R201" s="16" t="s">
        <v>386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419</v>
      </c>
      <c r="F202" s="7" t="s">
        <v>420</v>
      </c>
      <c r="G202" s="7" t="s">
        <v>384</v>
      </c>
      <c r="H202" s="1" t="s">
        <v>326</v>
      </c>
      <c r="I202" s="7" t="s">
        <v>412</v>
      </c>
      <c r="J202" s="1" t="str">
        <f t="shared" si="24"/>
        <v>12</v>
      </c>
      <c r="K202" s="1" t="str">
        <f t="shared" si="25"/>
        <v>02</v>
      </c>
      <c r="L202" s="1" t="str">
        <f t="shared" si="26"/>
        <v>08</v>
      </c>
      <c r="M202" s="1" t="str">
        <f t="shared" si="27"/>
        <v>68</v>
      </c>
      <c r="N202" s="1" t="str">
        <f t="shared" si="28"/>
        <v>49</v>
      </c>
      <c r="O202" s="1" t="str">
        <f t="shared" si="29"/>
        <v>30</v>
      </c>
      <c r="P202" s="2">
        <f t="shared" si="30"/>
        <v>12.035555555555556</v>
      </c>
      <c r="Q202" s="2">
        <f t="shared" si="31"/>
        <v>-68.825000000000003</v>
      </c>
      <c r="R202" s="16" t="s">
        <v>386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421</v>
      </c>
      <c r="F203" s="7" t="s">
        <v>422</v>
      </c>
      <c r="G203" s="7" t="s">
        <v>384</v>
      </c>
      <c r="H203" s="1" t="s">
        <v>326</v>
      </c>
      <c r="I203" s="7" t="s">
        <v>412</v>
      </c>
      <c r="J203" s="1" t="str">
        <f t="shared" si="24"/>
        <v>12</v>
      </c>
      <c r="K203" s="1" t="str">
        <f t="shared" si="25"/>
        <v>22</v>
      </c>
      <c r="L203" s="1" t="str">
        <f t="shared" si="26"/>
        <v>32</v>
      </c>
      <c r="M203" s="1" t="str">
        <f t="shared" si="27"/>
        <v>69</v>
      </c>
      <c r="N203" s="1" t="str">
        <f t="shared" si="28"/>
        <v>06</v>
      </c>
      <c r="O203" s="1" t="str">
        <f t="shared" si="29"/>
        <v>45</v>
      </c>
      <c r="P203" s="2">
        <f t="shared" si="30"/>
        <v>12.375555555555556</v>
      </c>
      <c r="Q203" s="2">
        <f t="shared" si="31"/>
        <v>-69.112499999999997</v>
      </c>
      <c r="R203" s="16" t="s">
        <v>386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423</v>
      </c>
      <c r="F204" s="7" t="s">
        <v>424</v>
      </c>
      <c r="G204" s="7" t="s">
        <v>384</v>
      </c>
      <c r="H204" s="1" t="s">
        <v>326</v>
      </c>
      <c r="I204" s="7" t="s">
        <v>425</v>
      </c>
      <c r="J204" s="1" t="str">
        <f t="shared" si="24"/>
        <v>23</v>
      </c>
      <c r="K204" s="1" t="str">
        <f t="shared" si="25"/>
        <v>10</v>
      </c>
      <c r="L204" s="1" t="str">
        <f t="shared" si="26"/>
        <v>42</v>
      </c>
      <c r="M204" s="1" t="str">
        <f t="shared" si="27"/>
        <v>75</v>
      </c>
      <c r="N204" s="1" t="str">
        <f t="shared" si="28"/>
        <v>04</v>
      </c>
      <c r="O204" s="1" t="str">
        <f t="shared" si="29"/>
        <v>08</v>
      </c>
      <c r="P204" s="2">
        <f t="shared" si="30"/>
        <v>23.178333333333335</v>
      </c>
      <c r="Q204" s="2">
        <f t="shared" si="31"/>
        <v>-75.068888888888893</v>
      </c>
      <c r="R204" s="16" t="s">
        <v>386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426</v>
      </c>
      <c r="F205" s="7" t="s">
        <v>427</v>
      </c>
      <c r="G205" s="7" t="s">
        <v>384</v>
      </c>
      <c r="H205" s="1" t="s">
        <v>326</v>
      </c>
      <c r="I205" s="7" t="s">
        <v>425</v>
      </c>
      <c r="J205" s="1" t="str">
        <f t="shared" si="24"/>
        <v>25</v>
      </c>
      <c r="K205" s="1" t="str">
        <f t="shared" si="25"/>
        <v>09</v>
      </c>
      <c r="L205" s="1" t="str">
        <f t="shared" si="26"/>
        <v>08</v>
      </c>
      <c r="M205" s="1" t="str">
        <f t="shared" si="27"/>
        <v>76</v>
      </c>
      <c r="N205" s="1" t="str">
        <f t="shared" si="28"/>
        <v>07</v>
      </c>
      <c r="O205" s="1" t="str">
        <f t="shared" si="29"/>
        <v>55</v>
      </c>
      <c r="P205" s="2">
        <f t="shared" si="30"/>
        <v>25.152222222222221</v>
      </c>
      <c r="Q205" s="2">
        <f t="shared" si="31"/>
        <v>-76.131944444444443</v>
      </c>
      <c r="R205" s="16" t="s">
        <v>386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428</v>
      </c>
      <c r="F206" s="7" t="s">
        <v>429</v>
      </c>
      <c r="G206" s="7" t="s">
        <v>384</v>
      </c>
      <c r="H206" s="1" t="s">
        <v>326</v>
      </c>
      <c r="I206" s="7" t="s">
        <v>425</v>
      </c>
      <c r="J206" s="1" t="str">
        <f t="shared" si="24"/>
        <v>23</v>
      </c>
      <c r="K206" s="1" t="str">
        <f t="shared" si="25"/>
        <v>37</v>
      </c>
      <c r="L206" s="1" t="str">
        <f t="shared" si="26"/>
        <v>51</v>
      </c>
      <c r="M206" s="1" t="str">
        <f t="shared" si="27"/>
        <v>77</v>
      </c>
      <c r="N206" s="1" t="str">
        <f t="shared" si="28"/>
        <v>40</v>
      </c>
      <c r="O206" s="1" t="str">
        <f t="shared" si="29"/>
        <v>56</v>
      </c>
      <c r="P206" s="2">
        <f t="shared" si="30"/>
        <v>23.630833333333335</v>
      </c>
      <c r="Q206" s="2">
        <f t="shared" si="31"/>
        <v>-77.682222222222222</v>
      </c>
      <c r="R206" s="16" t="s">
        <v>386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430</v>
      </c>
      <c r="F207" s="7" t="s">
        <v>431</v>
      </c>
      <c r="G207" s="7" t="s">
        <v>384</v>
      </c>
      <c r="H207" s="1" t="s">
        <v>326</v>
      </c>
      <c r="I207" s="7" t="s">
        <v>425</v>
      </c>
      <c r="J207" s="1" t="str">
        <f t="shared" si="24"/>
        <v>24</v>
      </c>
      <c r="K207" s="1" t="str">
        <f t="shared" si="25"/>
        <v>22</v>
      </c>
      <c r="L207" s="1" t="str">
        <f t="shared" si="26"/>
        <v>23</v>
      </c>
      <c r="M207" s="1" t="str">
        <f t="shared" si="27"/>
        <v>78</v>
      </c>
      <c r="N207" s="1" t="str">
        <f t="shared" si="28"/>
        <v>08</v>
      </c>
      <c r="O207" s="1" t="str">
        <f t="shared" si="29"/>
        <v>46</v>
      </c>
      <c r="P207" s="2">
        <f t="shared" si="30"/>
        <v>24.373055555555556</v>
      </c>
      <c r="Q207" s="2">
        <f t="shared" si="31"/>
        <v>-78.146111111111111</v>
      </c>
      <c r="R207" s="16" t="s">
        <v>386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432</v>
      </c>
      <c r="F208" s="7" t="s">
        <v>433</v>
      </c>
      <c r="G208" s="7" t="s">
        <v>384</v>
      </c>
      <c r="H208" s="1" t="s">
        <v>326</v>
      </c>
      <c r="I208" s="7" t="s">
        <v>425</v>
      </c>
      <c r="J208" s="1" t="str">
        <f t="shared" si="24"/>
        <v>24</v>
      </c>
      <c r="K208" s="1" t="str">
        <f t="shared" si="25"/>
        <v>38</v>
      </c>
      <c r="L208" s="1" t="str">
        <f t="shared" si="26"/>
        <v>59</v>
      </c>
      <c r="M208" s="1" t="str">
        <f t="shared" si="27"/>
        <v>78</v>
      </c>
      <c r="N208" s="1" t="str">
        <f t="shared" si="28"/>
        <v>29</v>
      </c>
      <c r="O208" s="1" t="str">
        <f t="shared" si="29"/>
        <v>17</v>
      </c>
      <c r="P208" s="2">
        <f t="shared" si="30"/>
        <v>24.649722222222223</v>
      </c>
      <c r="Q208" s="2">
        <f t="shared" si="31"/>
        <v>-78.488055555555562</v>
      </c>
      <c r="R208" s="16" t="s">
        <v>386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434</v>
      </c>
      <c r="F209" s="7" t="s">
        <v>435</v>
      </c>
      <c r="G209" s="7" t="s">
        <v>384</v>
      </c>
      <c r="H209" s="1" t="s">
        <v>326</v>
      </c>
      <c r="I209" s="7" t="s">
        <v>425</v>
      </c>
      <c r="J209" s="1" t="str">
        <f t="shared" si="24"/>
        <v>25</v>
      </c>
      <c r="K209" s="1" t="str">
        <f t="shared" si="25"/>
        <v>45</v>
      </c>
      <c r="L209" s="1" t="str">
        <f t="shared" si="26"/>
        <v>28</v>
      </c>
      <c r="M209" s="1" t="str">
        <f t="shared" si="27"/>
        <v>77</v>
      </c>
      <c r="N209" s="1" t="str">
        <f t="shared" si="28"/>
        <v>52</v>
      </c>
      <c r="O209" s="1" t="str">
        <f t="shared" si="29"/>
        <v>41</v>
      </c>
      <c r="P209" s="2">
        <f t="shared" si="30"/>
        <v>25.757777777777779</v>
      </c>
      <c r="Q209" s="2">
        <f t="shared" si="31"/>
        <v>-77.878055555555562</v>
      </c>
      <c r="R209" s="16" t="s">
        <v>386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436</v>
      </c>
      <c r="F210" s="7" t="s">
        <v>437</v>
      </c>
      <c r="G210" s="7" t="s">
        <v>384</v>
      </c>
      <c r="H210" s="1" t="s">
        <v>326</v>
      </c>
      <c r="I210" s="7" t="s">
        <v>425</v>
      </c>
      <c r="J210" s="1" t="str">
        <f t="shared" si="24"/>
        <v>26</v>
      </c>
      <c r="K210" s="1" t="str">
        <f t="shared" si="25"/>
        <v>35</v>
      </c>
      <c r="L210" s="1" t="str">
        <f t="shared" si="26"/>
        <v>20</v>
      </c>
      <c r="M210" s="1" t="str">
        <f t="shared" si="27"/>
        <v>78</v>
      </c>
      <c r="N210" s="1" t="str">
        <f t="shared" si="28"/>
        <v>43</v>
      </c>
      <c r="O210" s="1" t="str">
        <f t="shared" si="29"/>
        <v>54</v>
      </c>
      <c r="P210" s="2">
        <f t="shared" si="30"/>
        <v>26.588888888888889</v>
      </c>
      <c r="Q210" s="2">
        <f t="shared" si="31"/>
        <v>-78.731666666666669</v>
      </c>
      <c r="R210" s="16" t="s">
        <v>386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438</v>
      </c>
      <c r="F211" s="7" t="s">
        <v>439</v>
      </c>
      <c r="G211" s="7" t="s">
        <v>440</v>
      </c>
      <c r="H211" s="1" t="s">
        <v>326</v>
      </c>
      <c r="I211" s="7" t="s">
        <v>441</v>
      </c>
      <c r="J211" s="1" t="str">
        <f t="shared" si="24"/>
        <v>25</v>
      </c>
      <c r="K211" s="1" t="str">
        <f t="shared" si="25"/>
        <v>32</v>
      </c>
      <c r="L211" s="1" t="str">
        <f t="shared" si="26"/>
        <v>00</v>
      </c>
      <c r="M211" s="1" t="str">
        <f t="shared" si="27"/>
        <v>79</v>
      </c>
      <c r="N211" s="1" t="str">
        <f t="shared" si="28"/>
        <v>17</v>
      </c>
      <c r="O211" s="1" t="str">
        <f t="shared" si="29"/>
        <v>00</v>
      </c>
      <c r="P211" s="2">
        <f t="shared" si="30"/>
        <v>25.533333333333335</v>
      </c>
      <c r="Q211" s="2">
        <f t="shared" si="31"/>
        <v>-79.283333333333331</v>
      </c>
      <c r="R211" s="16" t="s">
        <v>442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443</v>
      </c>
      <c r="F212" s="7" t="s">
        <v>444</v>
      </c>
      <c r="G212" s="7" t="s">
        <v>440</v>
      </c>
      <c r="H212" s="1" t="s">
        <v>326</v>
      </c>
      <c r="I212" s="7" t="s">
        <v>441</v>
      </c>
      <c r="J212" s="1" t="str">
        <f t="shared" si="24"/>
        <v>25</v>
      </c>
      <c r="K212" s="1" t="str">
        <f t="shared" si="25"/>
        <v>40</v>
      </c>
      <c r="L212" s="1" t="str">
        <f t="shared" si="26"/>
        <v>15</v>
      </c>
      <c r="M212" s="1" t="str">
        <f t="shared" si="27"/>
        <v>79</v>
      </c>
      <c r="N212" s="1" t="str">
        <f t="shared" si="28"/>
        <v>18</v>
      </c>
      <c r="O212" s="1" t="str">
        <f t="shared" si="29"/>
        <v>30</v>
      </c>
      <c r="P212" s="2">
        <f t="shared" si="30"/>
        <v>25.670833333333334</v>
      </c>
      <c r="Q212" s="2">
        <f t="shared" si="31"/>
        <v>-79.308333333333337</v>
      </c>
      <c r="R212" s="16" t="s">
        <v>442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445</v>
      </c>
      <c r="F213" s="7" t="s">
        <v>446</v>
      </c>
      <c r="G213" s="7" t="s">
        <v>440</v>
      </c>
      <c r="H213" s="1" t="s">
        <v>326</v>
      </c>
      <c r="I213" s="7" t="s">
        <v>441</v>
      </c>
      <c r="J213" s="1" t="str">
        <f t="shared" si="24"/>
        <v>25</v>
      </c>
      <c r="K213" s="1" t="str">
        <f t="shared" si="25"/>
        <v>44</v>
      </c>
      <c r="L213" s="1" t="str">
        <f t="shared" si="26"/>
        <v>51</v>
      </c>
      <c r="M213" s="1" t="str">
        <f t="shared" si="27"/>
        <v>79</v>
      </c>
      <c r="N213" s="1" t="str">
        <f t="shared" si="28"/>
        <v>17</v>
      </c>
      <c r="O213" s="1" t="str">
        <f t="shared" si="29"/>
        <v>49</v>
      </c>
      <c r="P213" s="2">
        <f t="shared" si="30"/>
        <v>25.747499999999999</v>
      </c>
      <c r="Q213" s="2">
        <f t="shared" si="31"/>
        <v>-79.296944444444449</v>
      </c>
      <c r="R213" s="16" t="s">
        <v>442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447</v>
      </c>
      <c r="F214" s="7" t="s">
        <v>448</v>
      </c>
      <c r="G214" s="7" t="s">
        <v>440</v>
      </c>
      <c r="H214" s="1" t="s">
        <v>326</v>
      </c>
      <c r="I214" s="7" t="s">
        <v>441</v>
      </c>
      <c r="J214" s="1" t="str">
        <f t="shared" si="24"/>
        <v>25</v>
      </c>
      <c r="K214" s="1" t="str">
        <f t="shared" si="25"/>
        <v>47</v>
      </c>
      <c r="L214" s="1" t="str">
        <f t="shared" si="26"/>
        <v>19</v>
      </c>
      <c r="M214" s="1" t="str">
        <f t="shared" si="27"/>
        <v>79</v>
      </c>
      <c r="N214" s="1" t="str">
        <f t="shared" si="28"/>
        <v>15</v>
      </c>
      <c r="O214" s="1" t="str">
        <f t="shared" si="29"/>
        <v>34</v>
      </c>
      <c r="P214" s="2">
        <f t="shared" si="30"/>
        <v>25.788611111111113</v>
      </c>
      <c r="Q214" s="2">
        <f t="shared" si="31"/>
        <v>-79.259444444444441</v>
      </c>
      <c r="R214" s="16" t="s">
        <v>442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449</v>
      </c>
      <c r="F215" s="7" t="s">
        <v>450</v>
      </c>
      <c r="G215" s="7" t="s">
        <v>440</v>
      </c>
      <c r="H215" s="1" t="s">
        <v>326</v>
      </c>
      <c r="I215" s="7" t="s">
        <v>441</v>
      </c>
      <c r="J215" s="1" t="str">
        <f t="shared" si="24"/>
        <v>25</v>
      </c>
      <c r="K215" s="1" t="str">
        <f t="shared" si="25"/>
        <v>39</v>
      </c>
      <c r="L215" s="1" t="str">
        <f t="shared" si="26"/>
        <v>02</v>
      </c>
      <c r="M215" s="1" t="str">
        <f t="shared" si="27"/>
        <v>79</v>
      </c>
      <c r="N215" s="1" t="str">
        <f t="shared" si="28"/>
        <v>17</v>
      </c>
      <c r="O215" s="1" t="str">
        <f t="shared" si="29"/>
        <v>36</v>
      </c>
      <c r="P215" s="2">
        <f t="shared" si="30"/>
        <v>25.650555555555556</v>
      </c>
      <c r="Q215" s="2">
        <f t="shared" si="31"/>
        <v>-79.293333333333337</v>
      </c>
      <c r="R215" s="16" t="s">
        <v>442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451</v>
      </c>
      <c r="F216" s="7" t="s">
        <v>452</v>
      </c>
      <c r="G216" s="7" t="s">
        <v>440</v>
      </c>
      <c r="H216" s="1" t="s">
        <v>326</v>
      </c>
      <c r="I216" s="7" t="s">
        <v>441</v>
      </c>
      <c r="J216" s="1" t="str">
        <f t="shared" si="24"/>
        <v>26</v>
      </c>
      <c r="K216" s="1" t="str">
        <f t="shared" si="25"/>
        <v>02</v>
      </c>
      <c r="L216" s="1" t="str">
        <f t="shared" si="26"/>
        <v>00</v>
      </c>
      <c r="M216" s="1" t="str">
        <f t="shared" si="27"/>
        <v>79</v>
      </c>
      <c r="N216" s="1" t="str">
        <f t="shared" si="28"/>
        <v>06</v>
      </c>
      <c r="O216" s="1" t="str">
        <f t="shared" si="29"/>
        <v>00</v>
      </c>
      <c r="P216" s="2">
        <f t="shared" si="30"/>
        <v>26.033333333333335</v>
      </c>
      <c r="Q216" s="2">
        <f t="shared" si="31"/>
        <v>-79.099999999999994</v>
      </c>
      <c r="R216" s="16" t="s">
        <v>442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453</v>
      </c>
      <c r="F217" s="7" t="s">
        <v>454</v>
      </c>
      <c r="G217" s="7" t="s">
        <v>455</v>
      </c>
      <c r="H217" s="1" t="s">
        <v>326</v>
      </c>
      <c r="I217" s="1" t="s">
        <v>456</v>
      </c>
      <c r="J217" s="1" t="str">
        <f t="shared" si="24"/>
        <v>24</v>
      </c>
      <c r="K217" s="1" t="str">
        <f t="shared" si="25"/>
        <v>43</v>
      </c>
      <c r="L217" s="1" t="str">
        <f t="shared" si="26"/>
        <v>57</v>
      </c>
      <c r="M217" s="1" t="str">
        <f t="shared" si="27"/>
        <v>81</v>
      </c>
      <c r="N217" s="1" t="str">
        <f t="shared" si="28"/>
        <v>05</v>
      </c>
      <c r="O217" s="1" t="str">
        <f t="shared" si="29"/>
        <v>38</v>
      </c>
      <c r="P217" s="2">
        <f t="shared" si="30"/>
        <v>24.732500000000002</v>
      </c>
      <c r="Q217" s="2">
        <f t="shared" si="31"/>
        <v>-81.093888888888884</v>
      </c>
      <c r="R217" s="16" t="s">
        <v>457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458</v>
      </c>
      <c r="F218" s="7" t="s">
        <v>459</v>
      </c>
      <c r="G218" s="7" t="s">
        <v>455</v>
      </c>
      <c r="H218" s="1" t="s">
        <v>326</v>
      </c>
      <c r="I218" s="1" t="s">
        <v>456</v>
      </c>
      <c r="J218" s="1" t="str">
        <f t="shared" si="24"/>
        <v>24</v>
      </c>
      <c r="K218" s="1" t="str">
        <f t="shared" si="25"/>
        <v>44</v>
      </c>
      <c r="L218" s="1" t="str">
        <f t="shared" si="26"/>
        <v>56</v>
      </c>
      <c r="M218" s="1" t="str">
        <f t="shared" si="27"/>
        <v>81</v>
      </c>
      <c r="N218" s="1" t="str">
        <f t="shared" si="28"/>
        <v>02</v>
      </c>
      <c r="O218" s="1" t="str">
        <f t="shared" si="29"/>
        <v>50</v>
      </c>
      <c r="P218" s="2">
        <f t="shared" si="30"/>
        <v>24.748888888888889</v>
      </c>
      <c r="Q218" s="2">
        <f t="shared" si="31"/>
        <v>-81.047222222222217</v>
      </c>
      <c r="R218" s="16" t="s">
        <v>457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460</v>
      </c>
      <c r="F219" s="7" t="s">
        <v>461</v>
      </c>
      <c r="G219" s="7" t="s">
        <v>455</v>
      </c>
      <c r="H219" s="1" t="s">
        <v>326</v>
      </c>
      <c r="I219" s="1" t="s">
        <v>456</v>
      </c>
      <c r="J219" s="1" t="str">
        <f t="shared" si="24"/>
        <v>24</v>
      </c>
      <c r="K219" s="1" t="str">
        <f t="shared" si="25"/>
        <v>46</v>
      </c>
      <c r="L219" s="1" t="str">
        <f t="shared" si="26"/>
        <v>10</v>
      </c>
      <c r="M219" s="1" t="str">
        <f t="shared" si="27"/>
        <v>80</v>
      </c>
      <c r="N219" s="1" t="str">
        <f t="shared" si="28"/>
        <v>58</v>
      </c>
      <c r="O219" s="1" t="str">
        <f t="shared" si="29"/>
        <v>45</v>
      </c>
      <c r="P219" s="2">
        <f t="shared" si="30"/>
        <v>24.769444444444446</v>
      </c>
      <c r="Q219" s="2">
        <f t="shared" si="31"/>
        <v>-80.979166666666671</v>
      </c>
      <c r="R219" s="16" t="s">
        <v>457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462</v>
      </c>
      <c r="F220" s="7" t="s">
        <v>463</v>
      </c>
      <c r="G220" s="7" t="s">
        <v>455</v>
      </c>
      <c r="H220" s="1" t="s">
        <v>326</v>
      </c>
      <c r="I220" s="1" t="s">
        <v>456</v>
      </c>
      <c r="J220" s="1" t="str">
        <f t="shared" si="24"/>
        <v>24</v>
      </c>
      <c r="K220" s="1" t="str">
        <f t="shared" si="25"/>
        <v>47</v>
      </c>
      <c r="L220" s="1" t="str">
        <f t="shared" si="26"/>
        <v>50</v>
      </c>
      <c r="M220" s="1" t="str">
        <f t="shared" si="27"/>
        <v>81</v>
      </c>
      <c r="N220" s="1" t="str">
        <f t="shared" si="28"/>
        <v>01</v>
      </c>
      <c r="O220" s="1" t="str">
        <f t="shared" si="29"/>
        <v>35</v>
      </c>
      <c r="P220" s="2">
        <f t="shared" si="30"/>
        <v>24.797222222222221</v>
      </c>
      <c r="Q220" s="2">
        <f t="shared" si="31"/>
        <v>-81.026388888888889</v>
      </c>
      <c r="R220" s="16" t="s">
        <v>457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464</v>
      </c>
      <c r="F221" s="7" t="s">
        <v>465</v>
      </c>
      <c r="G221" s="7" t="s">
        <v>455</v>
      </c>
      <c r="H221" s="1" t="s">
        <v>326</v>
      </c>
      <c r="I221" s="1" t="s">
        <v>456</v>
      </c>
      <c r="J221" s="1" t="str">
        <f t="shared" si="24"/>
        <v>24</v>
      </c>
      <c r="K221" s="1" t="str">
        <f t="shared" si="25"/>
        <v>49</v>
      </c>
      <c r="L221" s="1" t="str">
        <f t="shared" si="26"/>
        <v>35</v>
      </c>
      <c r="M221" s="1" t="str">
        <f t="shared" si="27"/>
        <v>80</v>
      </c>
      <c r="N221" s="1" t="str">
        <f t="shared" si="28"/>
        <v>58</v>
      </c>
      <c r="O221" s="1" t="str">
        <f t="shared" si="29"/>
        <v>55</v>
      </c>
      <c r="P221" s="2">
        <f t="shared" si="30"/>
        <v>24.826388888888889</v>
      </c>
      <c r="Q221" s="2">
        <f t="shared" si="31"/>
        <v>-80.981944444444451</v>
      </c>
      <c r="R221" s="16" t="s">
        <v>457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466</v>
      </c>
      <c r="F222" s="7" t="s">
        <v>467</v>
      </c>
      <c r="G222" s="7" t="s">
        <v>455</v>
      </c>
      <c r="H222" s="1" t="s">
        <v>326</v>
      </c>
      <c r="I222" s="1" t="s">
        <v>456</v>
      </c>
      <c r="J222" s="1" t="str">
        <f t="shared" si="24"/>
        <v>24</v>
      </c>
      <c r="K222" s="1" t="str">
        <f t="shared" si="25"/>
        <v>49</v>
      </c>
      <c r="L222" s="1" t="str">
        <f t="shared" si="26"/>
        <v>15</v>
      </c>
      <c r="M222" s="1" t="str">
        <f t="shared" si="27"/>
        <v>80</v>
      </c>
      <c r="N222" s="1" t="str">
        <f t="shared" si="28"/>
        <v>55</v>
      </c>
      <c r="O222" s="1" t="str">
        <f t="shared" si="29"/>
        <v>21</v>
      </c>
      <c r="P222" s="2">
        <f t="shared" si="30"/>
        <v>24.820833333333333</v>
      </c>
      <c r="Q222" s="2">
        <f t="shared" si="31"/>
        <v>-80.922499999999999</v>
      </c>
      <c r="R222" s="16" t="s">
        <v>457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468</v>
      </c>
      <c r="F223" s="7" t="s">
        <v>469</v>
      </c>
      <c r="G223" s="7" t="s">
        <v>455</v>
      </c>
      <c r="H223" s="1" t="s">
        <v>326</v>
      </c>
      <c r="I223" s="1" t="s">
        <v>456</v>
      </c>
      <c r="J223" s="1" t="str">
        <f t="shared" si="24"/>
        <v>24</v>
      </c>
      <c r="K223" s="1" t="str">
        <f t="shared" si="25"/>
        <v>49</v>
      </c>
      <c r="L223" s="1" t="str">
        <f t="shared" si="26"/>
        <v>05</v>
      </c>
      <c r="M223" s="1" t="str">
        <f t="shared" si="27"/>
        <v>80</v>
      </c>
      <c r="N223" s="1" t="str">
        <f t="shared" si="28"/>
        <v>52</v>
      </c>
      <c r="O223" s="1" t="str">
        <f t="shared" si="29"/>
        <v>01</v>
      </c>
      <c r="P223" s="2">
        <f t="shared" si="30"/>
        <v>24.818055555555556</v>
      </c>
      <c r="Q223" s="2">
        <f t="shared" si="31"/>
        <v>-80.866944444444442</v>
      </c>
      <c r="R223" s="16" t="s">
        <v>457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470</v>
      </c>
      <c r="F224" s="7" t="s">
        <v>471</v>
      </c>
      <c r="G224" s="7" t="s">
        <v>455</v>
      </c>
      <c r="H224" s="1" t="s">
        <v>326</v>
      </c>
      <c r="I224" s="1" t="s">
        <v>456</v>
      </c>
      <c r="J224" s="1" t="str">
        <f t="shared" si="24"/>
        <v>24</v>
      </c>
      <c r="K224" s="1" t="str">
        <f t="shared" si="25"/>
        <v>52</v>
      </c>
      <c r="L224" s="1" t="str">
        <f t="shared" si="26"/>
        <v>08</v>
      </c>
      <c r="M224" s="1" t="str">
        <f t="shared" si="27"/>
        <v>80</v>
      </c>
      <c r="N224" s="1" t="str">
        <f t="shared" si="28"/>
        <v>50</v>
      </c>
      <c r="O224" s="1" t="str">
        <f t="shared" si="29"/>
        <v>48</v>
      </c>
      <c r="P224" s="2">
        <f t="shared" si="30"/>
        <v>24.86888888888889</v>
      </c>
      <c r="Q224" s="2">
        <f t="shared" si="31"/>
        <v>-80.846666666666664</v>
      </c>
      <c r="R224" s="16" t="s">
        <v>457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472</v>
      </c>
      <c r="F225" s="7" t="s">
        <v>473</v>
      </c>
      <c r="G225" s="7" t="s">
        <v>455</v>
      </c>
      <c r="H225" s="1" t="s">
        <v>326</v>
      </c>
      <c r="I225" s="1" t="s">
        <v>456</v>
      </c>
      <c r="J225" s="1" t="str">
        <f t="shared" si="24"/>
        <v>24</v>
      </c>
      <c r="K225" s="1" t="str">
        <f t="shared" si="25"/>
        <v>51</v>
      </c>
      <c r="L225" s="1" t="str">
        <f t="shared" si="26"/>
        <v>13</v>
      </c>
      <c r="M225" s="1" t="str">
        <f t="shared" si="27"/>
        <v>80</v>
      </c>
      <c r="N225" s="1" t="str">
        <f t="shared" si="28"/>
        <v>46</v>
      </c>
      <c r="O225" s="1" t="str">
        <f t="shared" si="29"/>
        <v>57</v>
      </c>
      <c r="P225" s="2">
        <f t="shared" si="30"/>
        <v>24.85361111111111</v>
      </c>
      <c r="Q225" s="2">
        <f t="shared" si="31"/>
        <v>-80.782499999999999</v>
      </c>
      <c r="R225" s="16" t="s">
        <v>457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474</v>
      </c>
      <c r="F226" s="7" t="s">
        <v>475</v>
      </c>
      <c r="G226" s="7" t="s">
        <v>455</v>
      </c>
      <c r="H226" s="1" t="s">
        <v>326</v>
      </c>
      <c r="I226" s="1" t="s">
        <v>456</v>
      </c>
      <c r="J226" s="1" t="str">
        <f t="shared" si="24"/>
        <v>24</v>
      </c>
      <c r="K226" s="1" t="str">
        <f t="shared" si="25"/>
        <v>53</v>
      </c>
      <c r="L226" s="1" t="str">
        <f t="shared" si="26"/>
        <v>06</v>
      </c>
      <c r="M226" s="1" t="str">
        <f t="shared" si="27"/>
        <v>80</v>
      </c>
      <c r="N226" s="1" t="str">
        <f t="shared" si="28"/>
        <v>45</v>
      </c>
      <c r="O226" s="1" t="str">
        <f t="shared" si="29"/>
        <v>27</v>
      </c>
      <c r="P226" s="2">
        <f t="shared" si="30"/>
        <v>24.885000000000002</v>
      </c>
      <c r="Q226" s="2">
        <f t="shared" si="31"/>
        <v>-80.757499999999993</v>
      </c>
      <c r="R226" s="16" t="s">
        <v>457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476</v>
      </c>
      <c r="F227" s="7" t="s">
        <v>477</v>
      </c>
      <c r="G227" s="7" t="s">
        <v>455</v>
      </c>
      <c r="H227" s="1" t="s">
        <v>326</v>
      </c>
      <c r="I227" s="1" t="s">
        <v>456</v>
      </c>
      <c r="J227" s="1" t="str">
        <f t="shared" si="24"/>
        <v>24</v>
      </c>
      <c r="K227" s="1" t="str">
        <f t="shared" si="25"/>
        <v>41</v>
      </c>
      <c r="L227" s="1" t="str">
        <f t="shared" si="26"/>
        <v>55</v>
      </c>
      <c r="M227" s="1" t="str">
        <f t="shared" si="27"/>
        <v>81</v>
      </c>
      <c r="N227" s="1" t="str">
        <f t="shared" si="28"/>
        <v>23</v>
      </c>
      <c r="O227" s="1" t="str">
        <f t="shared" si="29"/>
        <v>50</v>
      </c>
      <c r="P227" s="2">
        <f t="shared" si="30"/>
        <v>24.698611111111113</v>
      </c>
      <c r="Q227" s="2">
        <f t="shared" si="31"/>
        <v>-81.397222222222226</v>
      </c>
      <c r="R227" s="16" t="s">
        <v>457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478</v>
      </c>
      <c r="F228" s="7" t="s">
        <v>479</v>
      </c>
      <c r="G228" s="7" t="s">
        <v>455</v>
      </c>
      <c r="H228" s="1" t="s">
        <v>326</v>
      </c>
      <c r="I228" s="1" t="s">
        <v>456</v>
      </c>
      <c r="J228" s="1" t="str">
        <f t="shared" si="24"/>
        <v>24</v>
      </c>
      <c r="K228" s="1" t="str">
        <f t="shared" si="25"/>
        <v>44</v>
      </c>
      <c r="L228" s="1" t="str">
        <f t="shared" si="26"/>
        <v>45</v>
      </c>
      <c r="M228" s="1" t="str">
        <f t="shared" si="27"/>
        <v>81</v>
      </c>
      <c r="N228" s="1" t="str">
        <f t="shared" si="28"/>
        <v>26</v>
      </c>
      <c r="O228" s="1" t="str">
        <f t="shared" si="29"/>
        <v>07</v>
      </c>
      <c r="P228" s="2">
        <f t="shared" si="30"/>
        <v>24.745833333333334</v>
      </c>
      <c r="Q228" s="2">
        <f t="shared" si="31"/>
        <v>-81.435277777777785</v>
      </c>
      <c r="R228" s="16" t="s">
        <v>457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480</v>
      </c>
      <c r="F229" s="7" t="s">
        <v>481</v>
      </c>
      <c r="G229" s="1" t="s">
        <v>482</v>
      </c>
      <c r="H229" s="1" t="s">
        <v>326</v>
      </c>
      <c r="I229" s="1" t="s">
        <v>483</v>
      </c>
      <c r="J229" s="1" t="str">
        <f t="shared" si="24"/>
        <v>19</v>
      </c>
      <c r="K229" s="1" t="str">
        <f t="shared" si="25"/>
        <v>41</v>
      </c>
      <c r="L229" s="1" t="str">
        <f t="shared" si="26"/>
        <v>54</v>
      </c>
      <c r="M229" s="1" t="str">
        <f t="shared" si="27"/>
        <v>87</v>
      </c>
      <c r="N229" s="1" t="str">
        <f t="shared" si="28"/>
        <v>27</v>
      </c>
      <c r="O229" s="1" t="str">
        <f t="shared" si="29"/>
        <v>43</v>
      </c>
      <c r="P229" s="2">
        <f t="shared" si="30"/>
        <v>19.698333333333334</v>
      </c>
      <c r="Q229" s="2">
        <f t="shared" si="31"/>
        <v>-87.461944444444441</v>
      </c>
      <c r="R229" s="16" t="s">
        <v>484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485</v>
      </c>
      <c r="F230" s="7" t="s">
        <v>486</v>
      </c>
      <c r="G230" s="1" t="s">
        <v>482</v>
      </c>
      <c r="H230" s="1" t="s">
        <v>326</v>
      </c>
      <c r="I230" s="1" t="s">
        <v>483</v>
      </c>
      <c r="J230" s="1" t="str">
        <f t="shared" si="24"/>
        <v>19</v>
      </c>
      <c r="K230" s="1" t="str">
        <f t="shared" si="25"/>
        <v>43</v>
      </c>
      <c r="L230" s="1" t="str">
        <f t="shared" si="26"/>
        <v>35</v>
      </c>
      <c r="M230" s="1" t="str">
        <f t="shared" si="27"/>
        <v>87</v>
      </c>
      <c r="N230" s="1" t="str">
        <f t="shared" si="28"/>
        <v>25</v>
      </c>
      <c r="O230" s="1" t="str">
        <f t="shared" si="29"/>
        <v>06</v>
      </c>
      <c r="P230" s="2">
        <f t="shared" si="30"/>
        <v>19.726388888888888</v>
      </c>
      <c r="Q230" s="2">
        <f t="shared" si="31"/>
        <v>-87.418333333333337</v>
      </c>
      <c r="R230" s="16" t="s">
        <v>484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487</v>
      </c>
      <c r="F231" s="7" t="s">
        <v>488</v>
      </c>
      <c r="G231" s="1" t="s">
        <v>482</v>
      </c>
      <c r="H231" s="1" t="s">
        <v>326</v>
      </c>
      <c r="I231" s="1" t="s">
        <v>483</v>
      </c>
      <c r="J231" s="1" t="str">
        <f t="shared" si="24"/>
        <v>19</v>
      </c>
      <c r="K231" s="1" t="str">
        <f t="shared" si="25"/>
        <v>44</v>
      </c>
      <c r="L231" s="1" t="str">
        <f t="shared" si="26"/>
        <v>04</v>
      </c>
      <c r="M231" s="1" t="str">
        <f t="shared" si="27"/>
        <v>87</v>
      </c>
      <c r="N231" s="1" t="str">
        <f t="shared" si="28"/>
        <v>25</v>
      </c>
      <c r="O231" s="1" t="str">
        <f t="shared" si="29"/>
        <v>23</v>
      </c>
      <c r="P231" s="2">
        <f t="shared" si="30"/>
        <v>19.734444444444446</v>
      </c>
      <c r="Q231" s="2">
        <f t="shared" si="31"/>
        <v>-87.42305555555555</v>
      </c>
      <c r="R231" s="16" t="s">
        <v>484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489</v>
      </c>
      <c r="F232" s="7" t="s">
        <v>490</v>
      </c>
      <c r="G232" s="1" t="s">
        <v>482</v>
      </c>
      <c r="H232" s="1" t="s">
        <v>326</v>
      </c>
      <c r="I232" s="1" t="s">
        <v>483</v>
      </c>
      <c r="J232" s="1" t="str">
        <f t="shared" si="24"/>
        <v>19</v>
      </c>
      <c r="K232" s="1" t="str">
        <f t="shared" si="25"/>
        <v>46</v>
      </c>
      <c r="L232" s="1" t="str">
        <f t="shared" si="26"/>
        <v>33</v>
      </c>
      <c r="M232" s="1" t="str">
        <f t="shared" si="27"/>
        <v>87</v>
      </c>
      <c r="N232" s="1" t="str">
        <f t="shared" si="28"/>
        <v>28</v>
      </c>
      <c r="O232" s="1" t="str">
        <f t="shared" si="29"/>
        <v>37</v>
      </c>
      <c r="P232" s="2">
        <f t="shared" si="30"/>
        <v>19.775833333333335</v>
      </c>
      <c r="Q232" s="2">
        <f t="shared" si="31"/>
        <v>-87.476944444444442</v>
      </c>
      <c r="R232" s="16" t="s">
        <v>484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491</v>
      </c>
      <c r="F233" s="7" t="s">
        <v>492</v>
      </c>
      <c r="G233" s="1" t="s">
        <v>482</v>
      </c>
      <c r="H233" s="1" t="s">
        <v>326</v>
      </c>
      <c r="I233" s="1" t="s">
        <v>483</v>
      </c>
      <c r="J233" s="1" t="str">
        <f t="shared" si="24"/>
        <v>19</v>
      </c>
      <c r="K233" s="1" t="str">
        <f t="shared" si="25"/>
        <v>38</v>
      </c>
      <c r="L233" s="1" t="str">
        <f t="shared" si="26"/>
        <v>59</v>
      </c>
      <c r="M233" s="1" t="str">
        <f t="shared" si="27"/>
        <v>87</v>
      </c>
      <c r="N233" s="1" t="str">
        <f t="shared" si="28"/>
        <v>27</v>
      </c>
      <c r="O233" s="1" t="str">
        <f t="shared" si="29"/>
        <v>21</v>
      </c>
      <c r="P233" s="2">
        <f t="shared" si="30"/>
        <v>19.649722222222223</v>
      </c>
      <c r="Q233" s="2">
        <f t="shared" si="31"/>
        <v>-87.455833333333331</v>
      </c>
      <c r="R233" s="16" t="s">
        <v>484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493</v>
      </c>
      <c r="F234" s="7" t="s">
        <v>494</v>
      </c>
      <c r="G234" s="1" t="s">
        <v>482</v>
      </c>
      <c r="H234" s="1" t="s">
        <v>326</v>
      </c>
      <c r="I234" s="1" t="s">
        <v>483</v>
      </c>
      <c r="J234" s="1" t="str">
        <f t="shared" si="24"/>
        <v>19</v>
      </c>
      <c r="K234" s="1" t="str">
        <f t="shared" si="25"/>
        <v>38</v>
      </c>
      <c r="L234" s="1" t="str">
        <f t="shared" si="26"/>
        <v>36</v>
      </c>
      <c r="M234" s="1" t="str">
        <f t="shared" si="27"/>
        <v>87</v>
      </c>
      <c r="N234" s="1" t="str">
        <f t="shared" si="28"/>
        <v>27</v>
      </c>
      <c r="O234" s="1" t="str">
        <f t="shared" si="29"/>
        <v>36</v>
      </c>
      <c r="P234" s="2">
        <f t="shared" si="30"/>
        <v>19.643333333333334</v>
      </c>
      <c r="Q234" s="2">
        <f t="shared" ref="Q234:Q262" si="32">((((O234/60)+N234)/60)+M234)*IF(D235="W",-1, 1)</f>
        <v>-87.46</v>
      </c>
      <c r="R234" s="16" t="s">
        <v>484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495</v>
      </c>
      <c r="F235" s="7" t="s">
        <v>496</v>
      </c>
      <c r="G235" s="7" t="s">
        <v>497</v>
      </c>
      <c r="H235" s="1" t="s">
        <v>326</v>
      </c>
      <c r="I235" s="1" t="s">
        <v>288</v>
      </c>
      <c r="J235" s="1" t="str">
        <f t="shared" si="24"/>
        <v>22</v>
      </c>
      <c r="K235" s="1" t="str">
        <f t="shared" si="25"/>
        <v>20</v>
      </c>
      <c r="L235" s="1" t="str">
        <f t="shared" si="26"/>
        <v>56</v>
      </c>
      <c r="M235" s="1" t="str">
        <f t="shared" si="27"/>
        <v>82</v>
      </c>
      <c r="N235" s="1" t="str">
        <f t="shared" si="28"/>
        <v>20</v>
      </c>
      <c r="O235" s="1" t="str">
        <f t="shared" si="29"/>
        <v>09</v>
      </c>
      <c r="P235" s="2">
        <f t="shared" si="30"/>
        <v>22.34888888888889</v>
      </c>
      <c r="Q235" s="2">
        <f t="shared" si="32"/>
        <v>-82.335833333333326</v>
      </c>
      <c r="R235" s="16" t="s">
        <v>498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499</v>
      </c>
      <c r="F236" s="7" t="s">
        <v>500</v>
      </c>
      <c r="G236" s="7" t="s">
        <v>497</v>
      </c>
      <c r="H236" s="1" t="s">
        <v>326</v>
      </c>
      <c r="I236" s="1" t="s">
        <v>288</v>
      </c>
      <c r="J236" s="1" t="str">
        <f t="shared" si="24"/>
        <v>22</v>
      </c>
      <c r="K236" s="1" t="str">
        <f t="shared" si="25"/>
        <v>13</v>
      </c>
      <c r="L236" s="1" t="str">
        <f t="shared" si="26"/>
        <v>21</v>
      </c>
      <c r="M236" s="1" t="str">
        <f t="shared" si="27"/>
        <v>82</v>
      </c>
      <c r="N236" s="1" t="str">
        <f t="shared" si="28"/>
        <v>22</v>
      </c>
      <c r="O236" s="1" t="str">
        <f t="shared" si="29"/>
        <v>28</v>
      </c>
      <c r="P236" s="2">
        <f t="shared" si="30"/>
        <v>22.2225</v>
      </c>
      <c r="Q236" s="2">
        <f t="shared" si="32"/>
        <v>-82.37444444444445</v>
      </c>
      <c r="R236" s="16" t="s">
        <v>498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501</v>
      </c>
      <c r="F237" s="7" t="s">
        <v>502</v>
      </c>
      <c r="G237" s="7" t="s">
        <v>497</v>
      </c>
      <c r="H237" s="1" t="s">
        <v>326</v>
      </c>
      <c r="I237" s="1" t="s">
        <v>288</v>
      </c>
      <c r="J237" s="1" t="str">
        <f t="shared" si="24"/>
        <v>22</v>
      </c>
      <c r="K237" s="1" t="str">
        <f t="shared" si="25"/>
        <v>18</v>
      </c>
      <c r="L237" s="1" t="str">
        <f t="shared" si="26"/>
        <v>23</v>
      </c>
      <c r="M237" s="1" t="str">
        <f t="shared" si="27"/>
        <v>82</v>
      </c>
      <c r="N237" s="1" t="str">
        <f t="shared" si="28"/>
        <v>45</v>
      </c>
      <c r="O237" s="1" t="str">
        <f t="shared" si="29"/>
        <v>03</v>
      </c>
      <c r="P237" s="2">
        <f t="shared" si="30"/>
        <v>22.30638888888889</v>
      </c>
      <c r="Q237" s="2">
        <f t="shared" si="32"/>
        <v>-82.750833333333333</v>
      </c>
      <c r="R237" s="16" t="s">
        <v>498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501</v>
      </c>
      <c r="F238" s="7" t="s">
        <v>503</v>
      </c>
      <c r="G238" s="7" t="s">
        <v>497</v>
      </c>
      <c r="H238" s="1" t="s">
        <v>326</v>
      </c>
      <c r="I238" s="1" t="s">
        <v>288</v>
      </c>
      <c r="J238" s="1" t="str">
        <f t="shared" si="24"/>
        <v>22</v>
      </c>
      <c r="K238" s="1" t="str">
        <f t="shared" si="25"/>
        <v>18</v>
      </c>
      <c r="L238" s="1" t="str">
        <f t="shared" si="26"/>
        <v>23</v>
      </c>
      <c r="M238" s="1" t="str">
        <f t="shared" si="27"/>
        <v>83</v>
      </c>
      <c r="N238" s="1" t="str">
        <f t="shared" si="28"/>
        <v>04</v>
      </c>
      <c r="O238" s="1" t="str">
        <f t="shared" si="29"/>
        <v>41</v>
      </c>
      <c r="P238" s="2">
        <f t="shared" si="30"/>
        <v>22.30638888888889</v>
      </c>
      <c r="Q238" s="2">
        <f t="shared" si="32"/>
        <v>-83.078055555555551</v>
      </c>
      <c r="R238" s="16" t="s">
        <v>498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504</v>
      </c>
      <c r="F239" s="7" t="s">
        <v>505</v>
      </c>
      <c r="G239" s="7" t="s">
        <v>497</v>
      </c>
      <c r="H239" s="1" t="s">
        <v>326</v>
      </c>
      <c r="I239" s="1" t="s">
        <v>288</v>
      </c>
      <c r="J239" s="1" t="str">
        <f t="shared" si="24"/>
        <v>22</v>
      </c>
      <c r="K239" s="1" t="str">
        <f t="shared" si="25"/>
        <v>10</v>
      </c>
      <c r="L239" s="1" t="str">
        <f t="shared" si="26"/>
        <v>42</v>
      </c>
      <c r="M239" s="1" t="str">
        <f t="shared" si="27"/>
        <v>83</v>
      </c>
      <c r="N239" s="1" t="str">
        <f t="shared" si="28"/>
        <v>12</v>
      </c>
      <c r="O239" s="1" t="str">
        <f t="shared" si="29"/>
        <v>51</v>
      </c>
      <c r="P239" s="2">
        <f t="shared" si="30"/>
        <v>22.178333333333335</v>
      </c>
      <c r="Q239" s="2">
        <f t="shared" si="32"/>
        <v>-83.214166666666671</v>
      </c>
      <c r="R239" s="16" t="s">
        <v>498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506</v>
      </c>
      <c r="F240" s="7" t="s">
        <v>507</v>
      </c>
      <c r="G240" s="7" t="s">
        <v>497</v>
      </c>
      <c r="H240" s="1" t="s">
        <v>326</v>
      </c>
      <c r="I240" s="1" t="s">
        <v>288</v>
      </c>
      <c r="J240" s="1" t="str">
        <f t="shared" si="24"/>
        <v>22</v>
      </c>
      <c r="K240" s="1" t="str">
        <f t="shared" si="25"/>
        <v>03</v>
      </c>
      <c r="L240" s="1" t="str">
        <f t="shared" si="26"/>
        <v>43</v>
      </c>
      <c r="M240" s="1" t="str">
        <f t="shared" si="27"/>
        <v>83</v>
      </c>
      <c r="N240" s="1" t="str">
        <f t="shared" si="28"/>
        <v>04</v>
      </c>
      <c r="O240" s="1" t="str">
        <f t="shared" si="29"/>
        <v>22</v>
      </c>
      <c r="P240" s="2">
        <f t="shared" si="30"/>
        <v>22.061944444444446</v>
      </c>
      <c r="Q240" s="2">
        <f t="shared" si="32"/>
        <v>-83.072777777777773</v>
      </c>
      <c r="R240" s="16" t="s">
        <v>498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508</v>
      </c>
      <c r="F241" s="7" t="s">
        <v>509</v>
      </c>
      <c r="G241" s="7" t="s">
        <v>497</v>
      </c>
      <c r="H241" s="1" t="s">
        <v>326</v>
      </c>
      <c r="I241" s="1" t="s">
        <v>288</v>
      </c>
      <c r="J241" s="1" t="str">
        <f t="shared" si="24"/>
        <v>21</v>
      </c>
      <c r="K241" s="1" t="str">
        <f t="shared" si="25"/>
        <v>55</v>
      </c>
      <c r="L241" s="1" t="str">
        <f t="shared" si="26"/>
        <v>27</v>
      </c>
      <c r="M241" s="1" t="str">
        <f t="shared" si="27"/>
        <v>82</v>
      </c>
      <c r="N241" s="1" t="str">
        <f t="shared" si="28"/>
        <v>47</v>
      </c>
      <c r="O241" s="1" t="str">
        <f t="shared" si="29"/>
        <v>22</v>
      </c>
      <c r="P241" s="2">
        <f t="shared" si="30"/>
        <v>21.924166666666668</v>
      </c>
      <c r="Q241" s="2">
        <f t="shared" si="32"/>
        <v>-82.789444444444442</v>
      </c>
      <c r="R241" s="16" t="s">
        <v>498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510</v>
      </c>
      <c r="F242" s="7" t="s">
        <v>511</v>
      </c>
      <c r="G242" s="7" t="s">
        <v>497</v>
      </c>
      <c r="H242" s="1" t="s">
        <v>326</v>
      </c>
      <c r="I242" s="1" t="s">
        <v>288</v>
      </c>
      <c r="J242" s="1" t="str">
        <f t="shared" si="24"/>
        <v>21</v>
      </c>
      <c r="K242" s="1" t="str">
        <f t="shared" si="25"/>
        <v>45</v>
      </c>
      <c r="L242" s="1" t="str">
        <f t="shared" si="26"/>
        <v>33</v>
      </c>
      <c r="M242" s="1" t="str">
        <f t="shared" si="27"/>
        <v>82</v>
      </c>
      <c r="N242" s="1" t="str">
        <f t="shared" si="28"/>
        <v>29</v>
      </c>
      <c r="O242" s="1" t="str">
        <f t="shared" si="29"/>
        <v>48</v>
      </c>
      <c r="P242" s="2">
        <f t="shared" si="30"/>
        <v>21.759166666666665</v>
      </c>
      <c r="Q242" s="2">
        <f t="shared" si="32"/>
        <v>-82.49666666666667</v>
      </c>
      <c r="R242" s="16" t="s">
        <v>498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512</v>
      </c>
      <c r="F243" s="7" t="s">
        <v>513</v>
      </c>
      <c r="G243" s="7" t="s">
        <v>497</v>
      </c>
      <c r="H243" s="1" t="s">
        <v>326</v>
      </c>
      <c r="I243" s="1" t="s">
        <v>288</v>
      </c>
      <c r="J243" s="1" t="str">
        <f t="shared" si="24"/>
        <v>21</v>
      </c>
      <c r="K243" s="1" t="str">
        <f t="shared" si="25"/>
        <v>35</v>
      </c>
      <c r="L243" s="1" t="str">
        <f t="shared" si="26"/>
        <v>36</v>
      </c>
      <c r="M243" s="1" t="str">
        <f t="shared" si="27"/>
        <v>82</v>
      </c>
      <c r="N243" s="1" t="str">
        <f t="shared" si="28"/>
        <v>20</v>
      </c>
      <c r="O243" s="1" t="str">
        <f t="shared" si="29"/>
        <v>44</v>
      </c>
      <c r="P243" s="2">
        <f t="shared" si="30"/>
        <v>21.593333333333334</v>
      </c>
      <c r="Q243" s="2">
        <f t="shared" si="32"/>
        <v>-82.345555555555549</v>
      </c>
      <c r="R243" s="16" t="s">
        <v>498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514</v>
      </c>
      <c r="F244" s="7" t="s">
        <v>515</v>
      </c>
      <c r="G244" s="7" t="s">
        <v>497</v>
      </c>
      <c r="H244" s="1" t="s">
        <v>326</v>
      </c>
      <c r="I244" s="1" t="s">
        <v>288</v>
      </c>
      <c r="J244" s="1" t="str">
        <f t="shared" si="24"/>
        <v>21</v>
      </c>
      <c r="K244" s="1" t="str">
        <f t="shared" si="25"/>
        <v>43</v>
      </c>
      <c r="L244" s="1" t="str">
        <f t="shared" si="26"/>
        <v>01</v>
      </c>
      <c r="M244" s="1" t="str">
        <f t="shared" si="27"/>
        <v>82</v>
      </c>
      <c r="N244" s="1" t="str">
        <f t="shared" si="28"/>
        <v>03</v>
      </c>
      <c r="O244" s="1" t="str">
        <f t="shared" si="29"/>
        <v>38</v>
      </c>
      <c r="P244" s="2">
        <f t="shared" si="30"/>
        <v>21.716944444444444</v>
      </c>
      <c r="Q244" s="2">
        <f t="shared" si="32"/>
        <v>-82.060555555555553</v>
      </c>
      <c r="R244" s="16" t="s">
        <v>498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516</v>
      </c>
      <c r="F245" s="7" t="s">
        <v>517</v>
      </c>
      <c r="G245" s="7" t="s">
        <v>497</v>
      </c>
      <c r="H245" s="1" t="s">
        <v>326</v>
      </c>
      <c r="I245" s="1" t="s">
        <v>288</v>
      </c>
      <c r="J245" s="1" t="str">
        <f t="shared" si="24"/>
        <v>21</v>
      </c>
      <c r="K245" s="1" t="str">
        <f t="shared" si="25"/>
        <v>52</v>
      </c>
      <c r="L245" s="1" t="str">
        <f t="shared" si="26"/>
        <v>06</v>
      </c>
      <c r="M245" s="1" t="str">
        <f t="shared" si="27"/>
        <v>81</v>
      </c>
      <c r="N245" s="1" t="str">
        <f t="shared" si="28"/>
        <v>49</v>
      </c>
      <c r="O245" s="1" t="str">
        <f t="shared" si="29"/>
        <v>32</v>
      </c>
      <c r="P245" s="2">
        <f t="shared" si="30"/>
        <v>21.868333333333332</v>
      </c>
      <c r="Q245" s="2">
        <f t="shared" si="32"/>
        <v>-81.825555555555553</v>
      </c>
      <c r="R245" s="16" t="s">
        <v>498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518</v>
      </c>
      <c r="F246" s="7" t="s">
        <v>519</v>
      </c>
      <c r="G246" s="7" t="s">
        <v>497</v>
      </c>
      <c r="H246" s="1" t="s">
        <v>326</v>
      </c>
      <c r="I246" s="1" t="s">
        <v>288</v>
      </c>
      <c r="J246" s="1" t="str">
        <f t="shared" si="24"/>
        <v>22</v>
      </c>
      <c r="K246" s="1" t="str">
        <f t="shared" si="25"/>
        <v>02</v>
      </c>
      <c r="L246" s="1" t="str">
        <f t="shared" si="26"/>
        <v>00</v>
      </c>
      <c r="M246" s="1" t="str">
        <f t="shared" si="27"/>
        <v>81</v>
      </c>
      <c r="N246" s="1" t="str">
        <f t="shared" si="28"/>
        <v>35</v>
      </c>
      <c r="O246" s="1" t="str">
        <f t="shared" si="29"/>
        <v>18</v>
      </c>
      <c r="P246" s="2">
        <f t="shared" si="30"/>
        <v>22.033333333333335</v>
      </c>
      <c r="Q246" s="2">
        <f t="shared" si="32"/>
        <v>-81.588333333333338</v>
      </c>
      <c r="R246" s="16" t="s">
        <v>498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520</v>
      </c>
      <c r="F247" s="7" t="s">
        <v>521</v>
      </c>
      <c r="G247" s="7" t="s">
        <v>522</v>
      </c>
      <c r="H247" s="1" t="s">
        <v>326</v>
      </c>
      <c r="I247" s="1" t="s">
        <v>523</v>
      </c>
      <c r="J247" s="1" t="str">
        <f t="shared" si="24"/>
        <v>20</v>
      </c>
      <c r="K247" s="1" t="str">
        <f t="shared" si="25"/>
        <v>32</v>
      </c>
      <c r="L247" s="1" t="str">
        <f t="shared" si="26"/>
        <v>36</v>
      </c>
      <c r="M247" s="1" t="str">
        <f t="shared" si="27"/>
        <v>78</v>
      </c>
      <c r="N247" s="1" t="str">
        <f t="shared" si="28"/>
        <v>21</v>
      </c>
      <c r="O247" s="1" t="str">
        <f t="shared" si="29"/>
        <v>00</v>
      </c>
      <c r="P247" s="2">
        <f t="shared" si="30"/>
        <v>20.543333333333333</v>
      </c>
      <c r="Q247" s="2">
        <f t="shared" si="32"/>
        <v>-78.349999999999994</v>
      </c>
      <c r="R247" s="16" t="s">
        <v>524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525</v>
      </c>
      <c r="F248" s="7" t="s">
        <v>526</v>
      </c>
      <c r="G248" s="7" t="s">
        <v>522</v>
      </c>
      <c r="H248" s="1" t="s">
        <v>326</v>
      </c>
      <c r="I248" s="1" t="s">
        <v>523</v>
      </c>
      <c r="J248" s="1" t="str">
        <f t="shared" si="24"/>
        <v>20</v>
      </c>
      <c r="K248" s="1" t="str">
        <f t="shared" si="25"/>
        <v>40</v>
      </c>
      <c r="L248" s="1" t="str">
        <f t="shared" si="26"/>
        <v>14</v>
      </c>
      <c r="M248" s="1" t="str">
        <f t="shared" si="27"/>
        <v>78</v>
      </c>
      <c r="N248" s="1" t="str">
        <f t="shared" si="28"/>
        <v>41</v>
      </c>
      <c r="O248" s="1" t="str">
        <f t="shared" si="29"/>
        <v>15</v>
      </c>
      <c r="P248" s="2">
        <f t="shared" si="30"/>
        <v>20.670555555555556</v>
      </c>
      <c r="Q248" s="2">
        <f t="shared" si="32"/>
        <v>-78.6875</v>
      </c>
      <c r="R248" s="16" t="s">
        <v>524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527</v>
      </c>
      <c r="F249" s="7" t="s">
        <v>528</v>
      </c>
      <c r="G249" s="7" t="s">
        <v>522</v>
      </c>
      <c r="H249" s="1" t="s">
        <v>326</v>
      </c>
      <c r="I249" s="1" t="s">
        <v>523</v>
      </c>
      <c r="J249" s="1" t="str">
        <f t="shared" si="24"/>
        <v>21</v>
      </c>
      <c r="K249" s="1" t="str">
        <f t="shared" si="25"/>
        <v>01</v>
      </c>
      <c r="L249" s="1" t="str">
        <f t="shared" si="26"/>
        <v>12</v>
      </c>
      <c r="M249" s="1" t="str">
        <f t="shared" si="27"/>
        <v>79</v>
      </c>
      <c r="N249" s="1" t="str">
        <f t="shared" si="28"/>
        <v>11</v>
      </c>
      <c r="O249" s="1" t="str">
        <f t="shared" si="29"/>
        <v>32</v>
      </c>
      <c r="P249" s="2">
        <f t="shared" si="30"/>
        <v>21.02</v>
      </c>
      <c r="Q249" s="2">
        <f t="shared" si="32"/>
        <v>-79.192222222222227</v>
      </c>
      <c r="R249" s="16" t="s">
        <v>524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529</v>
      </c>
      <c r="F250" s="7" t="s">
        <v>530</v>
      </c>
      <c r="G250" s="7" t="s">
        <v>522</v>
      </c>
      <c r="H250" s="1" t="s">
        <v>326</v>
      </c>
      <c r="I250" s="1" t="s">
        <v>288</v>
      </c>
      <c r="J250" s="1" t="str">
        <f t="shared" si="24"/>
        <v>22</v>
      </c>
      <c r="K250" s="1" t="str">
        <f t="shared" si="25"/>
        <v>02</v>
      </c>
      <c r="L250" s="1" t="str">
        <f t="shared" si="26"/>
        <v>36</v>
      </c>
      <c r="M250" s="1" t="str">
        <f t="shared" si="27"/>
        <v>81</v>
      </c>
      <c r="N250" s="1" t="str">
        <f t="shared" si="28"/>
        <v>38</v>
      </c>
      <c r="O250" s="1" t="str">
        <f t="shared" si="29"/>
        <v>11</v>
      </c>
      <c r="P250" s="2">
        <f t="shared" si="30"/>
        <v>22.043333333333333</v>
      </c>
      <c r="Q250" s="2">
        <f t="shared" si="32"/>
        <v>-81.636388888888888</v>
      </c>
      <c r="R250" s="16" t="s">
        <v>524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531</v>
      </c>
      <c r="F251" s="7" t="s">
        <v>532</v>
      </c>
      <c r="G251" s="7" t="s">
        <v>522</v>
      </c>
      <c r="H251" s="1" t="s">
        <v>326</v>
      </c>
      <c r="I251" s="1" t="s">
        <v>288</v>
      </c>
      <c r="J251" s="1" t="str">
        <f t="shared" si="24"/>
        <v>22</v>
      </c>
      <c r="K251" s="1" t="str">
        <f t="shared" si="25"/>
        <v>05</v>
      </c>
      <c r="L251" s="1" t="str">
        <f t="shared" si="26"/>
        <v>54</v>
      </c>
      <c r="M251" s="1" t="str">
        <f t="shared" si="27"/>
        <v>81</v>
      </c>
      <c r="N251" s="1" t="str">
        <f t="shared" si="28"/>
        <v>33</v>
      </c>
      <c r="O251" s="1" t="str">
        <f t="shared" si="29"/>
        <v>56</v>
      </c>
      <c r="P251" s="2">
        <f t="shared" si="30"/>
        <v>22.098333333333333</v>
      </c>
      <c r="Q251" s="2">
        <f t="shared" si="32"/>
        <v>-81.565555555555562</v>
      </c>
      <c r="R251" s="16" t="s">
        <v>524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533</v>
      </c>
      <c r="F252" s="7" t="s">
        <v>534</v>
      </c>
      <c r="G252" s="7" t="s">
        <v>522</v>
      </c>
      <c r="H252" s="1" t="s">
        <v>326</v>
      </c>
      <c r="I252" s="1" t="s">
        <v>288</v>
      </c>
      <c r="J252" s="1" t="str">
        <f t="shared" ref="J252:J262" si="33">MID(E252,1,FIND("°",E252,1)-1)</f>
        <v>22</v>
      </c>
      <c r="K252" s="1" t="str">
        <f t="shared" ref="K252:K262" si="34">MID(E252,FIND("°",E252,1)+1,(FIND("′",E252,1)-FIND("°",E252,1))-1)</f>
        <v>01</v>
      </c>
      <c r="L252" s="1" t="str">
        <f t="shared" ref="L252:L262" si="35">MID(E252,FIND("′",E252,1)+1,(FIND("″",E252,1)-FIND("′",E252,1))-1)</f>
        <v>07</v>
      </c>
      <c r="M252" s="1" t="str">
        <f t="shared" ref="M252:M262" si="36">MID(F252,1,FIND("°",F252,1)-1)</f>
        <v>81</v>
      </c>
      <c r="N252" s="1" t="str">
        <f t="shared" ref="N252:N262" si="37">MID(F252,FIND("°",F252,1)+1,(FIND("′",F252,1)-FIND("°",F252,1))-1)</f>
        <v>21</v>
      </c>
      <c r="O252" s="1" t="str">
        <f t="shared" ref="O252:O262" si="38">MID(F252,FIND("′",F252,1)+1,(FIND("″",F252,1)-FIND("′",F252,1))-1)</f>
        <v>43</v>
      </c>
      <c r="P252" s="2">
        <f t="shared" ref="P252:P262" si="39">((((L252/60)+K252)/60)+J252)*IF(C252="S",-1, 1)</f>
        <v>22.01861111111111</v>
      </c>
      <c r="Q252" s="2">
        <f t="shared" si="32"/>
        <v>-81.361944444444447</v>
      </c>
      <c r="R252" s="16" t="s">
        <v>524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535</v>
      </c>
      <c r="F253" s="7" t="s">
        <v>536</v>
      </c>
      <c r="G253" s="1" t="s">
        <v>537</v>
      </c>
      <c r="H253" s="1" t="s">
        <v>326</v>
      </c>
      <c r="I253" s="1" t="s">
        <v>538</v>
      </c>
      <c r="J253" s="1" t="str">
        <f t="shared" si="33"/>
        <v>09</v>
      </c>
      <c r="K253" s="1" t="str">
        <f t="shared" si="34"/>
        <v>44</v>
      </c>
      <c r="L253" s="1" t="str">
        <f t="shared" si="35"/>
        <v>15</v>
      </c>
      <c r="M253" s="1" t="str">
        <f t="shared" si="36"/>
        <v>82</v>
      </c>
      <c r="N253" s="1" t="str">
        <f t="shared" si="37"/>
        <v>49</v>
      </c>
      <c r="O253" s="1" t="str">
        <f t="shared" si="38"/>
        <v>28</v>
      </c>
      <c r="P253" s="2">
        <f t="shared" si="39"/>
        <v>9.7375000000000007</v>
      </c>
      <c r="Q253" s="2">
        <f t="shared" si="32"/>
        <v>-82.824444444444438</v>
      </c>
      <c r="R253" s="16" t="s">
        <v>539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540</v>
      </c>
      <c r="G254" s="1" t="s">
        <v>537</v>
      </c>
      <c r="H254" s="1" t="s">
        <v>326</v>
      </c>
      <c r="I254" s="1" t="s">
        <v>538</v>
      </c>
      <c r="J254" s="1" t="str">
        <f t="shared" si="33"/>
        <v>09</v>
      </c>
      <c r="K254" s="1" t="str">
        <f t="shared" si="34"/>
        <v>44</v>
      </c>
      <c r="L254" s="1" t="str">
        <f t="shared" si="35"/>
        <v>24</v>
      </c>
      <c r="M254" s="1" t="str">
        <f t="shared" si="36"/>
        <v>82</v>
      </c>
      <c r="N254" s="1" t="str">
        <f t="shared" si="37"/>
        <v>49</v>
      </c>
      <c r="O254" s="1" t="str">
        <f t="shared" si="38"/>
        <v>19</v>
      </c>
      <c r="P254" s="2">
        <f t="shared" si="39"/>
        <v>9.74</v>
      </c>
      <c r="Q254" s="2">
        <f t="shared" si="32"/>
        <v>-82.821944444444441</v>
      </c>
      <c r="R254" s="16" t="s">
        <v>539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541</v>
      </c>
      <c r="F255" s="7" t="s">
        <v>542</v>
      </c>
      <c r="G255" s="1" t="s">
        <v>537</v>
      </c>
      <c r="H255" s="1" t="s">
        <v>326</v>
      </c>
      <c r="I255" s="1" t="s">
        <v>538</v>
      </c>
      <c r="J255" s="1" t="str">
        <f t="shared" si="33"/>
        <v>09</v>
      </c>
      <c r="K255" s="1" t="str">
        <f t="shared" si="34"/>
        <v>44</v>
      </c>
      <c r="L255" s="1" t="str">
        <f t="shared" si="35"/>
        <v>48</v>
      </c>
      <c r="M255" s="1" t="str">
        <f t="shared" si="36"/>
        <v>82</v>
      </c>
      <c r="N255" s="1" t="str">
        <f t="shared" si="37"/>
        <v>49</v>
      </c>
      <c r="O255" s="1" t="str">
        <f t="shared" si="38"/>
        <v>08</v>
      </c>
      <c r="P255" s="2">
        <f t="shared" si="39"/>
        <v>9.7466666666666661</v>
      </c>
      <c r="Q255" s="2">
        <f t="shared" si="32"/>
        <v>-82.818888888888893</v>
      </c>
      <c r="R255" s="16" t="s">
        <v>539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543</v>
      </c>
      <c r="F256" s="7" t="s">
        <v>544</v>
      </c>
      <c r="G256" s="1" t="s">
        <v>537</v>
      </c>
      <c r="H256" s="1" t="s">
        <v>326</v>
      </c>
      <c r="I256" s="1" t="s">
        <v>538</v>
      </c>
      <c r="J256" s="1" t="str">
        <f t="shared" si="33"/>
        <v>09</v>
      </c>
      <c r="K256" s="1" t="str">
        <f t="shared" si="34"/>
        <v>44</v>
      </c>
      <c r="L256" s="1" t="str">
        <f t="shared" si="35"/>
        <v>36</v>
      </c>
      <c r="M256" s="1" t="str">
        <f t="shared" si="36"/>
        <v>82</v>
      </c>
      <c r="N256" s="1" t="str">
        <f t="shared" si="37"/>
        <v>48</v>
      </c>
      <c r="O256" s="1" t="str">
        <f t="shared" si="38"/>
        <v>23</v>
      </c>
      <c r="P256" s="2">
        <f t="shared" si="39"/>
        <v>9.7433333333333341</v>
      </c>
      <c r="Q256" s="2">
        <f t="shared" si="32"/>
        <v>-82.80638888888889</v>
      </c>
      <c r="R256" s="16" t="s">
        <v>539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545</v>
      </c>
      <c r="F257" s="7" t="s">
        <v>546</v>
      </c>
      <c r="G257" s="1" t="s">
        <v>537</v>
      </c>
      <c r="H257" s="1" t="s">
        <v>326</v>
      </c>
      <c r="I257" s="1" t="s">
        <v>538</v>
      </c>
      <c r="J257" s="1" t="str">
        <f t="shared" si="33"/>
        <v>09</v>
      </c>
      <c r="K257" s="1" t="str">
        <f t="shared" si="34"/>
        <v>44</v>
      </c>
      <c r="L257" s="1" t="str">
        <f t="shared" si="35"/>
        <v>29</v>
      </c>
      <c r="M257" s="1" t="str">
        <f t="shared" si="36"/>
        <v>82</v>
      </c>
      <c r="N257" s="1" t="str">
        <f t="shared" si="37"/>
        <v>48</v>
      </c>
      <c r="O257" s="1" t="str">
        <f t="shared" si="38"/>
        <v>32</v>
      </c>
      <c r="P257" s="2">
        <f t="shared" si="39"/>
        <v>9.7413888888888884</v>
      </c>
      <c r="Q257" s="2">
        <f t="shared" si="32"/>
        <v>-82.808888888888887</v>
      </c>
      <c r="R257" s="16" t="s">
        <v>539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547</v>
      </c>
      <c r="F258" s="7" t="s">
        <v>548</v>
      </c>
      <c r="G258" s="1" t="s">
        <v>537</v>
      </c>
      <c r="H258" s="1" t="s">
        <v>326</v>
      </c>
      <c r="I258" s="1" t="s">
        <v>538</v>
      </c>
      <c r="J258" s="1" t="str">
        <f t="shared" si="33"/>
        <v>09</v>
      </c>
      <c r="K258" s="1" t="str">
        <f t="shared" si="34"/>
        <v>44</v>
      </c>
      <c r="L258" s="1" t="str">
        <f t="shared" si="35"/>
        <v>16</v>
      </c>
      <c r="M258" s="1" t="str">
        <f t="shared" si="36"/>
        <v>82</v>
      </c>
      <c r="N258" s="1" t="str">
        <f t="shared" si="37"/>
        <v>48</v>
      </c>
      <c r="O258" s="1" t="str">
        <f t="shared" si="38"/>
        <v>30</v>
      </c>
      <c r="P258" s="2">
        <f t="shared" si="39"/>
        <v>9.7377777777777776</v>
      </c>
      <c r="Q258" s="2">
        <f t="shared" si="32"/>
        <v>-82.808333333333337</v>
      </c>
      <c r="R258" s="16" t="s">
        <v>539</v>
      </c>
    </row>
    <row r="259" spans="1:18" ht="18" customHeight="1" x14ac:dyDescent="0.25">
      <c r="A259" s="1">
        <v>258</v>
      </c>
      <c r="B259" s="21" t="s">
        <v>569</v>
      </c>
      <c r="C259" s="1" t="s">
        <v>26</v>
      </c>
      <c r="D259" s="1" t="s">
        <v>19</v>
      </c>
      <c r="E259" t="s">
        <v>551</v>
      </c>
      <c r="F259" t="s">
        <v>560</v>
      </c>
      <c r="G259" s="20" t="s">
        <v>549</v>
      </c>
      <c r="H259" s="1" t="s">
        <v>326</v>
      </c>
      <c r="I259" s="19" t="s">
        <v>581</v>
      </c>
      <c r="J259" s="1" t="str">
        <f t="shared" si="33"/>
        <v>13</v>
      </c>
      <c r="K259" s="1" t="str">
        <f t="shared" si="34"/>
        <v>32</v>
      </c>
      <c r="L259" s="1" t="str">
        <f t="shared" si="35"/>
        <v>10</v>
      </c>
      <c r="M259" s="1" t="str">
        <f t="shared" si="36"/>
        <v>38</v>
      </c>
      <c r="N259" s="1" t="str">
        <f t="shared" si="37"/>
        <v>29</v>
      </c>
      <c r="O259" s="1" t="str">
        <f t="shared" si="38"/>
        <v>42</v>
      </c>
      <c r="P259" s="2">
        <f t="shared" si="39"/>
        <v>-13.536111111111111</v>
      </c>
      <c r="Q259" s="2">
        <f t="shared" si="32"/>
        <v>-38.494999999999997</v>
      </c>
      <c r="R259" s="16" t="s">
        <v>550</v>
      </c>
    </row>
    <row r="260" spans="1:18" ht="18" customHeight="1" x14ac:dyDescent="0.25">
      <c r="A260" s="1">
        <v>259</v>
      </c>
      <c r="B260" s="21" t="s">
        <v>569</v>
      </c>
      <c r="C260" s="1" t="s">
        <v>26</v>
      </c>
      <c r="D260" s="1" t="s">
        <v>19</v>
      </c>
      <c r="E260" t="s">
        <v>552</v>
      </c>
      <c r="F260" t="s">
        <v>561</v>
      </c>
      <c r="G260" s="20" t="s">
        <v>549</v>
      </c>
      <c r="H260" s="1" t="s">
        <v>326</v>
      </c>
      <c r="I260" s="19" t="s">
        <v>581</v>
      </c>
      <c r="J260" s="1" t="str">
        <f t="shared" si="33"/>
        <v>21</v>
      </c>
      <c r="K260" s="1" t="str">
        <f t="shared" si="34"/>
        <v>19</v>
      </c>
      <c r="L260" s="1" t="str">
        <f t="shared" si="35"/>
        <v>18</v>
      </c>
      <c r="M260" s="1" t="str">
        <f t="shared" si="36"/>
        <v>40</v>
      </c>
      <c r="N260" s="1" t="str">
        <f t="shared" si="37"/>
        <v>36</v>
      </c>
      <c r="O260" s="1" t="str">
        <f t="shared" si="38"/>
        <v>28</v>
      </c>
      <c r="P260" s="2">
        <f t="shared" si="39"/>
        <v>-21.321666666666665</v>
      </c>
      <c r="Q260" s="2">
        <f t="shared" si="32"/>
        <v>-40.607777777777777</v>
      </c>
      <c r="R260" s="16" t="s">
        <v>550</v>
      </c>
    </row>
    <row r="261" spans="1:18" ht="15" customHeight="1" x14ac:dyDescent="0.25">
      <c r="A261" s="1">
        <v>260</v>
      </c>
      <c r="B261" s="21" t="s">
        <v>569</v>
      </c>
      <c r="C261" s="1" t="s">
        <v>26</v>
      </c>
      <c r="D261" s="1" t="s">
        <v>19</v>
      </c>
      <c r="E261" t="s">
        <v>553</v>
      </c>
      <c r="F261" t="s">
        <v>562</v>
      </c>
      <c r="G261" s="20" t="s">
        <v>549</v>
      </c>
      <c r="H261" s="1" t="s">
        <v>326</v>
      </c>
      <c r="I261" s="19" t="s">
        <v>581</v>
      </c>
      <c r="J261" s="1" t="str">
        <f t="shared" si="33"/>
        <v>23</v>
      </c>
      <c r="K261" s="1" t="str">
        <f t="shared" si="34"/>
        <v>11</v>
      </c>
      <c r="L261" s="1" t="str">
        <f t="shared" si="35"/>
        <v>07</v>
      </c>
      <c r="M261" s="1" t="str">
        <f t="shared" si="36"/>
        <v>42</v>
      </c>
      <c r="N261" s="1" t="str">
        <f t="shared" si="37"/>
        <v>59</v>
      </c>
      <c r="O261" s="1" t="str">
        <f t="shared" si="38"/>
        <v>14</v>
      </c>
      <c r="P261" s="2">
        <f t="shared" si="39"/>
        <v>-23.185277777777777</v>
      </c>
      <c r="Q261" s="2">
        <f t="shared" si="32"/>
        <v>-42.987222222222222</v>
      </c>
      <c r="R261" s="16" t="s">
        <v>550</v>
      </c>
    </row>
    <row r="262" spans="1:18" ht="15" customHeight="1" x14ac:dyDescent="0.25">
      <c r="A262" s="1">
        <v>261</v>
      </c>
      <c r="B262" s="21" t="s">
        <v>569</v>
      </c>
      <c r="C262" s="1" t="s">
        <v>26</v>
      </c>
      <c r="D262" s="1" t="s">
        <v>19</v>
      </c>
      <c r="E262" t="s">
        <v>554</v>
      </c>
      <c r="F262" t="s">
        <v>563</v>
      </c>
      <c r="G262" s="20" t="s">
        <v>549</v>
      </c>
      <c r="H262" s="1" t="s">
        <v>326</v>
      </c>
      <c r="I262" s="19" t="s">
        <v>581</v>
      </c>
      <c r="J262" s="1" t="str">
        <f t="shared" si="33"/>
        <v>10</v>
      </c>
      <c r="K262" s="1" t="str">
        <f t="shared" si="34"/>
        <v>07</v>
      </c>
      <c r="L262" s="1" t="str">
        <f t="shared" si="35"/>
        <v>02</v>
      </c>
      <c r="M262" s="1" t="str">
        <f t="shared" si="36"/>
        <v>35</v>
      </c>
      <c r="N262" s="1" t="str">
        <f t="shared" si="37"/>
        <v>48</v>
      </c>
      <c r="O262" s="1" t="str">
        <f t="shared" si="38"/>
        <v>03</v>
      </c>
      <c r="P262" s="2">
        <f t="shared" si="39"/>
        <v>-10.117222222222223</v>
      </c>
      <c r="Q262" s="2">
        <f t="shared" si="32"/>
        <v>-35.80083333333333</v>
      </c>
      <c r="R262" s="16" t="s">
        <v>550</v>
      </c>
    </row>
    <row r="263" spans="1:18" ht="15.75" customHeight="1" x14ac:dyDescent="0.25">
      <c r="A263" s="1">
        <v>262</v>
      </c>
      <c r="B263" s="21" t="s">
        <v>569</v>
      </c>
      <c r="C263" s="1" t="s">
        <v>26</v>
      </c>
      <c r="D263" s="1" t="s">
        <v>19</v>
      </c>
      <c r="E263" t="s">
        <v>555</v>
      </c>
      <c r="F263" t="s">
        <v>564</v>
      </c>
      <c r="G263" s="20" t="s">
        <v>549</v>
      </c>
      <c r="H263" s="1" t="s">
        <v>326</v>
      </c>
      <c r="I263" s="19" t="s">
        <v>581</v>
      </c>
      <c r="J263" s="1" t="str">
        <f t="shared" ref="J263:J272" si="40">MID(E263,1,FIND("°",E263,1)-1)</f>
        <v>08</v>
      </c>
      <c r="K263" s="1" t="str">
        <f t="shared" ref="K263:K272" si="41">MID(E263,FIND("°",E263,1)+1,(FIND("′",E263,1)-FIND("°",E263,1))-1)</f>
        <v>57</v>
      </c>
      <c r="L263" s="1" t="str">
        <f t="shared" ref="L263:L272" si="42">MID(E263,FIND("′",E263,1)+1,(FIND("″",E263,1)-FIND("′",E263,1))-1)</f>
        <v>39</v>
      </c>
      <c r="M263" s="1" t="str">
        <f t="shared" ref="M263:M272" si="43">MID(F263,1,FIND("°",F263,1)-1)</f>
        <v>34</v>
      </c>
      <c r="N263" s="1" t="str">
        <f t="shared" ref="N263:N272" si="44">MID(F263,FIND("°",F263,1)+1,(FIND("′",F263,1)-FIND("°",F263,1))-1)</f>
        <v>51</v>
      </c>
      <c r="O263" s="1" t="str">
        <f t="shared" ref="O263:O272" si="45">MID(F263,FIND("′",F263,1)+1,(FIND("″",F263,1)-FIND("′",F263,1))-1)</f>
        <v>27</v>
      </c>
      <c r="P263" s="2">
        <f t="shared" ref="P263:P272" si="46">((((L263/60)+K263)/60)+J263)*IF(C263="S",-1, 1)</f>
        <v>-8.9608333333333334</v>
      </c>
      <c r="Q263" s="2">
        <f t="shared" ref="Q263:Q272" si="47">((((O263/60)+N263)/60)+M263)*IF(D264="W",-1, 1)</f>
        <v>-34.857500000000002</v>
      </c>
      <c r="R263" s="16" t="s">
        <v>550</v>
      </c>
    </row>
    <row r="264" spans="1:18" ht="18" customHeight="1" x14ac:dyDescent="0.25">
      <c r="A264" s="1">
        <v>263</v>
      </c>
      <c r="B264" s="21" t="s">
        <v>569</v>
      </c>
      <c r="C264" s="1" t="s">
        <v>26</v>
      </c>
      <c r="D264" s="1" t="s">
        <v>19</v>
      </c>
      <c r="E264" t="s">
        <v>556</v>
      </c>
      <c r="F264" t="s">
        <v>565</v>
      </c>
      <c r="G264" s="20" t="s">
        <v>549</v>
      </c>
      <c r="H264" s="1" t="s">
        <v>326</v>
      </c>
      <c r="I264" s="19" t="s">
        <v>581</v>
      </c>
      <c r="J264" s="1" t="str">
        <f t="shared" si="40"/>
        <v>05</v>
      </c>
      <c r="K264" s="1" t="str">
        <f t="shared" si="41"/>
        <v>45</v>
      </c>
      <c r="L264" s="1" t="str">
        <f t="shared" si="42"/>
        <v>48</v>
      </c>
      <c r="M264" s="1" t="str">
        <f t="shared" si="43"/>
        <v>34</v>
      </c>
      <c r="N264" s="1" t="str">
        <f t="shared" si="44"/>
        <v>55</v>
      </c>
      <c r="O264" s="1" t="str">
        <f t="shared" si="45"/>
        <v>53</v>
      </c>
      <c r="P264" s="2">
        <f t="shared" si="46"/>
        <v>-5.7633333333333336</v>
      </c>
      <c r="Q264" s="2">
        <f t="shared" si="47"/>
        <v>-34.93138888888889</v>
      </c>
      <c r="R264" s="16" t="s">
        <v>550</v>
      </c>
    </row>
    <row r="265" spans="1:18" ht="19.5" customHeight="1" x14ac:dyDescent="0.25">
      <c r="A265" s="1">
        <v>264</v>
      </c>
      <c r="B265" s="21" t="s">
        <v>569</v>
      </c>
      <c r="C265" s="1" t="s">
        <v>26</v>
      </c>
      <c r="D265" s="1" t="s">
        <v>19</v>
      </c>
      <c r="E265" t="s">
        <v>557</v>
      </c>
      <c r="F265" t="s">
        <v>566</v>
      </c>
      <c r="G265" s="20" t="s">
        <v>549</v>
      </c>
      <c r="H265" s="1" t="s">
        <v>326</v>
      </c>
      <c r="I265" s="19" t="s">
        <v>581</v>
      </c>
      <c r="J265" s="1" t="str">
        <f t="shared" si="40"/>
        <v>04</v>
      </c>
      <c r="K265" s="1" t="str">
        <f t="shared" si="41"/>
        <v>00</v>
      </c>
      <c r="L265" s="1" t="str">
        <f t="shared" si="42"/>
        <v>30</v>
      </c>
      <c r="M265" s="1" t="str">
        <f t="shared" si="43"/>
        <v>37</v>
      </c>
      <c r="N265" s="1" t="str">
        <f t="shared" si="44"/>
        <v>53</v>
      </c>
      <c r="O265" s="1" t="str">
        <f t="shared" si="45"/>
        <v>32</v>
      </c>
      <c r="P265" s="2">
        <f t="shared" si="46"/>
        <v>-4.0083333333333337</v>
      </c>
      <c r="Q265" s="2">
        <f t="shared" si="47"/>
        <v>-37.892222222222223</v>
      </c>
      <c r="R265" s="16" t="s">
        <v>550</v>
      </c>
    </row>
    <row r="266" spans="1:18" ht="18" customHeight="1" x14ac:dyDescent="0.25">
      <c r="A266" s="1">
        <v>265</v>
      </c>
      <c r="B266" s="21" t="s">
        <v>569</v>
      </c>
      <c r="C266" s="1" t="s">
        <v>26</v>
      </c>
      <c r="D266" s="1" t="s">
        <v>19</v>
      </c>
      <c r="E266" t="s">
        <v>558</v>
      </c>
      <c r="F266" t="s">
        <v>567</v>
      </c>
      <c r="G266" s="20" t="s">
        <v>549</v>
      </c>
      <c r="H266" s="1" t="s">
        <v>326</v>
      </c>
      <c r="I266" s="19" t="s">
        <v>581</v>
      </c>
      <c r="J266" s="1" t="str">
        <f t="shared" si="40"/>
        <v>00</v>
      </c>
      <c r="K266" s="1" t="str">
        <f t="shared" si="41"/>
        <v>35</v>
      </c>
      <c r="L266" s="1" t="str">
        <f t="shared" si="42"/>
        <v>01</v>
      </c>
      <c r="M266" s="1" t="str">
        <f t="shared" si="43"/>
        <v>48</v>
      </c>
      <c r="N266" s="1" t="str">
        <f t="shared" si="44"/>
        <v>13</v>
      </c>
      <c r="O266" s="1" t="str">
        <f t="shared" si="45"/>
        <v>07</v>
      </c>
      <c r="P266" s="2">
        <f t="shared" si="46"/>
        <v>-0.58361111111111108</v>
      </c>
      <c r="Q266" s="2">
        <f t="shared" si="47"/>
        <v>-48.218611111111109</v>
      </c>
      <c r="R266" s="16" t="s">
        <v>550</v>
      </c>
    </row>
    <row r="267" spans="1:18" ht="15.75" customHeight="1" x14ac:dyDescent="0.25">
      <c r="A267" s="1">
        <v>266</v>
      </c>
      <c r="B267" s="21" t="s">
        <v>569</v>
      </c>
      <c r="C267" s="1" t="s">
        <v>26</v>
      </c>
      <c r="D267" s="1" t="s">
        <v>19</v>
      </c>
      <c r="E267" t="s">
        <v>559</v>
      </c>
      <c r="F267" t="s">
        <v>568</v>
      </c>
      <c r="G267" s="20" t="s">
        <v>549</v>
      </c>
      <c r="H267" s="1" t="s">
        <v>326</v>
      </c>
      <c r="I267" s="19" t="s">
        <v>581</v>
      </c>
      <c r="J267" s="1" t="str">
        <f t="shared" si="40"/>
        <v>02</v>
      </c>
      <c r="K267" s="1" t="str">
        <f t="shared" si="41"/>
        <v>13</v>
      </c>
      <c r="L267" s="1" t="str">
        <f t="shared" si="42"/>
        <v>36</v>
      </c>
      <c r="M267" s="1" t="str">
        <f t="shared" si="43"/>
        <v>44</v>
      </c>
      <c r="N267" s="1" t="str">
        <f t="shared" si="44"/>
        <v>07</v>
      </c>
      <c r="O267" s="1" t="str">
        <f t="shared" si="45"/>
        <v>04</v>
      </c>
      <c r="P267" s="2">
        <f t="shared" si="46"/>
        <v>-2.2266666666666666</v>
      </c>
      <c r="Q267" s="2">
        <f t="shared" si="47"/>
        <v>-44.117777777777775</v>
      </c>
      <c r="R267" s="16" t="s">
        <v>550</v>
      </c>
    </row>
    <row r="268" spans="1:18" ht="16.5" customHeight="1" x14ac:dyDescent="0.25">
      <c r="A268" s="1">
        <v>267</v>
      </c>
      <c r="B268" s="21" t="s">
        <v>570</v>
      </c>
      <c r="C268" s="1" t="s">
        <v>18</v>
      </c>
      <c r="D268" s="1" t="s">
        <v>19</v>
      </c>
      <c r="E268" t="s">
        <v>571</v>
      </c>
      <c r="F268" t="s">
        <v>574</v>
      </c>
      <c r="G268" s="20" t="s">
        <v>549</v>
      </c>
      <c r="H268" s="1" t="s">
        <v>326</v>
      </c>
      <c r="I268" s="19" t="s">
        <v>581</v>
      </c>
      <c r="J268" s="1" t="str">
        <f t="shared" si="40"/>
        <v>10</v>
      </c>
      <c r="K268" s="1" t="str">
        <f t="shared" si="41"/>
        <v>39</v>
      </c>
      <c r="L268" s="1" t="str">
        <f t="shared" si="42"/>
        <v>46</v>
      </c>
      <c r="M268" s="1" t="str">
        <f t="shared" si="43"/>
        <v>66</v>
      </c>
      <c r="N268" s="1" t="str">
        <f t="shared" si="44"/>
        <v>54</v>
      </c>
      <c r="O268" s="1" t="str">
        <f t="shared" si="45"/>
        <v>58</v>
      </c>
      <c r="P268" s="2">
        <f t="shared" si="46"/>
        <v>10.662777777777778</v>
      </c>
      <c r="Q268" s="2">
        <f t="shared" si="47"/>
        <v>-66.916111111111107</v>
      </c>
      <c r="R268" s="16" t="s">
        <v>550</v>
      </c>
    </row>
    <row r="269" spans="1:18" ht="16.5" customHeight="1" x14ac:dyDescent="0.25">
      <c r="A269" s="1">
        <v>268</v>
      </c>
      <c r="B269" s="21" t="s">
        <v>570</v>
      </c>
      <c r="C269" s="1" t="s">
        <v>18</v>
      </c>
      <c r="D269" s="1" t="s">
        <v>19</v>
      </c>
      <c r="E269" t="s">
        <v>572</v>
      </c>
      <c r="F269" t="s">
        <v>575</v>
      </c>
      <c r="G269" s="20" t="s">
        <v>549</v>
      </c>
      <c r="H269" s="1" t="s">
        <v>326</v>
      </c>
      <c r="I269" s="19" t="s">
        <v>581</v>
      </c>
      <c r="J269" s="1" t="str">
        <f t="shared" si="40"/>
        <v>11</v>
      </c>
      <c r="K269" s="1" t="str">
        <f t="shared" si="41"/>
        <v>46</v>
      </c>
      <c r="L269" s="1" t="str">
        <f t="shared" si="42"/>
        <v>07</v>
      </c>
      <c r="M269" s="1" t="str">
        <f t="shared" si="43"/>
        <v>72</v>
      </c>
      <c r="N269" s="1" t="str">
        <f t="shared" si="44"/>
        <v>44</v>
      </c>
      <c r="O269" s="1" t="str">
        <f t="shared" si="45"/>
        <v>40</v>
      </c>
      <c r="P269" s="2">
        <f t="shared" si="46"/>
        <v>11.768611111111111</v>
      </c>
      <c r="Q269" s="2">
        <f t="shared" si="47"/>
        <v>-72.74444444444444</v>
      </c>
      <c r="R269" s="16" t="s">
        <v>550</v>
      </c>
    </row>
    <row r="270" spans="1:18" ht="15.75" customHeight="1" x14ac:dyDescent="0.25">
      <c r="A270" s="1">
        <v>269</v>
      </c>
      <c r="B270" s="21" t="s">
        <v>570</v>
      </c>
      <c r="C270" s="1" t="s">
        <v>18</v>
      </c>
      <c r="D270" s="1" t="s">
        <v>19</v>
      </c>
      <c r="E270" t="s">
        <v>573</v>
      </c>
      <c r="F270" t="s">
        <v>576</v>
      </c>
      <c r="G270" s="20" t="s">
        <v>549</v>
      </c>
      <c r="H270" s="1" t="s">
        <v>326</v>
      </c>
      <c r="I270" s="19" t="s">
        <v>581</v>
      </c>
      <c r="J270" s="1" t="str">
        <f t="shared" si="40"/>
        <v>11</v>
      </c>
      <c r="K270" s="1" t="str">
        <f t="shared" si="41"/>
        <v>34</v>
      </c>
      <c r="L270" s="1" t="str">
        <f t="shared" si="42"/>
        <v>37</v>
      </c>
      <c r="M270" s="1" t="str">
        <f t="shared" si="43"/>
        <v>73</v>
      </c>
      <c r="N270" s="1" t="str">
        <f t="shared" si="44"/>
        <v>13</v>
      </c>
      <c r="O270" s="1" t="str">
        <f t="shared" si="45"/>
        <v>25</v>
      </c>
      <c r="P270" s="2">
        <f t="shared" si="46"/>
        <v>11.576944444444445</v>
      </c>
      <c r="Q270" s="2">
        <f t="shared" si="47"/>
        <v>-73.223611111111111</v>
      </c>
      <c r="R270" s="16" t="s">
        <v>550</v>
      </c>
    </row>
    <row r="271" spans="1:18" ht="16.5" customHeight="1" x14ac:dyDescent="0.25">
      <c r="A271" s="1">
        <v>270</v>
      </c>
      <c r="B271" s="21" t="s">
        <v>570</v>
      </c>
      <c r="C271" s="1" t="s">
        <v>18</v>
      </c>
      <c r="D271" s="1" t="s">
        <v>19</v>
      </c>
      <c r="E271" t="s">
        <v>577</v>
      </c>
      <c r="F271" t="s">
        <v>578</v>
      </c>
      <c r="G271" s="20" t="s">
        <v>549</v>
      </c>
      <c r="H271" s="1" t="s">
        <v>326</v>
      </c>
      <c r="I271" s="19" t="s">
        <v>581</v>
      </c>
      <c r="J271" s="1" t="str">
        <f t="shared" si="40"/>
        <v>11</v>
      </c>
      <c r="K271" s="1" t="str">
        <f t="shared" si="41"/>
        <v>24</v>
      </c>
      <c r="L271" s="1" t="str">
        <f t="shared" si="42"/>
        <v>46</v>
      </c>
      <c r="M271" s="1" t="str">
        <f t="shared" si="43"/>
        <v>73</v>
      </c>
      <c r="N271" s="1" t="str">
        <f t="shared" si="44"/>
        <v>55</v>
      </c>
      <c r="O271" s="1" t="str">
        <f t="shared" si="45"/>
        <v>49</v>
      </c>
      <c r="P271" s="2">
        <f t="shared" si="46"/>
        <v>11.412777777777778</v>
      </c>
      <c r="Q271" s="2">
        <f t="shared" si="47"/>
        <v>-73.930277777777775</v>
      </c>
      <c r="R271" s="16" t="s">
        <v>550</v>
      </c>
    </row>
    <row r="272" spans="1:18" ht="19.5" customHeight="1" x14ac:dyDescent="0.25">
      <c r="A272" s="1">
        <v>271</v>
      </c>
      <c r="B272" s="21" t="s">
        <v>570</v>
      </c>
      <c r="C272" s="1" t="s">
        <v>18</v>
      </c>
      <c r="D272" s="1" t="s">
        <v>19</v>
      </c>
      <c r="E272" t="s">
        <v>579</v>
      </c>
      <c r="F272" t="s">
        <v>580</v>
      </c>
      <c r="G272" s="20" t="s">
        <v>549</v>
      </c>
      <c r="H272" s="1" t="s">
        <v>326</v>
      </c>
      <c r="I272" s="19" t="s">
        <v>581</v>
      </c>
      <c r="J272" s="1" t="str">
        <f t="shared" si="40"/>
        <v>12</v>
      </c>
      <c r="K272" s="1" t="str">
        <f t="shared" si="41"/>
        <v>36</v>
      </c>
      <c r="L272" s="1" t="str">
        <f t="shared" si="42"/>
        <v>05</v>
      </c>
      <c r="M272" s="1" t="str">
        <f t="shared" si="43"/>
        <v>82</v>
      </c>
      <c r="N272" s="1" t="str">
        <f t="shared" si="44"/>
        <v>48</v>
      </c>
      <c r="O272" s="1" t="str">
        <f t="shared" si="45"/>
        <v>45</v>
      </c>
      <c r="P272" s="2">
        <f t="shared" si="46"/>
        <v>12.60138888888889</v>
      </c>
      <c r="Q272" s="2">
        <f t="shared" si="47"/>
        <v>-82.8125</v>
      </c>
      <c r="R272" s="16" t="s">
        <v>550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20" t="s">
        <v>584</v>
      </c>
      <c r="F273" s="20" t="s">
        <v>603</v>
      </c>
      <c r="G273" s="20" t="s">
        <v>583</v>
      </c>
      <c r="H273" s="1" t="s">
        <v>326</v>
      </c>
      <c r="I273" s="1" t="s">
        <v>604</v>
      </c>
      <c r="J273" s="1" t="str">
        <f t="shared" ref="J273:J314" si="48">MID(E273,1,FIND("°",E273,1)-1)</f>
        <v>19</v>
      </c>
      <c r="K273" s="1" t="str">
        <f t="shared" ref="K273:K314" si="49">MID(E273,FIND("°",E273,1)+1,(FIND("′",E273,1)-FIND("°",E273,1))-1)</f>
        <v>05</v>
      </c>
      <c r="L273" s="1" t="str">
        <f t="shared" ref="L273:L314" si="50">MID(E273,FIND("′",E273,1)+1,(FIND("″",E273,1)-FIND("′",E273,1))-1)</f>
        <v>44</v>
      </c>
      <c r="M273" s="1" t="str">
        <f t="shared" ref="M273:M314" si="51">MID(F273,1,FIND("°",F273,1)-1)</f>
        <v>87</v>
      </c>
      <c r="N273" s="1" t="str">
        <f t="shared" ref="N273:N314" si="52">MID(F273,FIND("°",F273,1)+1,(FIND("′",F273,1)-FIND("°",F273,1))-1)</f>
        <v>23</v>
      </c>
      <c r="O273" s="1" t="str">
        <f t="shared" ref="O273:O314" si="53">MID(F273,FIND("′",F273,1)+1,(FIND("″",F273,1)-FIND("′",F273,1))-1)</f>
        <v>22</v>
      </c>
      <c r="P273" s="2">
        <f t="shared" ref="P273:P314" si="54">((((L273/60)+K273)/60)+J273)*IF(C273="S",-1, 1)</f>
        <v>19.095555555555556</v>
      </c>
      <c r="Q273" s="2">
        <f t="shared" ref="Q273:Q314" si="55">((((O273/60)+N273)/60)+M273)*IF(D274="W",-1, 1)</f>
        <v>-87.38944444444445</v>
      </c>
      <c r="R273" s="16" t="s">
        <v>582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20" t="s">
        <v>585</v>
      </c>
      <c r="F274" s="20" t="s">
        <v>602</v>
      </c>
      <c r="G274" s="20" t="s">
        <v>583</v>
      </c>
      <c r="H274" s="1" t="s">
        <v>326</v>
      </c>
      <c r="I274" s="1" t="s">
        <v>604</v>
      </c>
      <c r="J274" s="1" t="str">
        <f t="shared" si="48"/>
        <v>19</v>
      </c>
      <c r="K274" s="1" t="str">
        <f t="shared" si="49"/>
        <v>01</v>
      </c>
      <c r="L274" s="1" t="str">
        <f t="shared" si="50"/>
        <v>25</v>
      </c>
      <c r="M274" s="1" t="str">
        <f t="shared" si="51"/>
        <v>87</v>
      </c>
      <c r="N274" s="1" t="str">
        <f t="shared" si="52"/>
        <v>11</v>
      </c>
      <c r="O274" s="1" t="str">
        <f t="shared" si="53"/>
        <v>20</v>
      </c>
      <c r="P274" s="2">
        <f t="shared" si="54"/>
        <v>19.023611111111112</v>
      </c>
      <c r="Q274" s="2">
        <f t="shared" si="55"/>
        <v>-87.188888888888883</v>
      </c>
      <c r="R274" s="16" t="s">
        <v>582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20" t="s">
        <v>586</v>
      </c>
      <c r="F275" s="20" t="s">
        <v>601</v>
      </c>
      <c r="G275" s="20" t="s">
        <v>583</v>
      </c>
      <c r="H275" s="1" t="s">
        <v>326</v>
      </c>
      <c r="I275" s="1" t="s">
        <v>604</v>
      </c>
      <c r="J275" s="1" t="str">
        <f t="shared" si="48"/>
        <v>18</v>
      </c>
      <c r="K275" s="1" t="str">
        <f t="shared" si="49"/>
        <v>57</v>
      </c>
      <c r="L275" s="1" t="str">
        <f t="shared" si="50"/>
        <v>22</v>
      </c>
      <c r="M275" s="1" t="str">
        <f t="shared" si="51"/>
        <v>86</v>
      </c>
      <c r="N275" s="1" t="str">
        <f t="shared" si="52"/>
        <v>57</v>
      </c>
      <c r="O275" s="1" t="str">
        <f t="shared" si="53"/>
        <v>43</v>
      </c>
      <c r="P275" s="2">
        <f t="shared" si="54"/>
        <v>18.95611111111111</v>
      </c>
      <c r="Q275" s="2">
        <f t="shared" si="55"/>
        <v>-86.961944444444441</v>
      </c>
      <c r="R275" s="16" t="s">
        <v>582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20" t="s">
        <v>587</v>
      </c>
      <c r="F276" s="20" t="s">
        <v>600</v>
      </c>
      <c r="G276" s="20" t="s">
        <v>583</v>
      </c>
      <c r="H276" s="1" t="s">
        <v>326</v>
      </c>
      <c r="I276" s="1" t="s">
        <v>604</v>
      </c>
      <c r="J276" s="1" t="str">
        <f t="shared" si="48"/>
        <v>18</v>
      </c>
      <c r="K276" s="1" t="str">
        <f t="shared" si="49"/>
        <v>51</v>
      </c>
      <c r="L276" s="1" t="str">
        <f t="shared" si="50"/>
        <v>45</v>
      </c>
      <c r="M276" s="1" t="str">
        <f t="shared" si="51"/>
        <v>86</v>
      </c>
      <c r="N276" s="1" t="str">
        <f t="shared" si="52"/>
        <v>42</v>
      </c>
      <c r="O276" s="1" t="str">
        <f t="shared" si="53"/>
        <v>33</v>
      </c>
      <c r="P276" s="2">
        <f t="shared" si="54"/>
        <v>18.862500000000001</v>
      </c>
      <c r="Q276" s="2">
        <f t="shared" si="55"/>
        <v>-86.709166666666661</v>
      </c>
      <c r="R276" s="16" t="s">
        <v>582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20" t="s">
        <v>588</v>
      </c>
      <c r="F277" s="20" t="s">
        <v>599</v>
      </c>
      <c r="G277" s="20" t="s">
        <v>583</v>
      </c>
      <c r="H277" s="1" t="s">
        <v>326</v>
      </c>
      <c r="I277" s="1" t="s">
        <v>604</v>
      </c>
      <c r="J277" s="1" t="str">
        <f t="shared" si="48"/>
        <v>19</v>
      </c>
      <c r="K277" s="1" t="str">
        <f t="shared" si="49"/>
        <v>26</v>
      </c>
      <c r="L277" s="1" t="str">
        <f t="shared" si="50"/>
        <v>27</v>
      </c>
      <c r="M277" s="1" t="str">
        <f t="shared" si="51"/>
        <v>87</v>
      </c>
      <c r="N277" s="1" t="str">
        <f t="shared" si="52"/>
        <v>14</v>
      </c>
      <c r="O277" s="1" t="str">
        <f t="shared" si="53"/>
        <v>30</v>
      </c>
      <c r="P277" s="2">
        <f t="shared" si="54"/>
        <v>19.440833333333334</v>
      </c>
      <c r="Q277" s="2">
        <f t="shared" si="55"/>
        <v>-87.24166666666666</v>
      </c>
      <c r="R277" s="16" t="s">
        <v>582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20" t="s">
        <v>589</v>
      </c>
      <c r="F278" s="20" t="s">
        <v>598</v>
      </c>
      <c r="G278" s="20" t="s">
        <v>583</v>
      </c>
      <c r="H278" s="1" t="s">
        <v>326</v>
      </c>
      <c r="I278" s="1" t="s">
        <v>604</v>
      </c>
      <c r="J278" s="1" t="str">
        <f t="shared" si="48"/>
        <v>19</v>
      </c>
      <c r="K278" s="1" t="str">
        <f t="shared" si="49"/>
        <v>24</v>
      </c>
      <c r="L278" s="1" t="str">
        <f t="shared" si="50"/>
        <v>32</v>
      </c>
      <c r="M278" s="1" t="str">
        <f t="shared" si="51"/>
        <v>87</v>
      </c>
      <c r="N278" s="1" t="str">
        <f t="shared" si="52"/>
        <v>02</v>
      </c>
      <c r="O278" s="1" t="str">
        <f t="shared" si="53"/>
        <v>45</v>
      </c>
      <c r="P278" s="2">
        <f t="shared" si="54"/>
        <v>19.408888888888889</v>
      </c>
      <c r="Q278" s="2">
        <f t="shared" si="55"/>
        <v>-87.045833333333334</v>
      </c>
      <c r="R278" s="16" t="s">
        <v>582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20" t="s">
        <v>590</v>
      </c>
      <c r="F279" s="20" t="s">
        <v>597</v>
      </c>
      <c r="G279" s="20" t="s">
        <v>583</v>
      </c>
      <c r="H279" s="1" t="s">
        <v>326</v>
      </c>
      <c r="I279" s="1" t="s">
        <v>604</v>
      </c>
      <c r="J279" s="1" t="str">
        <f t="shared" si="48"/>
        <v>19</v>
      </c>
      <c r="K279" s="1" t="str">
        <f t="shared" si="49"/>
        <v>22</v>
      </c>
      <c r="L279" s="1" t="str">
        <f t="shared" si="50"/>
        <v>01</v>
      </c>
      <c r="M279" s="1" t="str">
        <f t="shared" si="51"/>
        <v>86</v>
      </c>
      <c r="N279" s="1" t="str">
        <f t="shared" si="52"/>
        <v>51</v>
      </c>
      <c r="O279" s="1" t="str">
        <f t="shared" si="53"/>
        <v>20</v>
      </c>
      <c r="P279" s="2">
        <f t="shared" si="54"/>
        <v>19.366944444444446</v>
      </c>
      <c r="Q279" s="2">
        <f t="shared" si="55"/>
        <v>-86.855555555555554</v>
      </c>
      <c r="R279" s="16" t="s">
        <v>582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20" t="s">
        <v>591</v>
      </c>
      <c r="F280" s="20" t="s">
        <v>596</v>
      </c>
      <c r="G280" s="20" t="s">
        <v>583</v>
      </c>
      <c r="H280" s="1" t="s">
        <v>326</v>
      </c>
      <c r="I280" s="1" t="s">
        <v>604</v>
      </c>
      <c r="J280" s="1" t="str">
        <f t="shared" si="48"/>
        <v>19</v>
      </c>
      <c r="K280" s="1" t="str">
        <f t="shared" si="49"/>
        <v>18</v>
      </c>
      <c r="L280" s="1" t="str">
        <f t="shared" si="50"/>
        <v>32</v>
      </c>
      <c r="M280" s="1" t="str">
        <f t="shared" si="51"/>
        <v>86</v>
      </c>
      <c r="N280" s="1" t="str">
        <f t="shared" si="52"/>
        <v>37</v>
      </c>
      <c r="O280" s="1" t="str">
        <f t="shared" si="53"/>
        <v>24</v>
      </c>
      <c r="P280" s="2">
        <f t="shared" si="54"/>
        <v>19.308888888888887</v>
      </c>
      <c r="Q280" s="2">
        <f t="shared" si="55"/>
        <v>-86.623333333333335</v>
      </c>
      <c r="R280" s="16" t="s">
        <v>582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20" t="s">
        <v>592</v>
      </c>
      <c r="F281" s="20" t="s">
        <v>595</v>
      </c>
      <c r="G281" s="20" t="s">
        <v>583</v>
      </c>
      <c r="H281" s="1" t="s">
        <v>326</v>
      </c>
      <c r="I281" s="1" t="s">
        <v>604</v>
      </c>
      <c r="J281" s="1" t="str">
        <f t="shared" si="48"/>
        <v>19</v>
      </c>
      <c r="K281" s="1" t="str">
        <f t="shared" si="49"/>
        <v>14</v>
      </c>
      <c r="L281" s="1" t="str">
        <f t="shared" si="50"/>
        <v>28</v>
      </c>
      <c r="M281" s="1" t="str">
        <f t="shared" si="51"/>
        <v>86</v>
      </c>
      <c r="N281" s="1" t="str">
        <f t="shared" si="52"/>
        <v>25</v>
      </c>
      <c r="O281" s="1" t="str">
        <f t="shared" si="53"/>
        <v>23</v>
      </c>
      <c r="P281" s="2">
        <f t="shared" si="54"/>
        <v>19.24111111111111</v>
      </c>
      <c r="Q281" s="2">
        <f t="shared" si="55"/>
        <v>-86.42305555555555</v>
      </c>
      <c r="R281" s="16" t="s">
        <v>582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20" t="s">
        <v>593</v>
      </c>
      <c r="F282" s="20" t="s">
        <v>594</v>
      </c>
      <c r="G282" s="20" t="s">
        <v>583</v>
      </c>
      <c r="H282" s="1" t="s">
        <v>326</v>
      </c>
      <c r="I282" s="1" t="s">
        <v>604</v>
      </c>
      <c r="J282" s="1" t="str">
        <f t="shared" si="48"/>
        <v>19</v>
      </c>
      <c r="K282" s="1" t="str">
        <f t="shared" si="49"/>
        <v>11</v>
      </c>
      <c r="L282" s="1" t="str">
        <f t="shared" si="50"/>
        <v>54</v>
      </c>
      <c r="M282" s="1" t="str">
        <f t="shared" si="51"/>
        <v>86</v>
      </c>
      <c r="N282" s="1" t="str">
        <f t="shared" si="52"/>
        <v>15</v>
      </c>
      <c r="O282" s="1" t="str">
        <f t="shared" si="53"/>
        <v>33</v>
      </c>
      <c r="P282" s="2">
        <f t="shared" si="54"/>
        <v>19.198333333333334</v>
      </c>
      <c r="Q282" s="2">
        <f t="shared" si="55"/>
        <v>-86.259166666666673</v>
      </c>
      <c r="R282" s="16" t="s">
        <v>582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20" t="s">
        <v>605</v>
      </c>
      <c r="F283" s="20" t="s">
        <v>631</v>
      </c>
      <c r="G283" s="20" t="s">
        <v>583</v>
      </c>
      <c r="H283" s="1" t="s">
        <v>326</v>
      </c>
      <c r="I283" s="1" t="s">
        <v>604</v>
      </c>
      <c r="J283" s="1" t="str">
        <f t="shared" si="48"/>
        <v>19</v>
      </c>
      <c r="K283" s="1" t="str">
        <f t="shared" si="49"/>
        <v>49</v>
      </c>
      <c r="L283" s="1" t="str">
        <f t="shared" si="50"/>
        <v>18</v>
      </c>
      <c r="M283" s="1" t="str">
        <f t="shared" si="51"/>
        <v>87</v>
      </c>
      <c r="N283" s="1" t="str">
        <f t="shared" si="52"/>
        <v>24</v>
      </c>
      <c r="O283" s="1" t="str">
        <f t="shared" si="53"/>
        <v>21</v>
      </c>
      <c r="P283" s="2">
        <f t="shared" si="54"/>
        <v>19.821666666666665</v>
      </c>
      <c r="Q283" s="2">
        <f t="shared" si="55"/>
        <v>-87.405833333333334</v>
      </c>
      <c r="R283" s="16" t="s">
        <v>582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20" t="s">
        <v>606</v>
      </c>
      <c r="F284" s="20" t="s">
        <v>630</v>
      </c>
      <c r="G284" s="20" t="s">
        <v>583</v>
      </c>
      <c r="H284" s="1" t="s">
        <v>326</v>
      </c>
      <c r="I284" s="1" t="s">
        <v>604</v>
      </c>
      <c r="J284" s="1" t="str">
        <f t="shared" si="48"/>
        <v>19</v>
      </c>
      <c r="K284" s="1" t="str">
        <f t="shared" si="49"/>
        <v>45</v>
      </c>
      <c r="L284" s="1" t="str">
        <f t="shared" si="50"/>
        <v>51</v>
      </c>
      <c r="M284" s="1" t="str">
        <f t="shared" si="51"/>
        <v>87</v>
      </c>
      <c r="N284" s="1" t="str">
        <f t="shared" si="52"/>
        <v>12</v>
      </c>
      <c r="O284" s="1" t="str">
        <f t="shared" si="53"/>
        <v>24</v>
      </c>
      <c r="P284" s="2">
        <f t="shared" si="54"/>
        <v>19.764166666666668</v>
      </c>
      <c r="Q284" s="2">
        <f t="shared" si="55"/>
        <v>-87.206666666666663</v>
      </c>
      <c r="R284" s="16" t="s">
        <v>582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20" t="s">
        <v>668</v>
      </c>
      <c r="F285" s="20" t="s">
        <v>629</v>
      </c>
      <c r="G285" s="20" t="s">
        <v>583</v>
      </c>
      <c r="H285" s="1" t="s">
        <v>326</v>
      </c>
      <c r="I285" s="1" t="s">
        <v>604</v>
      </c>
      <c r="J285" s="1" t="str">
        <f t="shared" si="48"/>
        <v>19</v>
      </c>
      <c r="K285" s="1" t="str">
        <f t="shared" si="49"/>
        <v>48</v>
      </c>
      <c r="L285" s="1" t="str">
        <f t="shared" si="50"/>
        <v>21</v>
      </c>
      <c r="M285" s="1" t="str">
        <f t="shared" si="51"/>
        <v>86</v>
      </c>
      <c r="N285" s="1" t="str">
        <f t="shared" si="52"/>
        <v>59</v>
      </c>
      <c r="O285" s="1" t="str">
        <f t="shared" si="53"/>
        <v>06</v>
      </c>
      <c r="P285" s="2">
        <f t="shared" si="54"/>
        <v>19.805833333333332</v>
      </c>
      <c r="Q285" s="2">
        <f t="shared" si="55"/>
        <v>-86.984999999999999</v>
      </c>
      <c r="R285" s="16" t="s">
        <v>582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20" t="s">
        <v>607</v>
      </c>
      <c r="F286" s="20" t="s">
        <v>628</v>
      </c>
      <c r="G286" s="20" t="s">
        <v>583</v>
      </c>
      <c r="H286" s="1" t="s">
        <v>326</v>
      </c>
      <c r="I286" s="1" t="s">
        <v>604</v>
      </c>
      <c r="J286" s="1" t="str">
        <f t="shared" si="48"/>
        <v>19</v>
      </c>
      <c r="K286" s="1" t="str">
        <f t="shared" si="49"/>
        <v>59</v>
      </c>
      <c r="L286" s="1" t="str">
        <f t="shared" si="50"/>
        <v>09</v>
      </c>
      <c r="M286" s="1" t="str">
        <f t="shared" si="51"/>
        <v>87</v>
      </c>
      <c r="N286" s="1" t="str">
        <f t="shared" si="52"/>
        <v>26</v>
      </c>
      <c r="O286" s="1" t="str">
        <f t="shared" si="53"/>
        <v>19</v>
      </c>
      <c r="P286" s="2">
        <f t="shared" si="54"/>
        <v>19.985833333333332</v>
      </c>
      <c r="Q286" s="2">
        <f t="shared" si="55"/>
        <v>-87.438611111111115</v>
      </c>
      <c r="R286" s="16" t="s">
        <v>582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20" t="s">
        <v>608</v>
      </c>
      <c r="F287" s="20" t="s">
        <v>627</v>
      </c>
      <c r="G287" s="20" t="s">
        <v>583</v>
      </c>
      <c r="H287" s="1" t="s">
        <v>326</v>
      </c>
      <c r="I287" s="1" t="s">
        <v>604</v>
      </c>
      <c r="J287" s="1" t="str">
        <f t="shared" si="48"/>
        <v>20</v>
      </c>
      <c r="K287" s="1" t="str">
        <f t="shared" si="49"/>
        <v>00</v>
      </c>
      <c r="L287" s="1" t="str">
        <f t="shared" si="50"/>
        <v>22</v>
      </c>
      <c r="M287" s="1" t="str">
        <f t="shared" si="51"/>
        <v>87</v>
      </c>
      <c r="N287" s="1" t="str">
        <f t="shared" si="52"/>
        <v>13</v>
      </c>
      <c r="O287" s="1" t="str">
        <f t="shared" si="53"/>
        <v>16</v>
      </c>
      <c r="P287" s="2">
        <f t="shared" si="54"/>
        <v>20.00611111111111</v>
      </c>
      <c r="Q287" s="2">
        <f t="shared" si="55"/>
        <v>-87.221111111111114</v>
      </c>
      <c r="R287" s="16" t="s">
        <v>582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20" t="s">
        <v>609</v>
      </c>
      <c r="F288" s="20" t="s">
        <v>626</v>
      </c>
      <c r="G288" s="20" t="s">
        <v>583</v>
      </c>
      <c r="H288" s="1" t="s">
        <v>326</v>
      </c>
      <c r="I288" s="1" t="s">
        <v>604</v>
      </c>
      <c r="J288" s="1" t="str">
        <f t="shared" si="48"/>
        <v>19</v>
      </c>
      <c r="K288" s="1" t="str">
        <f t="shared" si="49"/>
        <v>58</v>
      </c>
      <c r="L288" s="1" t="str">
        <f t="shared" si="50"/>
        <v>01</v>
      </c>
      <c r="M288" s="1" t="str">
        <f t="shared" si="51"/>
        <v>87</v>
      </c>
      <c r="N288" s="1" t="str">
        <f t="shared" si="52"/>
        <v>07</v>
      </c>
      <c r="O288" s="1" t="str">
        <f t="shared" si="53"/>
        <v>18</v>
      </c>
      <c r="P288" s="2">
        <f t="shared" si="54"/>
        <v>19.966944444444444</v>
      </c>
      <c r="Q288" s="2">
        <f t="shared" si="55"/>
        <v>-87.12166666666667</v>
      </c>
      <c r="R288" s="16" t="s">
        <v>582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20" t="s">
        <v>610</v>
      </c>
      <c r="F289" s="20" t="s">
        <v>625</v>
      </c>
      <c r="G289" s="20" t="s">
        <v>583</v>
      </c>
      <c r="H289" s="1" t="s">
        <v>326</v>
      </c>
      <c r="I289" s="1" t="s">
        <v>604</v>
      </c>
      <c r="J289" s="1" t="str">
        <f t="shared" si="48"/>
        <v>20</v>
      </c>
      <c r="K289" s="1" t="str">
        <f t="shared" si="49"/>
        <v>00</v>
      </c>
      <c r="L289" s="1" t="str">
        <f t="shared" si="50"/>
        <v>33</v>
      </c>
      <c r="M289" s="1" t="str">
        <f t="shared" si="51"/>
        <v>86</v>
      </c>
      <c r="N289" s="1" t="str">
        <f t="shared" si="52"/>
        <v>58</v>
      </c>
      <c r="O289" s="1" t="str">
        <f t="shared" si="53"/>
        <v>42</v>
      </c>
      <c r="P289" s="2">
        <f t="shared" si="54"/>
        <v>20.009166666666665</v>
      </c>
      <c r="Q289" s="2">
        <f t="shared" si="55"/>
        <v>-86.978333333333339</v>
      </c>
      <c r="R289" s="16" t="s">
        <v>582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20" t="s">
        <v>611</v>
      </c>
      <c r="F290" s="20" t="s">
        <v>624</v>
      </c>
      <c r="G290" s="20" t="s">
        <v>583</v>
      </c>
      <c r="H290" s="1" t="s">
        <v>326</v>
      </c>
      <c r="I290" s="1" t="s">
        <v>604</v>
      </c>
      <c r="J290" s="1" t="str">
        <f t="shared" si="48"/>
        <v>20</v>
      </c>
      <c r="K290" s="1" t="str">
        <f t="shared" si="49"/>
        <v>02</v>
      </c>
      <c r="L290" s="1" t="str">
        <f t="shared" si="50"/>
        <v>16</v>
      </c>
      <c r="M290" s="1" t="str">
        <f t="shared" si="51"/>
        <v>86</v>
      </c>
      <c r="N290" s="1" t="str">
        <f t="shared" si="52"/>
        <v>41</v>
      </c>
      <c r="O290" s="1" t="str">
        <f t="shared" si="53"/>
        <v>19</v>
      </c>
      <c r="P290" s="2">
        <f t="shared" si="54"/>
        <v>20.037777777777777</v>
      </c>
      <c r="Q290" s="2">
        <f t="shared" si="55"/>
        <v>-86.688611111111115</v>
      </c>
      <c r="R290" s="16" t="s">
        <v>582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20" t="s">
        <v>612</v>
      </c>
      <c r="F291" s="20" t="s">
        <v>623</v>
      </c>
      <c r="G291" s="20" t="s">
        <v>583</v>
      </c>
      <c r="H291" s="1" t="s">
        <v>326</v>
      </c>
      <c r="I291" s="1" t="s">
        <v>604</v>
      </c>
      <c r="J291" s="1" t="str">
        <f t="shared" si="48"/>
        <v>20</v>
      </c>
      <c r="K291" s="1" t="str">
        <f t="shared" si="49"/>
        <v>01</v>
      </c>
      <c r="L291" s="1" t="str">
        <f t="shared" si="50"/>
        <v>15</v>
      </c>
      <c r="M291" s="1" t="str">
        <f t="shared" si="51"/>
        <v>86</v>
      </c>
      <c r="N291" s="1" t="str">
        <f t="shared" si="52"/>
        <v>30</v>
      </c>
      <c r="O291" s="1" t="str">
        <f t="shared" si="53"/>
        <v>41</v>
      </c>
      <c r="P291" s="2">
        <f t="shared" si="54"/>
        <v>20.020833333333332</v>
      </c>
      <c r="Q291" s="2">
        <f t="shared" si="55"/>
        <v>-86.511388888888888</v>
      </c>
      <c r="R291" s="16" t="s">
        <v>582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20" t="s">
        <v>613</v>
      </c>
      <c r="F292" s="20" t="s">
        <v>622</v>
      </c>
      <c r="G292" s="20" t="s">
        <v>583</v>
      </c>
      <c r="H292" s="1" t="s">
        <v>326</v>
      </c>
      <c r="I292" s="1" t="s">
        <v>604</v>
      </c>
      <c r="J292" s="1" t="str">
        <f t="shared" si="48"/>
        <v>20</v>
      </c>
      <c r="K292" s="1" t="str">
        <f t="shared" si="49"/>
        <v>14</v>
      </c>
      <c r="L292" s="1" t="str">
        <f t="shared" si="50"/>
        <v>26</v>
      </c>
      <c r="M292" s="1" t="str">
        <f t="shared" si="51"/>
        <v>87</v>
      </c>
      <c r="N292" s="1" t="str">
        <f t="shared" si="52"/>
        <v>16</v>
      </c>
      <c r="O292" s="1" t="str">
        <f t="shared" si="53"/>
        <v>43</v>
      </c>
      <c r="P292" s="2">
        <f t="shared" si="54"/>
        <v>20.240555555555556</v>
      </c>
      <c r="Q292" s="2">
        <f t="shared" si="55"/>
        <v>-87.278611111111104</v>
      </c>
      <c r="R292" s="16" t="s">
        <v>582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20" t="s">
        <v>614</v>
      </c>
      <c r="F293" s="20" t="s">
        <v>621</v>
      </c>
      <c r="G293" s="20" t="s">
        <v>583</v>
      </c>
      <c r="H293" s="1" t="s">
        <v>326</v>
      </c>
      <c r="I293" s="1" t="s">
        <v>604</v>
      </c>
      <c r="J293" s="1" t="str">
        <f t="shared" si="48"/>
        <v>20</v>
      </c>
      <c r="K293" s="1" t="str">
        <f t="shared" si="49"/>
        <v>13</v>
      </c>
      <c r="L293" s="1" t="str">
        <f t="shared" si="50"/>
        <v>06</v>
      </c>
      <c r="M293" s="1" t="str">
        <f t="shared" si="51"/>
        <v>87</v>
      </c>
      <c r="N293" s="1" t="str">
        <f t="shared" si="52"/>
        <v>08</v>
      </c>
      <c r="O293" s="1" t="str">
        <f t="shared" si="53"/>
        <v>06</v>
      </c>
      <c r="P293" s="2">
        <f t="shared" si="54"/>
        <v>20.218333333333334</v>
      </c>
      <c r="Q293" s="2">
        <f t="shared" si="55"/>
        <v>-87.135000000000005</v>
      </c>
      <c r="R293" s="16" t="s">
        <v>582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20" t="s">
        <v>615</v>
      </c>
      <c r="F294" s="20" t="s">
        <v>620</v>
      </c>
      <c r="G294" s="20" t="s">
        <v>583</v>
      </c>
      <c r="H294" s="1" t="s">
        <v>326</v>
      </c>
      <c r="I294" s="1" t="s">
        <v>604</v>
      </c>
      <c r="J294" s="1" t="str">
        <f t="shared" si="48"/>
        <v>20</v>
      </c>
      <c r="K294" s="1" t="str">
        <f t="shared" si="49"/>
        <v>08</v>
      </c>
      <c r="L294" s="1" t="str">
        <f t="shared" si="50"/>
        <v>38</v>
      </c>
      <c r="M294" s="1" t="str">
        <f t="shared" si="51"/>
        <v>86</v>
      </c>
      <c r="N294" s="1" t="str">
        <f t="shared" si="52"/>
        <v>59</v>
      </c>
      <c r="O294" s="1" t="str">
        <f t="shared" si="53"/>
        <v>43</v>
      </c>
      <c r="P294" s="2">
        <f t="shared" si="54"/>
        <v>20.143888888888888</v>
      </c>
      <c r="Q294" s="2">
        <f t="shared" si="55"/>
        <v>-86.995277777777773</v>
      </c>
      <c r="R294" s="16" t="s">
        <v>582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20" t="s">
        <v>616</v>
      </c>
      <c r="F295" s="20" t="s">
        <v>619</v>
      </c>
      <c r="G295" s="20" t="s">
        <v>583</v>
      </c>
      <c r="H295" s="1" t="s">
        <v>326</v>
      </c>
      <c r="I295" s="1" t="s">
        <v>604</v>
      </c>
      <c r="J295" s="1" t="str">
        <f t="shared" si="48"/>
        <v>20</v>
      </c>
      <c r="K295" s="1" t="str">
        <f t="shared" si="49"/>
        <v>12</v>
      </c>
      <c r="L295" s="1" t="str">
        <f t="shared" si="50"/>
        <v>54</v>
      </c>
      <c r="M295" s="1" t="str">
        <f t="shared" si="51"/>
        <v>86</v>
      </c>
      <c r="N295" s="1" t="str">
        <f t="shared" si="52"/>
        <v>50</v>
      </c>
      <c r="O295" s="1" t="str">
        <f t="shared" si="53"/>
        <v>07</v>
      </c>
      <c r="P295" s="2">
        <f t="shared" si="54"/>
        <v>20.215</v>
      </c>
      <c r="Q295" s="2">
        <f t="shared" si="55"/>
        <v>-86.835277777777776</v>
      </c>
      <c r="R295" s="16" t="s">
        <v>582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20" t="s">
        <v>617</v>
      </c>
      <c r="F296" s="20" t="s">
        <v>618</v>
      </c>
      <c r="G296" s="20" t="s">
        <v>583</v>
      </c>
      <c r="H296" s="1" t="s">
        <v>326</v>
      </c>
      <c r="I296" s="1" t="s">
        <v>604</v>
      </c>
      <c r="J296" s="1" t="str">
        <f t="shared" si="48"/>
        <v>20</v>
      </c>
      <c r="K296" s="1" t="str">
        <f t="shared" si="49"/>
        <v>13</v>
      </c>
      <c r="L296" s="1" t="str">
        <f t="shared" si="50"/>
        <v>16</v>
      </c>
      <c r="M296" s="1" t="str">
        <f t="shared" si="51"/>
        <v>86</v>
      </c>
      <c r="N296" s="1" t="str">
        <f t="shared" si="52"/>
        <v>37</v>
      </c>
      <c r="O296" s="1" t="str">
        <f t="shared" si="53"/>
        <v>47</v>
      </c>
      <c r="P296" s="2">
        <f t="shared" si="54"/>
        <v>20.22111111111111</v>
      </c>
      <c r="Q296" s="2">
        <f t="shared" si="55"/>
        <v>-86.629722222222227</v>
      </c>
      <c r="R296" s="16" t="s">
        <v>582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20" t="s">
        <v>632</v>
      </c>
      <c r="F297" s="20" t="s">
        <v>667</v>
      </c>
      <c r="G297" s="20" t="s">
        <v>583</v>
      </c>
      <c r="H297" s="1" t="s">
        <v>326</v>
      </c>
      <c r="I297" s="1" t="s">
        <v>604</v>
      </c>
      <c r="J297" s="1" t="str">
        <f t="shared" si="48"/>
        <v>20</v>
      </c>
      <c r="K297" s="1" t="str">
        <f t="shared" si="49"/>
        <v>41</v>
      </c>
      <c r="L297" s="1" t="str">
        <f t="shared" si="50"/>
        <v>46</v>
      </c>
      <c r="M297" s="1" t="str">
        <f t="shared" si="51"/>
        <v>86</v>
      </c>
      <c r="N297" s="1" t="str">
        <f t="shared" si="52"/>
        <v>52</v>
      </c>
      <c r="O297" s="1" t="str">
        <f t="shared" si="53"/>
        <v>49</v>
      </c>
      <c r="P297" s="2">
        <f t="shared" si="54"/>
        <v>20.696111111111112</v>
      </c>
      <c r="Q297" s="2">
        <f t="shared" si="55"/>
        <v>-86.880277777777778</v>
      </c>
      <c r="R297" s="16" t="s">
        <v>582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20" t="s">
        <v>633</v>
      </c>
      <c r="F298" s="20" t="s">
        <v>666</v>
      </c>
      <c r="G298" s="20" t="s">
        <v>583</v>
      </c>
      <c r="H298" s="1" t="s">
        <v>326</v>
      </c>
      <c r="I298" s="1" t="s">
        <v>604</v>
      </c>
      <c r="J298" s="1" t="str">
        <f t="shared" si="48"/>
        <v>20</v>
      </c>
      <c r="K298" s="1" t="str">
        <f t="shared" si="49"/>
        <v>32</v>
      </c>
      <c r="L298" s="1" t="str">
        <f t="shared" si="50"/>
        <v>40</v>
      </c>
      <c r="M298" s="1" t="str">
        <f t="shared" si="51"/>
        <v>86</v>
      </c>
      <c r="N298" s="1" t="str">
        <f t="shared" si="52"/>
        <v>29</v>
      </c>
      <c r="O298" s="1" t="str">
        <f t="shared" si="53"/>
        <v>49</v>
      </c>
      <c r="P298" s="2">
        <f t="shared" si="54"/>
        <v>20.544444444444444</v>
      </c>
      <c r="Q298" s="2">
        <f t="shared" si="55"/>
        <v>-86.496944444444438</v>
      </c>
      <c r="R298" s="16" t="s">
        <v>582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20" t="s">
        <v>634</v>
      </c>
      <c r="F299" s="20" t="s">
        <v>665</v>
      </c>
      <c r="G299" s="20" t="s">
        <v>583</v>
      </c>
      <c r="H299" s="1" t="s">
        <v>326</v>
      </c>
      <c r="I299" s="1" t="s">
        <v>604</v>
      </c>
      <c r="J299" s="1" t="str">
        <f t="shared" si="48"/>
        <v>20</v>
      </c>
      <c r="K299" s="1" t="str">
        <f t="shared" si="49"/>
        <v>30</v>
      </c>
      <c r="L299" s="1" t="str">
        <f t="shared" si="50"/>
        <v>05</v>
      </c>
      <c r="M299" s="1" t="str">
        <f t="shared" si="51"/>
        <v>86</v>
      </c>
      <c r="N299" s="1" t="str">
        <f t="shared" si="52"/>
        <v>20</v>
      </c>
      <c r="O299" s="1" t="str">
        <f t="shared" si="53"/>
        <v>32</v>
      </c>
      <c r="P299" s="2">
        <f t="shared" si="54"/>
        <v>20.50138888888889</v>
      </c>
      <c r="Q299" s="2">
        <f t="shared" si="55"/>
        <v>-86.342222222222219</v>
      </c>
      <c r="R299" s="16" t="s">
        <v>582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20" t="s">
        <v>635</v>
      </c>
      <c r="F300" s="20" t="s">
        <v>664</v>
      </c>
      <c r="G300" s="20" t="s">
        <v>583</v>
      </c>
      <c r="H300" s="1" t="s">
        <v>326</v>
      </c>
      <c r="I300" s="1" t="s">
        <v>604</v>
      </c>
      <c r="J300" s="1" t="str">
        <f t="shared" si="48"/>
        <v>20</v>
      </c>
      <c r="K300" s="1" t="str">
        <f t="shared" si="49"/>
        <v>31</v>
      </c>
      <c r="L300" s="1" t="str">
        <f t="shared" si="50"/>
        <v>51</v>
      </c>
      <c r="M300" s="1" t="str">
        <f t="shared" si="51"/>
        <v>85</v>
      </c>
      <c r="N300" s="1" t="str">
        <f t="shared" si="52"/>
        <v>59</v>
      </c>
      <c r="O300" s="1" t="str">
        <f t="shared" si="53"/>
        <v>29</v>
      </c>
      <c r="P300" s="2">
        <f t="shared" si="54"/>
        <v>20.530833333333334</v>
      </c>
      <c r="Q300" s="2">
        <f t="shared" si="55"/>
        <v>-85.991388888888892</v>
      </c>
      <c r="R300" s="16" t="s">
        <v>582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20" t="s">
        <v>636</v>
      </c>
      <c r="F301" s="20" t="s">
        <v>663</v>
      </c>
      <c r="G301" s="20" t="s">
        <v>583</v>
      </c>
      <c r="H301" s="1" t="s">
        <v>326</v>
      </c>
      <c r="I301" s="1" t="s">
        <v>604</v>
      </c>
      <c r="J301" s="1" t="str">
        <f t="shared" si="48"/>
        <v>20</v>
      </c>
      <c r="K301" s="1" t="str">
        <f t="shared" si="49"/>
        <v>47</v>
      </c>
      <c r="L301" s="1" t="str">
        <f t="shared" si="50"/>
        <v>18</v>
      </c>
      <c r="M301" s="1" t="str">
        <f t="shared" si="51"/>
        <v>86</v>
      </c>
      <c r="N301" s="1" t="str">
        <f t="shared" si="52"/>
        <v>45</v>
      </c>
      <c r="O301" s="1" t="str">
        <f t="shared" si="53"/>
        <v>57</v>
      </c>
      <c r="P301" s="2">
        <f t="shared" si="54"/>
        <v>20.788333333333334</v>
      </c>
      <c r="Q301" s="2">
        <f t="shared" si="55"/>
        <v>-86.765833333333333</v>
      </c>
      <c r="R301" s="16" t="s">
        <v>582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20" t="s">
        <v>637</v>
      </c>
      <c r="F302" s="20" t="s">
        <v>662</v>
      </c>
      <c r="G302" s="20" t="s">
        <v>583</v>
      </c>
      <c r="H302" s="1" t="s">
        <v>326</v>
      </c>
      <c r="I302" s="1" t="s">
        <v>604</v>
      </c>
      <c r="J302" s="1" t="str">
        <f t="shared" si="48"/>
        <v>21</v>
      </c>
      <c r="K302" s="1" t="str">
        <f t="shared" si="49"/>
        <v>02</v>
      </c>
      <c r="L302" s="1" t="str">
        <f t="shared" si="50"/>
        <v>26</v>
      </c>
      <c r="M302" s="1" t="str">
        <f t="shared" si="51"/>
        <v>86</v>
      </c>
      <c r="N302" s="1" t="str">
        <f t="shared" si="52"/>
        <v>29</v>
      </c>
      <c r="O302" s="1" t="str">
        <f t="shared" si="53"/>
        <v>47</v>
      </c>
      <c r="P302" s="2">
        <f t="shared" si="54"/>
        <v>21.040555555555557</v>
      </c>
      <c r="Q302" s="2">
        <f t="shared" si="55"/>
        <v>-86.496388888888887</v>
      </c>
      <c r="R302" s="16" t="s">
        <v>582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20" t="s">
        <v>638</v>
      </c>
      <c r="F303" s="20" t="s">
        <v>661</v>
      </c>
      <c r="G303" s="20" t="s">
        <v>583</v>
      </c>
      <c r="H303" s="1" t="s">
        <v>326</v>
      </c>
      <c r="I303" s="1" t="s">
        <v>604</v>
      </c>
      <c r="J303" s="1" t="str">
        <f t="shared" si="48"/>
        <v>20</v>
      </c>
      <c r="K303" s="1" t="str">
        <f t="shared" si="49"/>
        <v>57</v>
      </c>
      <c r="L303" s="1" t="str">
        <f t="shared" si="50"/>
        <v>52</v>
      </c>
      <c r="M303" s="1" t="str">
        <f t="shared" si="51"/>
        <v>86</v>
      </c>
      <c r="N303" s="1" t="str">
        <f t="shared" si="52"/>
        <v>19</v>
      </c>
      <c r="O303" s="1" t="str">
        <f t="shared" si="53"/>
        <v>30</v>
      </c>
      <c r="P303" s="2">
        <f t="shared" si="54"/>
        <v>20.964444444444446</v>
      </c>
      <c r="Q303" s="2">
        <f t="shared" si="55"/>
        <v>-86.325000000000003</v>
      </c>
      <c r="R303" s="16" t="s">
        <v>582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20" t="s">
        <v>639</v>
      </c>
      <c r="F304" s="20" t="s">
        <v>660</v>
      </c>
      <c r="G304" s="20" t="s">
        <v>583</v>
      </c>
      <c r="H304" s="1" t="s">
        <v>326</v>
      </c>
      <c r="I304" s="1" t="s">
        <v>604</v>
      </c>
      <c r="J304" s="1" t="str">
        <f t="shared" si="48"/>
        <v>20</v>
      </c>
      <c r="K304" s="1" t="str">
        <f t="shared" si="49"/>
        <v>52</v>
      </c>
      <c r="L304" s="1" t="str">
        <f t="shared" si="50"/>
        <v>54</v>
      </c>
      <c r="M304" s="1" t="str">
        <f t="shared" si="51"/>
        <v>86</v>
      </c>
      <c r="N304" s="1" t="str">
        <f t="shared" si="52"/>
        <v>08</v>
      </c>
      <c r="O304" s="1" t="str">
        <f t="shared" si="53"/>
        <v>30</v>
      </c>
      <c r="P304" s="2">
        <f t="shared" si="54"/>
        <v>20.881666666666668</v>
      </c>
      <c r="Q304" s="2">
        <f t="shared" si="55"/>
        <v>-86.141666666666666</v>
      </c>
      <c r="R304" s="16" t="s">
        <v>582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20" t="s">
        <v>640</v>
      </c>
      <c r="F305" s="20" t="s">
        <v>659</v>
      </c>
      <c r="G305" s="20" t="s">
        <v>583</v>
      </c>
      <c r="H305" s="1" t="s">
        <v>326</v>
      </c>
      <c r="I305" s="1" t="s">
        <v>604</v>
      </c>
      <c r="J305" s="1" t="str">
        <f t="shared" si="48"/>
        <v>20</v>
      </c>
      <c r="K305" s="1" t="str">
        <f t="shared" si="49"/>
        <v>50</v>
      </c>
      <c r="L305" s="1" t="str">
        <f t="shared" si="50"/>
        <v>55</v>
      </c>
      <c r="M305" s="1" t="str">
        <f t="shared" si="51"/>
        <v>85</v>
      </c>
      <c r="N305" s="1" t="str">
        <f t="shared" si="52"/>
        <v>53</v>
      </c>
      <c r="O305" s="1" t="str">
        <f t="shared" si="53"/>
        <v>52</v>
      </c>
      <c r="P305" s="2">
        <f t="shared" si="54"/>
        <v>20.848611111111111</v>
      </c>
      <c r="Q305" s="2">
        <f t="shared" si="55"/>
        <v>-85.897777777777776</v>
      </c>
      <c r="R305" s="16" t="s">
        <v>582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20" t="s">
        <v>641</v>
      </c>
      <c r="F306" s="20" t="s">
        <v>658</v>
      </c>
      <c r="G306" s="20" t="s">
        <v>583</v>
      </c>
      <c r="H306" s="1" t="s">
        <v>326</v>
      </c>
      <c r="I306" s="1" t="s">
        <v>604</v>
      </c>
      <c r="J306" s="1" t="str">
        <f t="shared" si="48"/>
        <v>20</v>
      </c>
      <c r="K306" s="1" t="str">
        <f t="shared" si="49"/>
        <v>47</v>
      </c>
      <c r="L306" s="1" t="str">
        <f t="shared" si="50"/>
        <v>16</v>
      </c>
      <c r="M306" s="1" t="str">
        <f t="shared" si="51"/>
        <v>85</v>
      </c>
      <c r="N306" s="1" t="str">
        <f t="shared" si="52"/>
        <v>46</v>
      </c>
      <c r="O306" s="1" t="str">
        <f t="shared" si="53"/>
        <v>28</v>
      </c>
      <c r="P306" s="2">
        <f t="shared" si="54"/>
        <v>20.787777777777777</v>
      </c>
      <c r="Q306" s="2">
        <f t="shared" si="55"/>
        <v>-85.774444444444441</v>
      </c>
      <c r="R306" s="16" t="s">
        <v>582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20" t="s">
        <v>642</v>
      </c>
      <c r="F307" s="20" t="s">
        <v>657</v>
      </c>
      <c r="G307" s="20" t="s">
        <v>583</v>
      </c>
      <c r="H307" s="1" t="s">
        <v>326</v>
      </c>
      <c r="I307" s="1" t="s">
        <v>604</v>
      </c>
      <c r="J307" s="1" t="str">
        <f t="shared" si="48"/>
        <v>21</v>
      </c>
      <c r="K307" s="1" t="str">
        <f t="shared" si="49"/>
        <v>15</v>
      </c>
      <c r="L307" s="1" t="str">
        <f t="shared" si="50"/>
        <v>14</v>
      </c>
      <c r="M307" s="1" t="str">
        <f t="shared" si="51"/>
        <v>86</v>
      </c>
      <c r="N307" s="1" t="str">
        <f t="shared" si="52"/>
        <v>29</v>
      </c>
      <c r="O307" s="1" t="str">
        <f t="shared" si="53"/>
        <v>13</v>
      </c>
      <c r="P307" s="2">
        <f t="shared" si="54"/>
        <v>21.253888888888888</v>
      </c>
      <c r="Q307" s="2">
        <f t="shared" si="55"/>
        <v>-86.486944444444447</v>
      </c>
      <c r="R307" s="16" t="s">
        <v>582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20" t="s">
        <v>643</v>
      </c>
      <c r="F308" s="20" t="s">
        <v>656</v>
      </c>
      <c r="G308" s="20" t="s">
        <v>583</v>
      </c>
      <c r="H308" s="1" t="s">
        <v>326</v>
      </c>
      <c r="I308" s="1" t="s">
        <v>604</v>
      </c>
      <c r="J308" s="1" t="str">
        <f t="shared" si="48"/>
        <v>21</v>
      </c>
      <c r="K308" s="1" t="str">
        <f t="shared" si="49"/>
        <v>12</v>
      </c>
      <c r="L308" s="1" t="str">
        <f t="shared" si="50"/>
        <v>57</v>
      </c>
      <c r="M308" s="1" t="str">
        <f t="shared" si="51"/>
        <v>86</v>
      </c>
      <c r="N308" s="1" t="str">
        <f t="shared" si="52"/>
        <v>16</v>
      </c>
      <c r="O308" s="1" t="str">
        <f t="shared" si="53"/>
        <v>38</v>
      </c>
      <c r="P308" s="2">
        <f t="shared" si="54"/>
        <v>21.215833333333332</v>
      </c>
      <c r="Q308" s="2">
        <f t="shared" si="55"/>
        <v>-86.277222222222221</v>
      </c>
      <c r="R308" s="16" t="s">
        <v>582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20" t="s">
        <v>644</v>
      </c>
      <c r="F309" s="20" t="s">
        <v>655</v>
      </c>
      <c r="G309" s="20" t="s">
        <v>583</v>
      </c>
      <c r="H309" s="1" t="s">
        <v>326</v>
      </c>
      <c r="I309" s="1" t="s">
        <v>604</v>
      </c>
      <c r="J309" s="1" t="str">
        <f t="shared" si="48"/>
        <v>21</v>
      </c>
      <c r="K309" s="1" t="str">
        <f t="shared" si="49"/>
        <v>09</v>
      </c>
      <c r="L309" s="1" t="str">
        <f t="shared" si="50"/>
        <v>28</v>
      </c>
      <c r="M309" s="1" t="str">
        <f t="shared" si="51"/>
        <v>86</v>
      </c>
      <c r="N309" s="1" t="str">
        <f t="shared" si="52"/>
        <v>06</v>
      </c>
      <c r="O309" s="1" t="str">
        <f t="shared" si="53"/>
        <v>54</v>
      </c>
      <c r="P309" s="2">
        <f t="shared" si="54"/>
        <v>21.157777777777778</v>
      </c>
      <c r="Q309" s="2">
        <f t="shared" si="55"/>
        <v>-86.114999999999995</v>
      </c>
      <c r="R309" s="16" t="s">
        <v>582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20" t="s">
        <v>645</v>
      </c>
      <c r="F310" s="20" t="s">
        <v>654</v>
      </c>
      <c r="G310" s="20" t="s">
        <v>583</v>
      </c>
      <c r="H310" s="1" t="s">
        <v>326</v>
      </c>
      <c r="I310" s="1" t="s">
        <v>604</v>
      </c>
      <c r="J310" s="1" t="str">
        <f t="shared" si="48"/>
        <v>21</v>
      </c>
      <c r="K310" s="1" t="str">
        <f t="shared" si="49"/>
        <v>05</v>
      </c>
      <c r="L310" s="1" t="str">
        <f t="shared" si="50"/>
        <v>58</v>
      </c>
      <c r="M310" s="1" t="str">
        <f t="shared" si="51"/>
        <v>85</v>
      </c>
      <c r="N310" s="1" t="str">
        <f t="shared" si="52"/>
        <v>45</v>
      </c>
      <c r="O310" s="1" t="str">
        <f t="shared" si="53"/>
        <v>38</v>
      </c>
      <c r="P310" s="2">
        <f t="shared" si="54"/>
        <v>21.099444444444444</v>
      </c>
      <c r="Q310" s="2">
        <f t="shared" si="55"/>
        <v>-85.760555555555555</v>
      </c>
      <c r="R310" s="16" t="s">
        <v>582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20" t="s">
        <v>646</v>
      </c>
      <c r="F311" s="20" t="s">
        <v>653</v>
      </c>
      <c r="G311" s="20" t="s">
        <v>583</v>
      </c>
      <c r="H311" s="1" t="s">
        <v>326</v>
      </c>
      <c r="I311" s="1" t="s">
        <v>604</v>
      </c>
      <c r="J311" s="1" t="str">
        <f t="shared" si="48"/>
        <v>21</v>
      </c>
      <c r="K311" s="1" t="str">
        <f t="shared" si="49"/>
        <v>36</v>
      </c>
      <c r="L311" s="1" t="str">
        <f t="shared" si="50"/>
        <v>50</v>
      </c>
      <c r="M311" s="1" t="str">
        <f t="shared" si="51"/>
        <v>86</v>
      </c>
      <c r="N311" s="1" t="str">
        <f t="shared" si="52"/>
        <v>17</v>
      </c>
      <c r="O311" s="1" t="str">
        <f t="shared" si="53"/>
        <v>07</v>
      </c>
      <c r="P311" s="2">
        <f t="shared" si="54"/>
        <v>21.613888888888887</v>
      </c>
      <c r="Q311" s="2">
        <f t="shared" si="55"/>
        <v>-86.285277777777779</v>
      </c>
      <c r="R311" s="16" t="s">
        <v>582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20" t="s">
        <v>647</v>
      </c>
      <c r="F312" s="20" t="s">
        <v>652</v>
      </c>
      <c r="G312" s="20" t="s">
        <v>583</v>
      </c>
      <c r="H312" s="1" t="s">
        <v>326</v>
      </c>
      <c r="I312" s="1" t="s">
        <v>604</v>
      </c>
      <c r="J312" s="1" t="str">
        <f t="shared" si="48"/>
        <v>21</v>
      </c>
      <c r="K312" s="1" t="str">
        <f t="shared" si="49"/>
        <v>35</v>
      </c>
      <c r="L312" s="1" t="str">
        <f t="shared" si="50"/>
        <v>49</v>
      </c>
      <c r="M312" s="1" t="str">
        <f t="shared" si="51"/>
        <v>86</v>
      </c>
      <c r="N312" s="1" t="str">
        <f t="shared" si="52"/>
        <v>07</v>
      </c>
      <c r="O312" s="1" t="str">
        <f t="shared" si="53"/>
        <v>40</v>
      </c>
      <c r="P312" s="2">
        <f t="shared" si="54"/>
        <v>21.596944444444446</v>
      </c>
      <c r="Q312" s="2">
        <f t="shared" si="55"/>
        <v>-86.12777777777778</v>
      </c>
      <c r="R312" s="16" t="s">
        <v>582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20" t="s">
        <v>648</v>
      </c>
      <c r="F313" s="20" t="s">
        <v>651</v>
      </c>
      <c r="G313" s="20" t="s">
        <v>583</v>
      </c>
      <c r="H313" s="1" t="s">
        <v>326</v>
      </c>
      <c r="I313" s="1" t="s">
        <v>604</v>
      </c>
      <c r="J313" s="1" t="str">
        <f t="shared" si="48"/>
        <v>21</v>
      </c>
      <c r="K313" s="1" t="str">
        <f t="shared" si="49"/>
        <v>34</v>
      </c>
      <c r="L313" s="1" t="str">
        <f t="shared" si="50"/>
        <v>51</v>
      </c>
      <c r="M313" s="1" t="str">
        <f t="shared" si="51"/>
        <v>85</v>
      </c>
      <c r="N313" s="1" t="str">
        <f t="shared" si="52"/>
        <v>59</v>
      </c>
      <c r="O313" s="1" t="str">
        <f t="shared" si="53"/>
        <v>26</v>
      </c>
      <c r="P313" s="2">
        <f t="shared" si="54"/>
        <v>21.580833333333334</v>
      </c>
      <c r="Q313" s="2">
        <f t="shared" si="55"/>
        <v>-85.990555555555559</v>
      </c>
      <c r="R313" s="16" t="s">
        <v>582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20" t="s">
        <v>649</v>
      </c>
      <c r="F314" s="20" t="s">
        <v>650</v>
      </c>
      <c r="G314" s="20" t="s">
        <v>583</v>
      </c>
      <c r="H314" s="1" t="s">
        <v>326</v>
      </c>
      <c r="I314" s="1" t="s">
        <v>604</v>
      </c>
      <c r="J314" s="1" t="str">
        <f t="shared" si="48"/>
        <v>21</v>
      </c>
      <c r="K314" s="1" t="str">
        <f t="shared" si="49"/>
        <v>29</v>
      </c>
      <c r="L314" s="1" t="str">
        <f t="shared" si="50"/>
        <v>14</v>
      </c>
      <c r="M314" s="1" t="str">
        <f t="shared" si="51"/>
        <v>85</v>
      </c>
      <c r="N314" s="1" t="str">
        <f t="shared" si="52"/>
        <v>31</v>
      </c>
      <c r="O314" s="1" t="str">
        <f t="shared" si="53"/>
        <v>58</v>
      </c>
      <c r="P314" s="2">
        <f t="shared" si="54"/>
        <v>21.487222222222222</v>
      </c>
      <c r="Q314" s="2">
        <f t="shared" si="55"/>
        <v>-85.532777777777781</v>
      </c>
      <c r="R314" s="16" t="s">
        <v>582</v>
      </c>
    </row>
    <row r="315" spans="1:18" ht="15.75" x14ac:dyDescent="0.25">
      <c r="A315" s="1">
        <v>314</v>
      </c>
      <c r="B315" s="1" t="s">
        <v>17</v>
      </c>
      <c r="C315" s="1" t="s">
        <v>18</v>
      </c>
      <c r="D315" s="1" t="s">
        <v>19</v>
      </c>
      <c r="E315" s="20" t="s">
        <v>680</v>
      </c>
      <c r="F315" s="20" t="s">
        <v>681</v>
      </c>
      <c r="G315" s="20" t="s">
        <v>669</v>
      </c>
      <c r="H315" s="1" t="s">
        <v>326</v>
      </c>
      <c r="I315" s="1" t="s">
        <v>670</v>
      </c>
      <c r="J315" s="1" t="str">
        <f t="shared" ref="J315:J323" si="56">MID(E315,1,FIND("°",E315,1)-1)</f>
        <v>12</v>
      </c>
      <c r="K315" s="1" t="str">
        <f t="shared" ref="K315:K323" si="57">MID(E315,FIND("°",E315,1)+1,(FIND("′",E315,1)-FIND("°",E315,1))-1)</f>
        <v>24</v>
      </c>
      <c r="L315" s="1" t="str">
        <f t="shared" ref="L315:L323" si="58">MID(E315,FIND("′",E315,1)+1,(FIND("″",E315,1)-FIND("′",E315,1))-1)</f>
        <v>56</v>
      </c>
      <c r="M315" s="1" t="str">
        <f t="shared" ref="M315:M323" si="59">MID(F315,1,FIND("°",F315,1)-1)</f>
        <v>81</v>
      </c>
      <c r="N315" s="1" t="str">
        <f t="shared" ref="N315:N323" si="60">MID(F315,FIND("°",F315,1)+1,(FIND("′",F315,1)-FIND("°",F315,1))-1)</f>
        <v>28</v>
      </c>
      <c r="O315" s="1" t="str">
        <f t="shared" ref="O315:O323" si="61">MID(F315,FIND("′",F315,1)+1,(FIND("″",F315,1)-FIND("′",F315,1))-1)</f>
        <v>28</v>
      </c>
      <c r="P315" s="2">
        <f t="shared" ref="P315:P323" si="62">((((L315/60)+K315)/60)+J315)*IF(C315="S",-1, 1)</f>
        <v>12.415555555555555</v>
      </c>
      <c r="Q315" s="2">
        <f t="shared" ref="Q315:Q323" si="63">((((O315/60)+N315)/60)+M315)*IF(D316="W",-1, 1)</f>
        <v>-81.474444444444444</v>
      </c>
      <c r="R315" s="16" t="s">
        <v>679</v>
      </c>
    </row>
    <row r="316" spans="1:18" ht="15.75" x14ac:dyDescent="0.25">
      <c r="A316" s="1">
        <v>315</v>
      </c>
      <c r="B316" s="1" t="s">
        <v>17</v>
      </c>
      <c r="C316" s="1" t="s">
        <v>18</v>
      </c>
      <c r="D316" s="1" t="s">
        <v>19</v>
      </c>
      <c r="E316" s="20" t="s">
        <v>697</v>
      </c>
      <c r="F316" s="20" t="s">
        <v>682</v>
      </c>
      <c r="G316" s="20" t="s">
        <v>669</v>
      </c>
      <c r="H316" s="1" t="s">
        <v>326</v>
      </c>
      <c r="I316" s="1" t="s">
        <v>671</v>
      </c>
      <c r="J316" s="1" t="str">
        <f t="shared" si="56"/>
        <v>15</v>
      </c>
      <c r="K316" s="1" t="str">
        <f t="shared" si="57"/>
        <v>51</v>
      </c>
      <c r="L316" s="1" t="str">
        <f t="shared" si="58"/>
        <v>53</v>
      </c>
      <c r="M316" s="1" t="str">
        <f t="shared" si="59"/>
        <v>79</v>
      </c>
      <c r="N316" s="1" t="str">
        <f t="shared" si="60"/>
        <v>52</v>
      </c>
      <c r="O316" s="1" t="str">
        <f t="shared" si="61"/>
        <v>54</v>
      </c>
      <c r="P316" s="2">
        <f t="shared" si="62"/>
        <v>15.864722222222222</v>
      </c>
      <c r="Q316" s="2">
        <f t="shared" si="63"/>
        <v>-79.881666666666661</v>
      </c>
      <c r="R316" s="16" t="s">
        <v>679</v>
      </c>
    </row>
    <row r="317" spans="1:18" ht="15.75" x14ac:dyDescent="0.25">
      <c r="A317" s="1">
        <v>316</v>
      </c>
      <c r="B317" s="1" t="s">
        <v>17</v>
      </c>
      <c r="C317" s="1" t="s">
        <v>18</v>
      </c>
      <c r="D317" s="1" t="s">
        <v>19</v>
      </c>
      <c r="E317" s="20" t="s">
        <v>696</v>
      </c>
      <c r="F317" s="20" t="s">
        <v>683</v>
      </c>
      <c r="G317" s="20" t="s">
        <v>669</v>
      </c>
      <c r="H317" s="1" t="s">
        <v>326</v>
      </c>
      <c r="I317" s="20" t="s">
        <v>673</v>
      </c>
      <c r="J317" s="1" t="str">
        <f t="shared" si="56"/>
        <v>16</v>
      </c>
      <c r="K317" s="1" t="str">
        <f t="shared" si="57"/>
        <v>04</v>
      </c>
      <c r="L317" s="1" t="str">
        <f t="shared" si="58"/>
        <v>56</v>
      </c>
      <c r="M317" s="1" t="str">
        <f t="shared" si="59"/>
        <v>79</v>
      </c>
      <c r="N317" s="1" t="str">
        <f t="shared" si="60"/>
        <v>22</v>
      </c>
      <c r="O317" s="1" t="str">
        <f t="shared" si="61"/>
        <v>00</v>
      </c>
      <c r="P317" s="2">
        <f t="shared" si="62"/>
        <v>16.082222222222221</v>
      </c>
      <c r="Q317" s="2">
        <f t="shared" si="63"/>
        <v>-79.36666666666666</v>
      </c>
      <c r="R317" s="16" t="s">
        <v>679</v>
      </c>
    </row>
    <row r="318" spans="1:18" ht="15.75" x14ac:dyDescent="0.25">
      <c r="A318" s="1">
        <v>317</v>
      </c>
      <c r="B318" s="1" t="s">
        <v>17</v>
      </c>
      <c r="C318" s="1" t="s">
        <v>18</v>
      </c>
      <c r="D318" s="1" t="s">
        <v>19</v>
      </c>
      <c r="E318" s="20" t="s">
        <v>695</v>
      </c>
      <c r="F318" s="20" t="s">
        <v>684</v>
      </c>
      <c r="G318" s="20" t="s">
        <v>669</v>
      </c>
      <c r="H318" s="1" t="s">
        <v>326</v>
      </c>
      <c r="I318" s="20" t="s">
        <v>674</v>
      </c>
      <c r="J318" s="1" t="str">
        <f t="shared" si="56"/>
        <v>15</v>
      </c>
      <c r="K318" s="1" t="str">
        <f t="shared" si="57"/>
        <v>52</v>
      </c>
      <c r="L318" s="1" t="str">
        <f t="shared" si="58"/>
        <v>08</v>
      </c>
      <c r="M318" s="1" t="str">
        <f t="shared" si="59"/>
        <v>78</v>
      </c>
      <c r="N318" s="1" t="str">
        <f t="shared" si="60"/>
        <v>40</v>
      </c>
      <c r="O318" s="1" t="str">
        <f t="shared" si="61"/>
        <v>01</v>
      </c>
      <c r="P318" s="2">
        <f t="shared" si="62"/>
        <v>15.86888888888889</v>
      </c>
      <c r="Q318" s="2">
        <f t="shared" si="63"/>
        <v>-78.666944444444439</v>
      </c>
      <c r="R318" s="16" t="s">
        <v>679</v>
      </c>
    </row>
    <row r="319" spans="1:18" ht="15.75" x14ac:dyDescent="0.25">
      <c r="A319" s="1">
        <v>318</v>
      </c>
      <c r="B319" s="1" t="s">
        <v>17</v>
      </c>
      <c r="C319" s="1" t="s">
        <v>18</v>
      </c>
      <c r="D319" s="1" t="s">
        <v>19</v>
      </c>
      <c r="E319" s="20" t="s">
        <v>694</v>
      </c>
      <c r="F319" s="20" t="s">
        <v>685</v>
      </c>
      <c r="G319" s="20" t="s">
        <v>669</v>
      </c>
      <c r="H319" s="1" t="s">
        <v>326</v>
      </c>
      <c r="I319" s="20" t="s">
        <v>672</v>
      </c>
      <c r="J319" s="1" t="str">
        <f t="shared" si="56"/>
        <v>14</v>
      </c>
      <c r="K319" s="1" t="str">
        <f t="shared" si="57"/>
        <v>23</v>
      </c>
      <c r="L319" s="1" t="str">
        <f t="shared" si="58"/>
        <v>58</v>
      </c>
      <c r="M319" s="1" t="str">
        <f t="shared" si="59"/>
        <v>80</v>
      </c>
      <c r="N319" s="1" t="str">
        <f t="shared" si="60"/>
        <v>16</v>
      </c>
      <c r="O319" s="1" t="str">
        <f t="shared" si="61"/>
        <v>00</v>
      </c>
      <c r="P319" s="2">
        <f t="shared" si="62"/>
        <v>14.399444444444445</v>
      </c>
      <c r="Q319" s="2">
        <f t="shared" si="63"/>
        <v>-80.266666666666666</v>
      </c>
      <c r="R319" s="16" t="s">
        <v>679</v>
      </c>
    </row>
    <row r="320" spans="1:18" ht="15.75" x14ac:dyDescent="0.25">
      <c r="A320" s="1">
        <v>319</v>
      </c>
      <c r="B320" s="1" t="s">
        <v>17</v>
      </c>
      <c r="C320" s="1" t="s">
        <v>18</v>
      </c>
      <c r="D320" s="1" t="s">
        <v>19</v>
      </c>
      <c r="E320" s="20" t="s">
        <v>693</v>
      </c>
      <c r="F320" s="20" t="s">
        <v>686</v>
      </c>
      <c r="G320" s="20" t="s">
        <v>669</v>
      </c>
      <c r="H320" s="1" t="s">
        <v>326</v>
      </c>
      <c r="I320" s="20" t="s">
        <v>675</v>
      </c>
      <c r="J320" s="1" t="str">
        <f t="shared" si="56"/>
        <v>13</v>
      </c>
      <c r="K320" s="1" t="str">
        <f t="shared" si="57"/>
        <v>33</v>
      </c>
      <c r="L320" s="1" t="str">
        <f t="shared" si="58"/>
        <v>57</v>
      </c>
      <c r="M320" s="1" t="str">
        <f t="shared" si="59"/>
        <v>80</v>
      </c>
      <c r="N320" s="1" t="str">
        <f t="shared" si="60"/>
        <v>03</v>
      </c>
      <c r="O320" s="1" t="str">
        <f t="shared" si="61"/>
        <v>60</v>
      </c>
      <c r="P320" s="2">
        <f t="shared" si="62"/>
        <v>13.565833333333334</v>
      </c>
      <c r="Q320" s="2">
        <f t="shared" si="63"/>
        <v>-80.066666666666663</v>
      </c>
      <c r="R320" s="16" t="s">
        <v>679</v>
      </c>
    </row>
    <row r="321" spans="1:18" ht="15.75" x14ac:dyDescent="0.25">
      <c r="A321" s="1">
        <v>320</v>
      </c>
      <c r="B321" s="1" t="s">
        <v>17</v>
      </c>
      <c r="C321" s="1" t="s">
        <v>18</v>
      </c>
      <c r="D321" s="1" t="s">
        <v>19</v>
      </c>
      <c r="E321" s="20" t="s">
        <v>692</v>
      </c>
      <c r="F321" s="20" t="s">
        <v>687</v>
      </c>
      <c r="G321" s="20" t="s">
        <v>669</v>
      </c>
      <c r="H321" s="1" t="s">
        <v>326</v>
      </c>
      <c r="I321" s="1" t="s">
        <v>676</v>
      </c>
      <c r="J321" s="1" t="str">
        <f t="shared" si="56"/>
        <v>13</v>
      </c>
      <c r="K321" s="1" t="str">
        <f t="shared" si="57"/>
        <v>23</v>
      </c>
      <c r="L321" s="1" t="str">
        <f t="shared" si="58"/>
        <v>16</v>
      </c>
      <c r="M321" s="1" t="str">
        <f t="shared" si="59"/>
        <v>81</v>
      </c>
      <c r="N321" s="1" t="str">
        <f t="shared" si="60"/>
        <v>21</v>
      </c>
      <c r="O321" s="1" t="str">
        <f t="shared" si="61"/>
        <v>13</v>
      </c>
      <c r="P321" s="2">
        <f t="shared" si="62"/>
        <v>13.387777777777778</v>
      </c>
      <c r="Q321" s="2">
        <f t="shared" si="63"/>
        <v>-81.353611111111107</v>
      </c>
      <c r="R321" s="16" t="s">
        <v>679</v>
      </c>
    </row>
    <row r="322" spans="1:18" ht="15.75" x14ac:dyDescent="0.25">
      <c r="A322" s="1">
        <v>321</v>
      </c>
      <c r="B322" s="1" t="s">
        <v>17</v>
      </c>
      <c r="C322" s="1" t="s">
        <v>18</v>
      </c>
      <c r="D322" s="1" t="s">
        <v>19</v>
      </c>
      <c r="E322" s="20" t="s">
        <v>691</v>
      </c>
      <c r="F322" s="20" t="s">
        <v>688</v>
      </c>
      <c r="G322" s="20" t="s">
        <v>669</v>
      </c>
      <c r="H322" s="1" t="s">
        <v>326</v>
      </c>
      <c r="I322" s="20" t="s">
        <v>677</v>
      </c>
      <c r="J322" s="1" t="str">
        <f t="shared" si="56"/>
        <v>12</v>
      </c>
      <c r="K322" s="1" t="str">
        <f t="shared" si="57"/>
        <v>34</v>
      </c>
      <c r="L322" s="1" t="str">
        <f t="shared" si="58"/>
        <v>38</v>
      </c>
      <c r="M322" s="1" t="str">
        <f t="shared" si="59"/>
        <v>81</v>
      </c>
      <c r="N322" s="1" t="str">
        <f t="shared" si="60"/>
        <v>40</v>
      </c>
      <c r="O322" s="1" t="str">
        <f t="shared" si="61"/>
        <v>59</v>
      </c>
      <c r="P322" s="2">
        <f t="shared" si="62"/>
        <v>12.577222222222222</v>
      </c>
      <c r="Q322" s="2">
        <f t="shared" si="63"/>
        <v>-81.683055555555555</v>
      </c>
      <c r="R322" s="16" t="s">
        <v>679</v>
      </c>
    </row>
    <row r="323" spans="1:18" ht="15.75" x14ac:dyDescent="0.25">
      <c r="A323" s="1">
        <v>322</v>
      </c>
      <c r="B323" s="1" t="s">
        <v>17</v>
      </c>
      <c r="C323" s="1" t="s">
        <v>18</v>
      </c>
      <c r="D323" s="1" t="s">
        <v>19</v>
      </c>
      <c r="E323" s="20" t="s">
        <v>690</v>
      </c>
      <c r="F323" s="20" t="s">
        <v>689</v>
      </c>
      <c r="G323" s="20" t="s">
        <v>669</v>
      </c>
      <c r="H323" s="1" t="s">
        <v>326</v>
      </c>
      <c r="I323" s="20" t="s">
        <v>678</v>
      </c>
      <c r="J323" s="1" t="str">
        <f t="shared" si="56"/>
        <v>12</v>
      </c>
      <c r="K323" s="1" t="str">
        <f t="shared" si="57"/>
        <v>09</v>
      </c>
      <c r="L323" s="1" t="str">
        <f t="shared" si="58"/>
        <v>57</v>
      </c>
      <c r="M323" s="1" t="str">
        <f t="shared" si="59"/>
        <v>81</v>
      </c>
      <c r="N323" s="1" t="str">
        <f t="shared" si="60"/>
        <v>51</v>
      </c>
      <c r="O323" s="1" t="str">
        <f t="shared" si="61"/>
        <v>00</v>
      </c>
      <c r="P323" s="2">
        <f t="shared" si="62"/>
        <v>12.165833333333333</v>
      </c>
      <c r="Q323" s="2">
        <f t="shared" si="63"/>
        <v>81.849999999999994</v>
      </c>
      <c r="R323" s="16" t="s">
        <v>679</v>
      </c>
    </row>
    <row r="324" spans="1:18" ht="15.75" x14ac:dyDescent="0.25">
      <c r="P324" s="2"/>
      <c r="Q324" s="2"/>
      <c r="R324" s="16"/>
    </row>
    <row r="325" spans="1:18" x14ac:dyDescent="0.25">
      <c r="P325" s="2"/>
      <c r="Q325" s="2"/>
    </row>
    <row r="326" spans="1:18" x14ac:dyDescent="0.25">
      <c r="P326" s="2"/>
      <c r="Q326" s="2"/>
    </row>
    <row r="327" spans="1:18" x14ac:dyDescent="0.25">
      <c r="P327" s="2"/>
      <c r="Q327" s="2"/>
    </row>
    <row r="328" spans="1:18" x14ac:dyDescent="0.25">
      <c r="P328" s="2"/>
      <c r="Q328" s="2"/>
    </row>
    <row r="329" spans="1:18" x14ac:dyDescent="0.25">
      <c r="P329" s="2"/>
      <c r="Q329" s="2"/>
    </row>
    <row r="330" spans="1:18" x14ac:dyDescent="0.25">
      <c r="P330" s="2"/>
      <c r="Q330" s="2"/>
    </row>
    <row r="331" spans="1:18" x14ac:dyDescent="0.25">
      <c r="P331" s="2"/>
      <c r="Q331" s="2"/>
    </row>
    <row r="332" spans="1:18" x14ac:dyDescent="0.25">
      <c r="P332" s="2"/>
      <c r="Q332" s="2"/>
    </row>
    <row r="333" spans="1:18" x14ac:dyDescent="0.25">
      <c r="P333" s="2"/>
      <c r="Q333" s="2"/>
    </row>
    <row r="334" spans="1:18" x14ac:dyDescent="0.25">
      <c r="P334" s="2"/>
      <c r="Q334" s="2"/>
    </row>
    <row r="335" spans="1:18" x14ac:dyDescent="0.25">
      <c r="P335" s="2"/>
      <c r="Q335" s="2"/>
    </row>
    <row r="336" spans="1:18" x14ac:dyDescent="0.25">
      <c r="P336" s="2"/>
      <c r="Q336" s="2"/>
    </row>
    <row r="337" spans="16:17" x14ac:dyDescent="0.25">
      <c r="P337" s="2"/>
      <c r="Q337" s="2"/>
    </row>
    <row r="338" spans="16:17" x14ac:dyDescent="0.25">
      <c r="P338" s="2"/>
      <c r="Q338" s="2"/>
    </row>
    <row r="339" spans="16:17" x14ac:dyDescent="0.25">
      <c r="P339" s="2"/>
      <c r="Q339" s="2"/>
    </row>
    <row r="340" spans="16:17" x14ac:dyDescent="0.25">
      <c r="P340" s="2"/>
      <c r="Q340" s="2"/>
    </row>
    <row r="341" spans="16:17" x14ac:dyDescent="0.25">
      <c r="P341" s="2"/>
      <c r="Q341" s="2"/>
    </row>
    <row r="342" spans="16:17" x14ac:dyDescent="0.25">
      <c r="P342" s="2"/>
      <c r="Q342" s="2"/>
    </row>
    <row r="343" spans="16:17" x14ac:dyDescent="0.25">
      <c r="P343" s="2"/>
      <c r="Q343" s="2"/>
    </row>
    <row r="344" spans="16:17" x14ac:dyDescent="0.25">
      <c r="P344" s="2"/>
      <c r="Q344" s="2"/>
    </row>
    <row r="345" spans="16:17" x14ac:dyDescent="0.25">
      <c r="P345" s="2"/>
      <c r="Q345" s="2"/>
    </row>
    <row r="346" spans="16:17" x14ac:dyDescent="0.25">
      <c r="P346" s="2"/>
      <c r="Q346" s="2"/>
    </row>
    <row r="347" spans="16:17" x14ac:dyDescent="0.25">
      <c r="P347" s="2"/>
      <c r="Q347" s="2"/>
    </row>
    <row r="348" spans="16:17" x14ac:dyDescent="0.25">
      <c r="P348" s="2"/>
      <c r="Q348" s="2"/>
    </row>
    <row r="349" spans="16:17" x14ac:dyDescent="0.25">
      <c r="P349" s="2"/>
      <c r="Q349" s="2"/>
    </row>
    <row r="350" spans="16:17" x14ac:dyDescent="0.25">
      <c r="P350" s="2"/>
      <c r="Q350" s="2"/>
    </row>
    <row r="351" spans="16:17" x14ac:dyDescent="0.25">
      <c r="P351" s="2"/>
      <c r="Q351" s="2"/>
    </row>
    <row r="352" spans="16:17" x14ac:dyDescent="0.25">
      <c r="P352" s="2"/>
      <c r="Q352" s="2"/>
    </row>
    <row r="353" spans="16:17" x14ac:dyDescent="0.25">
      <c r="P353" s="2"/>
      <c r="Q353" s="2"/>
    </row>
    <row r="354" spans="16:17" x14ac:dyDescent="0.25">
      <c r="P354" s="2"/>
      <c r="Q354" s="2"/>
    </row>
    <row r="355" spans="16:17" x14ac:dyDescent="0.25">
      <c r="P355" s="2"/>
      <c r="Q355" s="2"/>
    </row>
    <row r="356" spans="16:17" x14ac:dyDescent="0.25">
      <c r="P356" s="2"/>
      <c r="Q356" s="2"/>
    </row>
    <row r="357" spans="16:17" x14ac:dyDescent="0.25">
      <c r="P357" s="2"/>
      <c r="Q357" s="2"/>
    </row>
    <row r="358" spans="16:17" x14ac:dyDescent="0.25">
      <c r="P358" s="2"/>
      <c r="Q358" s="2"/>
    </row>
    <row r="359" spans="16:17" x14ac:dyDescent="0.25">
      <c r="P359" s="2"/>
      <c r="Q359" s="2"/>
    </row>
    <row r="360" spans="16:17" x14ac:dyDescent="0.25">
      <c r="P360" s="2"/>
      <c r="Q360" s="2"/>
    </row>
    <row r="361" spans="16:17" x14ac:dyDescent="0.25">
      <c r="P361" s="2"/>
      <c r="Q361" s="2"/>
    </row>
    <row r="362" spans="16:17" x14ac:dyDescent="0.25">
      <c r="P362" s="2"/>
      <c r="Q362" s="2"/>
    </row>
    <row r="363" spans="16:17" x14ac:dyDescent="0.25">
      <c r="P363" s="2"/>
      <c r="Q363" s="2"/>
    </row>
    <row r="364" spans="16:17" x14ac:dyDescent="0.25">
      <c r="P364" s="2"/>
      <c r="Q364" s="2"/>
    </row>
    <row r="365" spans="16:17" x14ac:dyDescent="0.25">
      <c r="P365" s="2"/>
      <c r="Q365" s="2"/>
    </row>
    <row r="366" spans="16:17" x14ac:dyDescent="0.25">
      <c r="P366" s="2"/>
      <c r="Q366" s="2"/>
    </row>
    <row r="367" spans="16:17" x14ac:dyDescent="0.25">
      <c r="P367" s="2"/>
      <c r="Q367" s="2"/>
    </row>
    <row r="368" spans="16:17" x14ac:dyDescent="0.25">
      <c r="P368" s="2"/>
      <c r="Q368" s="2"/>
    </row>
    <row r="369" spans="2:17" x14ac:dyDescent="0.25">
      <c r="P369" s="2"/>
      <c r="Q369" s="2"/>
    </row>
    <row r="370" spans="2:17" x14ac:dyDescent="0.25">
      <c r="P370" s="2"/>
      <c r="Q370" s="2"/>
    </row>
    <row r="371" spans="2:17" x14ac:dyDescent="0.25">
      <c r="P371" s="2"/>
      <c r="Q371" s="2"/>
    </row>
    <row r="372" spans="2:17" x14ac:dyDescent="0.25">
      <c r="P372" s="2"/>
      <c r="Q372" s="2"/>
    </row>
    <row r="373" spans="2:17" x14ac:dyDescent="0.25">
      <c r="P373" s="2"/>
      <c r="Q373" s="2"/>
    </row>
    <row r="374" spans="2:17" x14ac:dyDescent="0.25">
      <c r="P374" s="2"/>
      <c r="Q374" s="2"/>
    </row>
    <row r="375" spans="2:17" x14ac:dyDescent="0.25">
      <c r="P375" s="2"/>
      <c r="Q375" s="2"/>
    </row>
    <row r="376" spans="2:17" x14ac:dyDescent="0.25">
      <c r="P376" s="2"/>
      <c r="Q376" s="2"/>
    </row>
    <row r="377" spans="2:17" x14ac:dyDescent="0.25">
      <c r="P377" s="2"/>
      <c r="Q377" s="2"/>
    </row>
    <row r="378" spans="2:17" x14ac:dyDescent="0.25">
      <c r="P378" s="2"/>
      <c r="Q378" s="2"/>
    </row>
    <row r="379" spans="2:17" x14ac:dyDescent="0.25">
      <c r="P379" s="2"/>
      <c r="Q379" s="2"/>
    </row>
    <row r="380" spans="2:17" x14ac:dyDescent="0.25">
      <c r="B380" s="7"/>
      <c r="G380" s="7"/>
      <c r="H380" s="7"/>
      <c r="P380" s="2"/>
      <c r="Q380" s="2"/>
    </row>
    <row r="381" spans="2:17" x14ac:dyDescent="0.25">
      <c r="B381" s="18"/>
      <c r="E381" s="18"/>
      <c r="F381" s="18"/>
      <c r="G381" s="7"/>
      <c r="H381" s="7"/>
      <c r="I381" s="10"/>
      <c r="P381" s="2"/>
      <c r="Q381" s="2"/>
    </row>
    <row r="382" spans="2:17" x14ac:dyDescent="0.25">
      <c r="B382" s="18"/>
      <c r="E382" s="18"/>
      <c r="F382" s="18"/>
      <c r="G382" s="7"/>
      <c r="H382" s="7"/>
      <c r="I382" s="10"/>
      <c r="P382" s="2"/>
      <c r="Q382" s="2"/>
    </row>
    <row r="383" spans="2:17" x14ac:dyDescent="0.25">
      <c r="B383" s="18"/>
      <c r="E383" s="18"/>
      <c r="F383" s="18"/>
      <c r="G383" s="7"/>
      <c r="H383" s="7"/>
      <c r="I383" s="10"/>
      <c r="P383" s="2"/>
      <c r="Q383" s="2"/>
    </row>
    <row r="384" spans="2:17" x14ac:dyDescent="0.25">
      <c r="B384" s="18"/>
      <c r="E384" s="18"/>
      <c r="F384" s="18"/>
      <c r="G384" s="7"/>
      <c r="H384" s="7"/>
      <c r="I384" s="10"/>
      <c r="P384" s="2"/>
      <c r="Q384" s="2"/>
    </row>
    <row r="385" spans="2:17" x14ac:dyDescent="0.25">
      <c r="B385" s="18"/>
      <c r="E385" s="18"/>
      <c r="F385" s="18"/>
      <c r="G385" s="7"/>
      <c r="H385" s="7"/>
      <c r="I385" s="10"/>
      <c r="P385" s="2"/>
      <c r="Q385" s="2"/>
    </row>
    <row r="386" spans="2:17" x14ac:dyDescent="0.25">
      <c r="B386" s="18"/>
      <c r="E386" s="18"/>
      <c r="F386" s="18"/>
      <c r="G386" s="7"/>
      <c r="H386" s="7"/>
      <c r="I386" s="10"/>
      <c r="P386" s="2"/>
      <c r="Q386" s="2"/>
    </row>
    <row r="387" spans="2:17" x14ac:dyDescent="0.25">
      <c r="B387" s="18"/>
      <c r="E387" s="10"/>
      <c r="F387" s="10"/>
      <c r="G387" s="7"/>
      <c r="H387" s="7"/>
      <c r="I387" s="10"/>
      <c r="P387" s="2"/>
      <c r="Q387" s="2"/>
    </row>
    <row r="388" spans="2:17" x14ac:dyDescent="0.25">
      <c r="B388" s="18"/>
      <c r="E388" s="10"/>
      <c r="F388" s="10"/>
      <c r="G388" s="7"/>
      <c r="H388" s="7"/>
      <c r="I388" s="10"/>
      <c r="P388" s="2"/>
      <c r="Q388" s="2"/>
    </row>
    <row r="389" spans="2:17" x14ac:dyDescent="0.25">
      <c r="B389" s="18"/>
      <c r="E389" s="10"/>
      <c r="F389" s="10"/>
      <c r="G389" s="7"/>
      <c r="H389" s="7"/>
      <c r="I389" s="10"/>
      <c r="P389" s="2"/>
      <c r="Q389" s="2"/>
    </row>
    <row r="390" spans="2:17" x14ac:dyDescent="0.25">
      <c r="B390" s="18"/>
      <c r="E390" s="10"/>
      <c r="F390" s="10"/>
      <c r="G390" s="7"/>
      <c r="H390" s="7"/>
      <c r="I390" s="10"/>
      <c r="P390" s="2"/>
      <c r="Q390" s="2"/>
    </row>
    <row r="391" spans="2:17" x14ac:dyDescent="0.25">
      <c r="B391" s="18"/>
      <c r="E391" s="10"/>
      <c r="F391" s="10"/>
      <c r="G391" s="7"/>
      <c r="H391" s="7"/>
      <c r="I391" s="10"/>
      <c r="P391" s="2"/>
      <c r="Q391" s="2"/>
    </row>
    <row r="392" spans="2:17" x14ac:dyDescent="0.25">
      <c r="B392" s="18"/>
      <c r="E392" s="10"/>
      <c r="F392" s="10"/>
      <c r="G392" s="7"/>
      <c r="H392" s="7"/>
      <c r="I392" s="10"/>
      <c r="P392" s="2"/>
      <c r="Q392" s="2"/>
    </row>
    <row r="393" spans="2:17" x14ac:dyDescent="0.25">
      <c r="B393" s="18"/>
      <c r="E393" s="10"/>
      <c r="F393" s="10"/>
      <c r="G393" s="7"/>
      <c r="H393" s="7"/>
      <c r="I393" s="10"/>
      <c r="P393" s="2"/>
      <c r="Q393" s="2"/>
    </row>
    <row r="394" spans="2:17" x14ac:dyDescent="0.25">
      <c r="B394" s="18"/>
      <c r="E394" s="10"/>
      <c r="F394" s="10"/>
      <c r="G394" s="7"/>
      <c r="H394" s="7"/>
      <c r="I394" s="10"/>
      <c r="P394" s="2"/>
      <c r="Q394" s="2"/>
    </row>
    <row r="395" spans="2:17" x14ac:dyDescent="0.25">
      <c r="B395" s="18"/>
      <c r="E395" s="10"/>
      <c r="F395" s="10"/>
      <c r="G395" s="7"/>
      <c r="H395" s="7"/>
      <c r="I395" s="10"/>
      <c r="P395" s="2"/>
      <c r="Q395" s="2"/>
    </row>
    <row r="396" spans="2:17" x14ac:dyDescent="0.25">
      <c r="B396" s="18"/>
      <c r="E396" s="10"/>
      <c r="F396" s="10"/>
      <c r="G396" s="7"/>
      <c r="H396" s="7"/>
      <c r="I396" s="10"/>
      <c r="P396" s="2"/>
      <c r="Q396" s="2"/>
    </row>
    <row r="397" spans="2:17" x14ac:dyDescent="0.25">
      <c r="B397" s="18"/>
      <c r="E397" s="10"/>
      <c r="F397" s="10"/>
      <c r="G397" s="7"/>
      <c r="H397" s="7"/>
      <c r="I397" s="10"/>
      <c r="P397" s="2"/>
      <c r="Q397" s="2"/>
    </row>
    <row r="398" spans="2:17" x14ac:dyDescent="0.25">
      <c r="B398" s="18"/>
      <c r="E398" s="10"/>
      <c r="F398" s="10"/>
      <c r="G398" s="7"/>
      <c r="H398" s="7"/>
      <c r="I398" s="10"/>
      <c r="P398" s="2"/>
      <c r="Q398" s="2"/>
    </row>
    <row r="399" spans="2:17" x14ac:dyDescent="0.25">
      <c r="B399" s="18"/>
      <c r="E399" s="10"/>
      <c r="F399" s="10"/>
      <c r="G399" s="7"/>
      <c r="H399" s="7"/>
      <c r="I399" s="10"/>
      <c r="P399" s="2"/>
      <c r="Q399" s="2"/>
    </row>
    <row r="400" spans="2:17" x14ac:dyDescent="0.25">
      <c r="B400" s="18"/>
      <c r="E400" s="10"/>
      <c r="F400" s="10"/>
      <c r="G400" s="7"/>
      <c r="H400" s="7"/>
      <c r="I400" s="10"/>
      <c r="P400" s="2"/>
      <c r="Q400" s="2"/>
    </row>
    <row r="401" spans="2:17" x14ac:dyDescent="0.25">
      <c r="B401" s="18"/>
      <c r="E401" s="10"/>
      <c r="F401" s="10"/>
      <c r="G401" s="7"/>
      <c r="H401" s="7"/>
      <c r="I401" s="10"/>
      <c r="P401" s="2"/>
      <c r="Q401" s="2"/>
    </row>
    <row r="402" spans="2:17" x14ac:dyDescent="0.25">
      <c r="B402" s="18"/>
      <c r="E402" s="10"/>
      <c r="F402" s="10"/>
      <c r="G402" s="7"/>
      <c r="H402" s="7"/>
      <c r="I402" s="10"/>
      <c r="P402" s="2"/>
      <c r="Q402" s="2"/>
    </row>
    <row r="403" spans="2:17" x14ac:dyDescent="0.25">
      <c r="B403" s="18"/>
      <c r="E403" s="10"/>
      <c r="F403" s="10"/>
      <c r="G403" s="7"/>
      <c r="H403" s="7"/>
      <c r="I403" s="10"/>
      <c r="P403" s="2"/>
      <c r="Q403" s="2"/>
    </row>
    <row r="404" spans="2:17" x14ac:dyDescent="0.25">
      <c r="B404" s="18"/>
      <c r="E404" s="10"/>
      <c r="F404" s="10"/>
      <c r="G404" s="7"/>
      <c r="H404" s="7"/>
      <c r="I404" s="10"/>
      <c r="P404" s="2"/>
      <c r="Q404" s="2"/>
    </row>
    <row r="405" spans="2:17" x14ac:dyDescent="0.25">
      <c r="B405" s="18"/>
      <c r="E405" s="10"/>
      <c r="F405" s="10"/>
      <c r="G405" s="7"/>
      <c r="H405" s="7"/>
      <c r="I405" s="10"/>
      <c r="P405" s="2"/>
      <c r="Q405" s="2"/>
    </row>
    <row r="406" spans="2:17" x14ac:dyDescent="0.25">
      <c r="B406" s="10"/>
      <c r="E406" s="18"/>
      <c r="F406" s="18"/>
      <c r="G406" s="7"/>
      <c r="H406" s="7"/>
      <c r="I406" s="10"/>
      <c r="P406" s="2"/>
      <c r="Q406" s="2"/>
    </row>
    <row r="407" spans="2:17" x14ac:dyDescent="0.25">
      <c r="B407" s="10"/>
      <c r="E407" s="18"/>
      <c r="F407" s="18"/>
      <c r="G407" s="7"/>
      <c r="H407" s="7"/>
      <c r="I407" s="10"/>
      <c r="P407" s="2"/>
      <c r="Q407" s="2"/>
    </row>
    <row r="408" spans="2:17" x14ac:dyDescent="0.25">
      <c r="B408" s="10"/>
      <c r="E408" s="18"/>
      <c r="F408" s="18"/>
      <c r="G408" s="7"/>
      <c r="H408" s="7"/>
      <c r="I408" s="10"/>
      <c r="P408" s="2"/>
      <c r="Q408" s="2"/>
    </row>
    <row r="409" spans="2:17" x14ac:dyDescent="0.25">
      <c r="B409" s="10"/>
      <c r="E409" s="10"/>
      <c r="F409" s="10"/>
      <c r="G409" s="7"/>
      <c r="H409" s="7"/>
      <c r="I409" s="10"/>
      <c r="P409" s="2"/>
      <c r="Q409" s="2"/>
    </row>
    <row r="410" spans="2:17" x14ac:dyDescent="0.25">
      <c r="B410" s="10"/>
      <c r="E410" s="10"/>
      <c r="F410" s="10"/>
      <c r="G410" s="7"/>
      <c r="H410" s="7"/>
      <c r="I410" s="10"/>
      <c r="P410" s="2"/>
      <c r="Q410" s="2"/>
    </row>
    <row r="411" spans="2:17" x14ac:dyDescent="0.25">
      <c r="B411" s="10"/>
      <c r="E411" s="10"/>
      <c r="F411" s="10"/>
      <c r="G411" s="7"/>
      <c r="H411" s="7"/>
      <c r="I411" s="10"/>
      <c r="P411" s="2"/>
      <c r="Q411" s="2"/>
    </row>
    <row r="412" spans="2:17" x14ac:dyDescent="0.25">
      <c r="B412" s="10"/>
      <c r="E412" s="18"/>
      <c r="F412" s="18"/>
      <c r="G412" s="7"/>
      <c r="H412" s="7"/>
      <c r="I412" s="10"/>
      <c r="P412" s="2"/>
      <c r="Q412" s="2"/>
    </row>
    <row r="413" spans="2:17" x14ac:dyDescent="0.25">
      <c r="B413" s="10"/>
      <c r="E413" s="18"/>
      <c r="F413" s="18"/>
      <c r="G413" s="7"/>
      <c r="H413" s="7"/>
      <c r="I413" s="10"/>
      <c r="P413" s="2"/>
      <c r="Q413" s="2"/>
    </row>
    <row r="414" spans="2:17" x14ac:dyDescent="0.25">
      <c r="B414" s="10"/>
      <c r="E414" s="10"/>
      <c r="F414" s="10"/>
      <c r="G414" s="7"/>
      <c r="H414" s="7"/>
      <c r="I414" s="10"/>
      <c r="P414" s="2"/>
      <c r="Q414" s="2"/>
    </row>
    <row r="415" spans="2:17" x14ac:dyDescent="0.25">
      <c r="B415" s="10"/>
      <c r="E415" s="10"/>
      <c r="F415" s="10"/>
      <c r="G415" s="7"/>
      <c r="H415" s="7"/>
      <c r="I415" s="10"/>
      <c r="P415" s="2"/>
      <c r="Q415" s="2"/>
    </row>
    <row r="416" spans="2:17" x14ac:dyDescent="0.25">
      <c r="B416" s="18"/>
      <c r="E416" s="18"/>
      <c r="F416" s="18"/>
      <c r="G416" s="7"/>
      <c r="H416" s="7"/>
      <c r="I416" s="10"/>
      <c r="P416" s="2"/>
      <c r="Q416" s="2"/>
    </row>
    <row r="417" spans="2:17" x14ac:dyDescent="0.25">
      <c r="B417" s="18"/>
      <c r="E417" s="18"/>
      <c r="F417" s="18"/>
      <c r="G417" s="7"/>
      <c r="H417" s="7"/>
      <c r="I417" s="10"/>
      <c r="P417" s="2"/>
      <c r="Q417" s="2"/>
    </row>
    <row r="418" spans="2:17" x14ac:dyDescent="0.25">
      <c r="B418" s="18"/>
      <c r="E418" s="18"/>
      <c r="F418" s="18"/>
      <c r="G418" s="7"/>
      <c r="H418" s="7"/>
      <c r="I418" s="10"/>
      <c r="P418" s="2"/>
      <c r="Q418" s="2"/>
    </row>
    <row r="419" spans="2:17" x14ac:dyDescent="0.25">
      <c r="B419" s="18"/>
      <c r="E419" s="18"/>
      <c r="F419" s="18"/>
      <c r="G419" s="7"/>
      <c r="H419" s="7"/>
      <c r="I419" s="10"/>
      <c r="P419" s="2"/>
      <c r="Q419" s="2"/>
    </row>
    <row r="420" spans="2:17" x14ac:dyDescent="0.25">
      <c r="B420" s="18"/>
      <c r="E420" s="10"/>
      <c r="F420" s="10"/>
      <c r="G420" s="7"/>
      <c r="H420" s="7"/>
      <c r="I420" s="10"/>
      <c r="P420" s="2"/>
      <c r="Q420" s="2"/>
    </row>
    <row r="421" spans="2:17" x14ac:dyDescent="0.25">
      <c r="B421" s="18"/>
      <c r="E421" s="10"/>
      <c r="F421" s="10"/>
      <c r="G421" s="7"/>
      <c r="H421" s="7"/>
      <c r="I421" s="10"/>
      <c r="P421" s="2"/>
      <c r="Q421" s="2"/>
    </row>
    <row r="422" spans="2:17" x14ac:dyDescent="0.25">
      <c r="B422" s="18"/>
      <c r="E422" s="10"/>
      <c r="F422" s="10"/>
      <c r="G422" s="7"/>
      <c r="H422" s="7"/>
      <c r="I422" s="10"/>
      <c r="P422" s="2"/>
      <c r="Q422" s="2"/>
    </row>
    <row r="423" spans="2:17" x14ac:dyDescent="0.25">
      <c r="B423" s="18"/>
      <c r="E423" s="18"/>
      <c r="F423" s="18"/>
      <c r="G423" s="7"/>
      <c r="H423" s="7"/>
      <c r="I423" s="10"/>
      <c r="P423" s="2"/>
      <c r="Q423" s="2"/>
    </row>
    <row r="424" spans="2:17" x14ac:dyDescent="0.25">
      <c r="B424" s="18"/>
      <c r="E424" s="18"/>
      <c r="F424" s="18"/>
      <c r="G424" s="7"/>
      <c r="H424" s="7"/>
      <c r="I424" s="10"/>
      <c r="P424" s="2"/>
      <c r="Q424" s="2"/>
    </row>
    <row r="425" spans="2:17" x14ac:dyDescent="0.25">
      <c r="B425" s="18"/>
      <c r="E425" s="10"/>
      <c r="F425" s="10"/>
      <c r="G425" s="7"/>
      <c r="H425" s="7"/>
      <c r="I425" s="10"/>
      <c r="P425" s="2"/>
      <c r="Q425" s="2"/>
    </row>
    <row r="426" spans="2:17" x14ac:dyDescent="0.25">
      <c r="B426" s="18"/>
      <c r="E426" s="10"/>
      <c r="F426" s="10"/>
      <c r="G426" s="7"/>
      <c r="H426" s="7"/>
      <c r="I426" s="10"/>
      <c r="P426" s="2"/>
      <c r="Q426" s="2"/>
    </row>
    <row r="427" spans="2:17" x14ac:dyDescent="0.25">
      <c r="B427" s="18"/>
      <c r="E427" s="10"/>
      <c r="F427" s="10"/>
      <c r="G427" s="7"/>
      <c r="H427" s="7"/>
      <c r="I427" s="10"/>
      <c r="P427" s="2"/>
      <c r="Q427" s="2"/>
    </row>
    <row r="428" spans="2:17" x14ac:dyDescent="0.25">
      <c r="P428" s="2"/>
      <c r="Q428" s="2"/>
    </row>
    <row r="429" spans="2:17" x14ac:dyDescent="0.25">
      <c r="P429" s="2"/>
      <c r="Q429" s="2"/>
    </row>
    <row r="430" spans="2:17" x14ac:dyDescent="0.25">
      <c r="P430" s="2"/>
      <c r="Q430" s="2"/>
    </row>
    <row r="431" spans="2:17" x14ac:dyDescent="0.25">
      <c r="P431" s="2"/>
      <c r="Q431" s="2"/>
    </row>
    <row r="432" spans="2:17" x14ac:dyDescent="0.25">
      <c r="P432" s="2"/>
      <c r="Q432" s="2"/>
    </row>
    <row r="433" spans="16:17" x14ac:dyDescent="0.25">
      <c r="P433" s="2"/>
      <c r="Q433" s="2"/>
    </row>
    <row r="434" spans="16:17" x14ac:dyDescent="0.25">
      <c r="P434" s="2"/>
      <c r="Q434" s="2"/>
    </row>
    <row r="435" spans="16:17" x14ac:dyDescent="0.25">
      <c r="P435" s="2"/>
      <c r="Q435" s="2"/>
    </row>
    <row r="436" spans="16:17" x14ac:dyDescent="0.25">
      <c r="P436" s="2"/>
      <c r="Q436" s="2"/>
    </row>
    <row r="437" spans="16:17" x14ac:dyDescent="0.25">
      <c r="P437" s="2"/>
      <c r="Q437" s="2"/>
    </row>
    <row r="438" spans="16:17" x14ac:dyDescent="0.25">
      <c r="P438" s="2"/>
      <c r="Q438" s="2"/>
    </row>
    <row r="439" spans="16:17" x14ac:dyDescent="0.25">
      <c r="P439" s="2"/>
      <c r="Q439" s="2"/>
    </row>
    <row r="440" spans="16:17" x14ac:dyDescent="0.25">
      <c r="P440" s="2"/>
      <c r="Q440" s="2"/>
    </row>
  </sheetData>
  <autoFilter ref="B1:I314" xr:uid="{00000000-0009-0000-0000-000000000000}"/>
  <phoneticPr fontId="11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selection activeCell="Q36" activeCellId="1" sqref="R253:R258 Q36"/>
    </sheetView>
  </sheetViews>
  <sheetFormatPr defaultColWidth="8.7109375" defaultRowHeight="15" x14ac:dyDescent="0.25"/>
  <sheetData>
    <row r="1" spans="1:17" ht="15.75" x14ac:dyDescent="0.25">
      <c r="A1" s="1" t="s">
        <v>17</v>
      </c>
      <c r="B1" s="1" t="s">
        <v>18</v>
      </c>
      <c r="C1" s="1" t="s">
        <v>19</v>
      </c>
      <c r="D1" s="7" t="s">
        <v>250</v>
      </c>
      <c r="E1" s="7" t="s">
        <v>251</v>
      </c>
      <c r="F1" s="7" t="s">
        <v>244</v>
      </c>
      <c r="G1" s="1" t="s">
        <v>23</v>
      </c>
      <c r="H1" s="7" t="s">
        <v>252</v>
      </c>
      <c r="I1" s="1" t="str">
        <f t="shared" ref="I1:I36" si="0">MID(D1,1,FIND("°",D1,1)-1)</f>
        <v>03</v>
      </c>
      <c r="J1" s="1" t="str">
        <f t="shared" ref="J1:J36" si="1">MID(D1,FIND("°",D1,1)+1,(FIND("′",D1,1)-FIND("°",D1,1))-1)</f>
        <v>18</v>
      </c>
      <c r="K1" s="1" t="str">
        <f t="shared" ref="K1:K36" si="2">MID(D1,FIND("′",D1,1)+1,(FIND("″",D1,1)-FIND("′",D1,1))-1)</f>
        <v>00</v>
      </c>
      <c r="L1" s="1" t="str">
        <f t="shared" ref="L1:L36" si="3">MID(E1,1,FIND("°",E1,1)-1)</f>
        <v>50</v>
      </c>
      <c r="M1" s="1" t="str">
        <f t="shared" ref="M1:M36" si="4">MID(E1,FIND("°",E1,1)+1,(FIND("′",E1,1)-FIND("°",E1,1))-1)</f>
        <v>35</v>
      </c>
      <c r="N1" s="1" t="str">
        <f t="shared" ref="N1:N36" si="5">MID(E1,FIND("′",E1,1)+1,(FIND("″",E1,1)-FIND("′",E1,1))-1)</f>
        <v>24</v>
      </c>
      <c r="O1" s="2">
        <f t="shared" ref="O1:O36" si="6">((((K1/60)+J1)/60)+I1)*IF(B1="S",-1, 1)</f>
        <v>3.3</v>
      </c>
      <c r="P1" s="2">
        <f t="shared" ref="P1:P36" si="7">((((N1/60)+M1)/60)+L1)*IF(C1="W",-1, 1)</f>
        <v>-50.59</v>
      </c>
      <c r="Q1" s="16" t="s">
        <v>246</v>
      </c>
    </row>
    <row r="2" spans="1:17" ht="15.75" x14ac:dyDescent="0.25">
      <c r="A2" s="1" t="s">
        <v>17</v>
      </c>
      <c r="B2" s="1" t="s">
        <v>18</v>
      </c>
      <c r="C2" s="1" t="s">
        <v>19</v>
      </c>
      <c r="D2" s="7" t="s">
        <v>253</v>
      </c>
      <c r="E2" s="7" t="s">
        <v>254</v>
      </c>
      <c r="F2" s="7" t="s">
        <v>244</v>
      </c>
      <c r="G2" s="1" t="s">
        <v>23</v>
      </c>
      <c r="H2" s="7" t="s">
        <v>255</v>
      </c>
      <c r="I2" s="1" t="str">
        <f t="shared" si="0"/>
        <v>05</v>
      </c>
      <c r="J2" s="1" t="str">
        <f t="shared" si="1"/>
        <v>40</v>
      </c>
      <c r="K2" s="1" t="str">
        <f t="shared" si="2"/>
        <v>48</v>
      </c>
      <c r="L2" s="1" t="str">
        <f t="shared" si="3"/>
        <v>46</v>
      </c>
      <c r="M2" s="1" t="str">
        <f t="shared" si="4"/>
        <v>38</v>
      </c>
      <c r="N2" s="1" t="str">
        <f t="shared" si="5"/>
        <v>24</v>
      </c>
      <c r="O2" s="2">
        <f t="shared" si="6"/>
        <v>5.68</v>
      </c>
      <c r="P2" s="2">
        <f t="shared" si="7"/>
        <v>-46.64</v>
      </c>
      <c r="Q2" s="16" t="s">
        <v>246</v>
      </c>
    </row>
    <row r="3" spans="1:17" ht="15.75" x14ac:dyDescent="0.25">
      <c r="A3" s="1" t="s">
        <v>17</v>
      </c>
      <c r="B3" s="1" t="s">
        <v>26</v>
      </c>
      <c r="C3" s="1" t="s">
        <v>19</v>
      </c>
      <c r="D3" s="7" t="s">
        <v>256</v>
      </c>
      <c r="E3" s="7" t="s">
        <v>257</v>
      </c>
      <c r="F3" s="7" t="s">
        <v>244</v>
      </c>
      <c r="G3" s="1" t="s">
        <v>23</v>
      </c>
      <c r="H3" s="7" t="s">
        <v>258</v>
      </c>
      <c r="I3" s="1" t="str">
        <f t="shared" si="0"/>
        <v>01</v>
      </c>
      <c r="J3" s="1" t="str">
        <f t="shared" si="1"/>
        <v>13</v>
      </c>
      <c r="K3" s="1" t="str">
        <f t="shared" si="2"/>
        <v>12</v>
      </c>
      <c r="L3" s="1" t="str">
        <f t="shared" si="3"/>
        <v>44</v>
      </c>
      <c r="M3" s="1" t="str">
        <f t="shared" si="4"/>
        <v>38</v>
      </c>
      <c r="N3" s="1" t="str">
        <f t="shared" si="5"/>
        <v>24</v>
      </c>
      <c r="O3" s="2">
        <f t="shared" si="6"/>
        <v>-1.22</v>
      </c>
      <c r="P3" s="2">
        <f t="shared" si="7"/>
        <v>-44.64</v>
      </c>
      <c r="Q3" s="16" t="s">
        <v>246</v>
      </c>
    </row>
    <row r="4" spans="1:17" ht="15.75" x14ac:dyDescent="0.25">
      <c r="A4" s="1" t="s">
        <v>17</v>
      </c>
      <c r="B4" s="1" t="s">
        <v>18</v>
      </c>
      <c r="C4" s="1" t="s">
        <v>19</v>
      </c>
      <c r="D4" s="7" t="s">
        <v>259</v>
      </c>
      <c r="E4" s="7" t="s">
        <v>260</v>
      </c>
      <c r="F4" s="7" t="s">
        <v>244</v>
      </c>
      <c r="G4" s="1" t="s">
        <v>23</v>
      </c>
      <c r="H4" s="7" t="s">
        <v>261</v>
      </c>
      <c r="I4" s="1" t="str">
        <f t="shared" si="0"/>
        <v>01</v>
      </c>
      <c r="J4" s="1" t="str">
        <f t="shared" si="1"/>
        <v>58</v>
      </c>
      <c r="K4" s="1" t="str">
        <f t="shared" si="2"/>
        <v>12</v>
      </c>
      <c r="L4" s="1" t="str">
        <f t="shared" si="3"/>
        <v>40</v>
      </c>
      <c r="M4" s="1" t="str">
        <f t="shared" si="4"/>
        <v>35</v>
      </c>
      <c r="N4" s="1" t="str">
        <f t="shared" si="5"/>
        <v>24</v>
      </c>
      <c r="O4" s="2">
        <f t="shared" si="6"/>
        <v>1.9700000000000002</v>
      </c>
      <c r="P4" s="2">
        <f t="shared" si="7"/>
        <v>-40.590000000000003</v>
      </c>
      <c r="Q4" s="16" t="s">
        <v>246</v>
      </c>
    </row>
    <row r="5" spans="1:17" ht="15.75" x14ac:dyDescent="0.25">
      <c r="A5" s="1" t="s">
        <v>17</v>
      </c>
      <c r="B5" s="1" t="s">
        <v>26</v>
      </c>
      <c r="C5" s="1" t="s">
        <v>19</v>
      </c>
      <c r="D5" s="2" t="s">
        <v>262</v>
      </c>
      <c r="E5" s="7" t="s">
        <v>263</v>
      </c>
      <c r="F5" s="7" t="s">
        <v>244</v>
      </c>
      <c r="G5" s="1" t="s">
        <v>23</v>
      </c>
      <c r="H5" s="7" t="s">
        <v>264</v>
      </c>
      <c r="I5" s="1" t="str">
        <f t="shared" si="0"/>
        <v>03</v>
      </c>
      <c r="J5" s="1" t="str">
        <f t="shared" si="1"/>
        <v>30</v>
      </c>
      <c r="K5" s="1" t="str">
        <f t="shared" si="2"/>
        <v>00</v>
      </c>
      <c r="L5" s="1" t="str">
        <f t="shared" si="3"/>
        <v>38</v>
      </c>
      <c r="M5" s="1" t="str">
        <f t="shared" si="4"/>
        <v>44</v>
      </c>
      <c r="N5" s="1" t="str">
        <f t="shared" si="5"/>
        <v>24</v>
      </c>
      <c r="O5" s="2">
        <f t="shared" si="6"/>
        <v>-3.5</v>
      </c>
      <c r="P5" s="2">
        <f t="shared" si="7"/>
        <v>-38.74</v>
      </c>
      <c r="Q5" s="16" t="s">
        <v>246</v>
      </c>
    </row>
    <row r="6" spans="1:17" ht="15.75" x14ac:dyDescent="0.25">
      <c r="A6" s="1" t="s">
        <v>17</v>
      </c>
      <c r="B6" s="1" t="s">
        <v>26</v>
      </c>
      <c r="C6" s="1" t="s">
        <v>19</v>
      </c>
      <c r="D6" s="7" t="s">
        <v>265</v>
      </c>
      <c r="E6" s="7" t="s">
        <v>266</v>
      </c>
      <c r="F6" s="7" t="s">
        <v>244</v>
      </c>
      <c r="G6" s="1" t="s">
        <v>23</v>
      </c>
      <c r="H6" s="7" t="s">
        <v>267</v>
      </c>
      <c r="I6" s="1" t="str">
        <f t="shared" si="0"/>
        <v>00</v>
      </c>
      <c r="J6" s="1" t="str">
        <f t="shared" si="1"/>
        <v>38</v>
      </c>
      <c r="K6" s="1" t="str">
        <f t="shared" si="2"/>
        <v>24</v>
      </c>
      <c r="L6" s="1" t="str">
        <f t="shared" si="3"/>
        <v>35</v>
      </c>
      <c r="M6" s="1" t="str">
        <f t="shared" si="4"/>
        <v>00</v>
      </c>
      <c r="N6" s="1" t="str">
        <f t="shared" si="5"/>
        <v>00</v>
      </c>
      <c r="O6" s="2">
        <f t="shared" si="6"/>
        <v>-0.64</v>
      </c>
      <c r="P6" s="2">
        <f t="shared" si="7"/>
        <v>-35</v>
      </c>
      <c r="Q6" s="16" t="s">
        <v>246</v>
      </c>
    </row>
    <row r="7" spans="1:17" ht="15.75" x14ac:dyDescent="0.25">
      <c r="A7" s="1" t="s">
        <v>17</v>
      </c>
      <c r="B7" s="1" t="s">
        <v>26</v>
      </c>
      <c r="C7" s="1" t="s">
        <v>19</v>
      </c>
      <c r="D7" s="7" t="s">
        <v>268</v>
      </c>
      <c r="E7" s="7" t="s">
        <v>269</v>
      </c>
      <c r="F7" s="7" t="s">
        <v>244</v>
      </c>
      <c r="G7" s="1" t="s">
        <v>23</v>
      </c>
      <c r="H7" s="7" t="s">
        <v>270</v>
      </c>
      <c r="I7" s="1" t="str">
        <f t="shared" si="0"/>
        <v>05</v>
      </c>
      <c r="J7" s="1" t="str">
        <f t="shared" si="1"/>
        <v>01</v>
      </c>
      <c r="K7" s="1" t="str">
        <f t="shared" si="2"/>
        <v>12</v>
      </c>
      <c r="L7" s="1" t="str">
        <f t="shared" si="3"/>
        <v>35</v>
      </c>
      <c r="M7" s="1" t="str">
        <f t="shared" si="4"/>
        <v>25</v>
      </c>
      <c r="N7" s="1" t="str">
        <f t="shared" si="5"/>
        <v>48</v>
      </c>
      <c r="O7" s="2">
        <f t="shared" si="6"/>
        <v>-5.0199999999999996</v>
      </c>
      <c r="P7" s="2">
        <f t="shared" si="7"/>
        <v>-35.43</v>
      </c>
      <c r="Q7" s="16" t="s">
        <v>246</v>
      </c>
    </row>
    <row r="8" spans="1:17" ht="15.75" x14ac:dyDescent="0.25">
      <c r="A8" s="1" t="s">
        <v>17</v>
      </c>
      <c r="B8" s="1" t="s">
        <v>26</v>
      </c>
      <c r="C8" s="1" t="s">
        <v>19</v>
      </c>
      <c r="D8" s="7" t="s">
        <v>271</v>
      </c>
      <c r="E8" s="7" t="s">
        <v>272</v>
      </c>
      <c r="F8" s="7" t="s">
        <v>244</v>
      </c>
      <c r="G8" s="1" t="s">
        <v>23</v>
      </c>
      <c r="H8" s="7" t="s">
        <v>273</v>
      </c>
      <c r="I8" s="1" t="str">
        <f t="shared" si="0"/>
        <v>02</v>
      </c>
      <c r="J8" s="1" t="str">
        <f t="shared" si="1"/>
        <v>54</v>
      </c>
      <c r="K8" s="1" t="str">
        <f t="shared" si="2"/>
        <v>00</v>
      </c>
      <c r="L8" s="1" t="str">
        <f t="shared" si="3"/>
        <v>31</v>
      </c>
      <c r="M8" s="1" t="str">
        <f t="shared" si="4"/>
        <v>38</v>
      </c>
      <c r="N8" s="1" t="str">
        <f t="shared" si="5"/>
        <v>24</v>
      </c>
      <c r="O8" s="2">
        <f t="shared" si="6"/>
        <v>-2.9</v>
      </c>
      <c r="P8" s="2">
        <f t="shared" si="7"/>
        <v>-31.64</v>
      </c>
      <c r="Q8" s="16" t="s">
        <v>246</v>
      </c>
    </row>
    <row r="9" spans="1:17" ht="15.75" x14ac:dyDescent="0.25">
      <c r="A9" s="1" t="s">
        <v>17</v>
      </c>
      <c r="B9" s="1" t="s">
        <v>26</v>
      </c>
      <c r="C9" s="1" t="s">
        <v>19</v>
      </c>
      <c r="D9" s="7" t="s">
        <v>274</v>
      </c>
      <c r="E9" s="7" t="s">
        <v>275</v>
      </c>
      <c r="F9" s="7" t="s">
        <v>244</v>
      </c>
      <c r="G9" s="1" t="s">
        <v>23</v>
      </c>
      <c r="H9" s="7" t="s">
        <v>276</v>
      </c>
      <c r="I9" s="1" t="str">
        <f t="shared" si="0"/>
        <v>09</v>
      </c>
      <c r="J9" s="1" t="str">
        <f t="shared" si="1"/>
        <v>44</v>
      </c>
      <c r="K9" s="1" t="str">
        <f t="shared" si="2"/>
        <v>24</v>
      </c>
      <c r="L9" s="1" t="str">
        <f t="shared" si="3"/>
        <v>35</v>
      </c>
      <c r="M9" s="1" t="str">
        <f t="shared" si="4"/>
        <v>34</v>
      </c>
      <c r="N9" s="1" t="str">
        <f t="shared" si="5"/>
        <v>12</v>
      </c>
      <c r="O9" s="2">
        <f t="shared" si="6"/>
        <v>-9.74</v>
      </c>
      <c r="P9" s="2">
        <f t="shared" si="7"/>
        <v>-35.57</v>
      </c>
      <c r="Q9" s="16" t="s">
        <v>246</v>
      </c>
    </row>
    <row r="10" spans="1:17" ht="15.75" x14ac:dyDescent="0.25">
      <c r="A10" s="1" t="s">
        <v>17</v>
      </c>
      <c r="B10" s="1" t="s">
        <v>26</v>
      </c>
      <c r="C10" s="1" t="s">
        <v>19</v>
      </c>
      <c r="D10" s="7" t="s">
        <v>277</v>
      </c>
      <c r="E10" s="7" t="s">
        <v>278</v>
      </c>
      <c r="F10" s="7" t="s">
        <v>244</v>
      </c>
      <c r="G10" s="1" t="s">
        <v>23</v>
      </c>
      <c r="H10" s="7" t="s">
        <v>279</v>
      </c>
      <c r="I10" s="1" t="str">
        <f t="shared" si="0"/>
        <v>09</v>
      </c>
      <c r="J10" s="1" t="str">
        <f t="shared" si="1"/>
        <v>42</v>
      </c>
      <c r="K10" s="1" t="str">
        <f t="shared" si="2"/>
        <v>00</v>
      </c>
      <c r="L10" s="1" t="str">
        <f t="shared" si="3"/>
        <v>31</v>
      </c>
      <c r="M10" s="1" t="str">
        <f t="shared" si="4"/>
        <v>02</v>
      </c>
      <c r="N10" s="1" t="str">
        <f t="shared" si="5"/>
        <v>24</v>
      </c>
      <c r="O10" s="2">
        <f t="shared" si="6"/>
        <v>-9.6999999999999993</v>
      </c>
      <c r="P10" s="2">
        <f t="shared" si="7"/>
        <v>-31.04</v>
      </c>
      <c r="Q10" s="16" t="s">
        <v>246</v>
      </c>
    </row>
    <row r="11" spans="1:17" ht="15.75" x14ac:dyDescent="0.25">
      <c r="A11" s="1" t="s">
        <v>17</v>
      </c>
      <c r="B11" s="1" t="s">
        <v>26</v>
      </c>
      <c r="C11" s="1" t="s">
        <v>19</v>
      </c>
      <c r="D11" s="7" t="s">
        <v>280</v>
      </c>
      <c r="E11" s="7" t="s">
        <v>281</v>
      </c>
      <c r="F11" s="7" t="s">
        <v>244</v>
      </c>
      <c r="G11" s="1" t="s">
        <v>23</v>
      </c>
      <c r="H11" s="7" t="s">
        <v>282</v>
      </c>
      <c r="I11" s="1" t="str">
        <f t="shared" si="0"/>
        <v>18</v>
      </c>
      <c r="J11" s="1" t="str">
        <f t="shared" si="1"/>
        <v>42</v>
      </c>
      <c r="K11" s="1" t="str">
        <f t="shared" si="2"/>
        <v>00</v>
      </c>
      <c r="L11" s="1" t="str">
        <f t="shared" si="3"/>
        <v>38</v>
      </c>
      <c r="M11" s="1" t="str">
        <f t="shared" si="4"/>
        <v>46</v>
      </c>
      <c r="N11" s="1" t="str">
        <f t="shared" si="5"/>
        <v>12</v>
      </c>
      <c r="O11" s="2">
        <f t="shared" si="6"/>
        <v>-18.7</v>
      </c>
      <c r="P11" s="2">
        <f t="shared" si="7"/>
        <v>-38.770000000000003</v>
      </c>
      <c r="Q11" s="16" t="s">
        <v>246</v>
      </c>
    </row>
    <row r="12" spans="1:17" ht="15.75" x14ac:dyDescent="0.25">
      <c r="A12" s="1" t="s">
        <v>17</v>
      </c>
      <c r="B12" s="1" t="s">
        <v>26</v>
      </c>
      <c r="C12" s="1" t="s">
        <v>19</v>
      </c>
      <c r="D12" s="7" t="s">
        <v>283</v>
      </c>
      <c r="E12" s="7" t="s">
        <v>284</v>
      </c>
      <c r="F12" s="7" t="s">
        <v>244</v>
      </c>
      <c r="G12" s="1" t="s">
        <v>23</v>
      </c>
      <c r="H12" s="7" t="s">
        <v>285</v>
      </c>
      <c r="I12" s="1" t="str">
        <f t="shared" si="0"/>
        <v>18</v>
      </c>
      <c r="J12" s="1" t="str">
        <f t="shared" si="1"/>
        <v>18</v>
      </c>
      <c r="K12" s="1" t="str">
        <f t="shared" si="2"/>
        <v>00</v>
      </c>
      <c r="L12" s="1" t="str">
        <f t="shared" si="3"/>
        <v>33</v>
      </c>
      <c r="M12" s="1" t="str">
        <f t="shared" si="4"/>
        <v>54</v>
      </c>
      <c r="N12" s="1" t="str">
        <f t="shared" si="5"/>
        <v>36</v>
      </c>
      <c r="O12" s="2">
        <f t="shared" si="6"/>
        <v>-18.3</v>
      </c>
      <c r="P12" s="2">
        <f t="shared" si="7"/>
        <v>-33.909999999999997</v>
      </c>
      <c r="Q12" s="16" t="s">
        <v>246</v>
      </c>
    </row>
    <row r="13" spans="1:17" ht="15.75" x14ac:dyDescent="0.25">
      <c r="A13" s="1" t="s">
        <v>17</v>
      </c>
      <c r="B13" s="1" t="s">
        <v>18</v>
      </c>
      <c r="C13" s="1" t="s">
        <v>19</v>
      </c>
      <c r="D13" s="7" t="s">
        <v>286</v>
      </c>
      <c r="E13" s="7" t="s">
        <v>287</v>
      </c>
      <c r="F13" s="7" t="s">
        <v>244</v>
      </c>
      <c r="G13" s="1" t="s">
        <v>23</v>
      </c>
      <c r="H13" s="7" t="s">
        <v>288</v>
      </c>
      <c r="I13" s="1" t="str">
        <f t="shared" si="0"/>
        <v>21</v>
      </c>
      <c r="J13" s="1" t="str">
        <f t="shared" si="1"/>
        <v>31</v>
      </c>
      <c r="K13" s="1" t="str">
        <f t="shared" si="2"/>
        <v>12</v>
      </c>
      <c r="L13" s="1" t="str">
        <f t="shared" si="3"/>
        <v>80</v>
      </c>
      <c r="M13" s="1" t="str">
        <f t="shared" si="4"/>
        <v>39</v>
      </c>
      <c r="N13" s="1" t="str">
        <f t="shared" si="5"/>
        <v>00</v>
      </c>
      <c r="O13" s="2">
        <f t="shared" si="6"/>
        <v>21.52</v>
      </c>
      <c r="P13" s="2">
        <f t="shared" si="7"/>
        <v>-80.650000000000006</v>
      </c>
      <c r="Q13" s="16" t="s">
        <v>246</v>
      </c>
    </row>
    <row r="14" spans="1:17" ht="15.75" x14ac:dyDescent="0.25">
      <c r="A14" s="1" t="s">
        <v>17</v>
      </c>
      <c r="B14" s="1" t="s">
        <v>18</v>
      </c>
      <c r="C14" s="1" t="s">
        <v>19</v>
      </c>
      <c r="D14" s="7" t="s">
        <v>289</v>
      </c>
      <c r="E14" s="7" t="s">
        <v>290</v>
      </c>
      <c r="F14" s="7" t="s">
        <v>244</v>
      </c>
      <c r="G14" s="1" t="s">
        <v>23</v>
      </c>
      <c r="H14" s="7" t="s">
        <v>288</v>
      </c>
      <c r="I14" s="1" t="str">
        <f t="shared" si="0"/>
        <v>21</v>
      </c>
      <c r="J14" s="1" t="str">
        <f t="shared" si="1"/>
        <v>24</v>
      </c>
      <c r="K14" s="1" t="str">
        <f t="shared" si="2"/>
        <v>36</v>
      </c>
      <c r="L14" s="1" t="str">
        <f t="shared" si="3"/>
        <v>, 82</v>
      </c>
      <c r="M14" s="1" t="str">
        <f t="shared" si="4"/>
        <v>19</v>
      </c>
      <c r="N14" s="1" t="str">
        <f t="shared" si="5"/>
        <v>12</v>
      </c>
      <c r="O14" s="2">
        <f t="shared" si="6"/>
        <v>21.41</v>
      </c>
      <c r="P14" s="2" t="e">
        <f t="shared" si="7"/>
        <v>#VALUE!</v>
      </c>
      <c r="Q14" s="16" t="s">
        <v>246</v>
      </c>
    </row>
    <row r="15" spans="1:17" ht="15.75" x14ac:dyDescent="0.25">
      <c r="A15" s="1" t="s">
        <v>17</v>
      </c>
      <c r="B15" s="1" t="s">
        <v>18</v>
      </c>
      <c r="C15" s="1" t="s">
        <v>19</v>
      </c>
      <c r="D15" s="7" t="s">
        <v>291</v>
      </c>
      <c r="E15" s="7" t="s">
        <v>292</v>
      </c>
      <c r="F15" s="7" t="s">
        <v>244</v>
      </c>
      <c r="G15" s="1" t="s">
        <v>23</v>
      </c>
      <c r="H15" s="7" t="s">
        <v>288</v>
      </c>
      <c r="I15" s="1" t="str">
        <f t="shared" si="0"/>
        <v>21</v>
      </c>
      <c r="J15" s="1" t="str">
        <f t="shared" si="1"/>
        <v>10</v>
      </c>
      <c r="K15" s="1" t="str">
        <f t="shared" si="2"/>
        <v>48</v>
      </c>
      <c r="L15" s="1" t="str">
        <f t="shared" si="3"/>
        <v>84</v>
      </c>
      <c r="M15" s="1" t="str">
        <f t="shared" si="4"/>
        <v>51</v>
      </c>
      <c r="N15" s="1" t="str">
        <f t="shared" si="5"/>
        <v>36</v>
      </c>
      <c r="O15" s="2">
        <f t="shared" si="6"/>
        <v>21.18</v>
      </c>
      <c r="P15" s="2">
        <f t="shared" si="7"/>
        <v>-84.86</v>
      </c>
      <c r="Q15" s="16" t="s">
        <v>246</v>
      </c>
    </row>
    <row r="16" spans="1:17" ht="15.75" x14ac:dyDescent="0.25">
      <c r="A16" s="1" t="s">
        <v>17</v>
      </c>
      <c r="B16" s="1" t="s">
        <v>18</v>
      </c>
      <c r="C16" s="1" t="s">
        <v>19</v>
      </c>
      <c r="D16" s="7" t="s">
        <v>293</v>
      </c>
      <c r="E16" s="7" t="s">
        <v>294</v>
      </c>
      <c r="F16" s="7" t="s">
        <v>244</v>
      </c>
      <c r="G16" s="1" t="s">
        <v>23</v>
      </c>
      <c r="H16" s="7" t="s">
        <v>288</v>
      </c>
      <c r="I16" s="1" t="str">
        <f t="shared" si="0"/>
        <v>20</v>
      </c>
      <c r="J16" s="1" t="str">
        <f t="shared" si="1"/>
        <v>00</v>
      </c>
      <c r="K16" s="1" t="str">
        <f t="shared" si="2"/>
        <v>00</v>
      </c>
      <c r="L16" s="1" t="str">
        <f t="shared" si="3"/>
        <v>84</v>
      </c>
      <c r="M16" s="1" t="str">
        <f t="shared" si="4"/>
        <v>53</v>
      </c>
      <c r="N16" s="1" t="str">
        <f t="shared" si="5"/>
        <v>24</v>
      </c>
      <c r="O16" s="2">
        <f t="shared" si="6"/>
        <v>20</v>
      </c>
      <c r="P16" s="2">
        <f t="shared" si="7"/>
        <v>-84.89</v>
      </c>
      <c r="Q16" s="16" t="s">
        <v>246</v>
      </c>
    </row>
    <row r="17" spans="1:17" ht="15.75" x14ac:dyDescent="0.25">
      <c r="A17" s="1" t="s">
        <v>17</v>
      </c>
      <c r="B17" s="1" t="s">
        <v>18</v>
      </c>
      <c r="C17" s="1" t="s">
        <v>19</v>
      </c>
      <c r="D17" s="7" t="s">
        <v>295</v>
      </c>
      <c r="E17" s="7" t="s">
        <v>296</v>
      </c>
      <c r="F17" s="7" t="s">
        <v>244</v>
      </c>
      <c r="G17" s="1" t="s">
        <v>23</v>
      </c>
      <c r="H17" s="7" t="s">
        <v>288</v>
      </c>
      <c r="I17" s="1" t="str">
        <f t="shared" si="0"/>
        <v>19</v>
      </c>
      <c r="J17" s="1" t="str">
        <f t="shared" si="1"/>
        <v>16</v>
      </c>
      <c r="K17" s="1" t="str">
        <f t="shared" si="2"/>
        <v>12</v>
      </c>
      <c r="L17" s="1" t="str">
        <f t="shared" si="3"/>
        <v>82</v>
      </c>
      <c r="M17" s="1" t="str">
        <f t="shared" si="4"/>
        <v>25</v>
      </c>
      <c r="N17" s="1" t="str">
        <f t="shared" si="5"/>
        <v>12</v>
      </c>
      <c r="O17" s="2">
        <f t="shared" si="6"/>
        <v>19.27</v>
      </c>
      <c r="P17" s="2">
        <f t="shared" si="7"/>
        <v>-82.42</v>
      </c>
      <c r="Q17" s="16" t="s">
        <v>246</v>
      </c>
    </row>
    <row r="18" spans="1:17" ht="15.75" x14ac:dyDescent="0.25">
      <c r="A18" s="1" t="s">
        <v>17</v>
      </c>
      <c r="B18" s="1" t="s">
        <v>18</v>
      </c>
      <c r="C18" s="1" t="s">
        <v>19</v>
      </c>
      <c r="D18" s="7" t="s">
        <v>297</v>
      </c>
      <c r="E18" s="7" t="s">
        <v>298</v>
      </c>
      <c r="F18" s="7" t="s">
        <v>244</v>
      </c>
      <c r="G18" s="1" t="s">
        <v>23</v>
      </c>
      <c r="H18" s="7" t="s">
        <v>288</v>
      </c>
      <c r="I18" s="1" t="str">
        <f t="shared" si="0"/>
        <v>20</v>
      </c>
      <c r="J18" s="1" t="str">
        <f t="shared" si="1"/>
        <v>10</v>
      </c>
      <c r="K18" s="1" t="str">
        <f t="shared" si="2"/>
        <v>12</v>
      </c>
      <c r="L18" s="1" t="str">
        <f t="shared" si="3"/>
        <v>79</v>
      </c>
      <c r="M18" s="1" t="str">
        <f t="shared" si="4"/>
        <v>54</v>
      </c>
      <c r="N18" s="1" t="str">
        <f t="shared" si="5"/>
        <v>00</v>
      </c>
      <c r="O18" s="2">
        <f t="shared" si="6"/>
        <v>20.170000000000002</v>
      </c>
      <c r="P18" s="2">
        <f t="shared" si="7"/>
        <v>-79.900000000000006</v>
      </c>
      <c r="Q18" s="16" t="s">
        <v>246</v>
      </c>
    </row>
    <row r="19" spans="1:17" ht="15.75" x14ac:dyDescent="0.25">
      <c r="A19" s="1" t="s">
        <v>17</v>
      </c>
      <c r="B19" s="1" t="s">
        <v>26</v>
      </c>
      <c r="C19" s="1" t="s">
        <v>19</v>
      </c>
      <c r="D19" s="7" t="s">
        <v>299</v>
      </c>
      <c r="E19" s="7" t="s">
        <v>300</v>
      </c>
      <c r="F19" s="7" t="s">
        <v>244</v>
      </c>
      <c r="G19" s="1" t="s">
        <v>23</v>
      </c>
      <c r="H19" s="1" t="s">
        <v>301</v>
      </c>
      <c r="I19" s="1" t="str">
        <f t="shared" si="0"/>
        <v>21</v>
      </c>
      <c r="J19" s="1" t="str">
        <f t="shared" si="1"/>
        <v>34</v>
      </c>
      <c r="K19" s="1" t="e">
        <f t="shared" si="2"/>
        <v>#VALUE!</v>
      </c>
      <c r="L19" s="1" t="str">
        <f t="shared" si="3"/>
        <v>83</v>
      </c>
      <c r="M19" s="1" t="str">
        <f t="shared" si="4"/>
        <v>31</v>
      </c>
      <c r="N19" s="1" t="e">
        <f t="shared" si="5"/>
        <v>#VALUE!</v>
      </c>
      <c r="O19" s="2" t="e">
        <f t="shared" si="6"/>
        <v>#VALUE!</v>
      </c>
      <c r="P19" s="2" t="e">
        <f t="shared" si="7"/>
        <v>#VALUE!</v>
      </c>
      <c r="Q19" s="16" t="s">
        <v>246</v>
      </c>
    </row>
    <row r="20" spans="1:17" ht="15.75" x14ac:dyDescent="0.25">
      <c r="A20" s="1" t="s">
        <v>40</v>
      </c>
      <c r="B20" s="1" t="s">
        <v>26</v>
      </c>
      <c r="C20" s="1" t="s">
        <v>19</v>
      </c>
      <c r="D20" s="7" t="s">
        <v>302</v>
      </c>
      <c r="E20" s="7" t="s">
        <v>303</v>
      </c>
      <c r="F20" s="7" t="s">
        <v>244</v>
      </c>
      <c r="G20" s="1" t="s">
        <v>23</v>
      </c>
      <c r="H20" s="1" t="s">
        <v>301</v>
      </c>
      <c r="I20" s="1" t="str">
        <f t="shared" si="0"/>
        <v>3</v>
      </c>
      <c r="J20" s="1" t="str">
        <f t="shared" si="1"/>
        <v>32,981</v>
      </c>
      <c r="K20" s="1" t="e">
        <f t="shared" si="2"/>
        <v>#VALUE!</v>
      </c>
      <c r="L20" s="1" t="str">
        <f t="shared" si="3"/>
        <v>38</v>
      </c>
      <c r="M20" s="1" t="str">
        <f t="shared" si="4"/>
        <v>48.669</v>
      </c>
      <c r="N20" s="1" t="e">
        <f t="shared" si="5"/>
        <v>#VALUE!</v>
      </c>
      <c r="O20" s="2" t="e">
        <f t="shared" si="6"/>
        <v>#VALUE!</v>
      </c>
      <c r="P20" s="2" t="e">
        <f t="shared" si="7"/>
        <v>#VALUE!</v>
      </c>
      <c r="Q20" s="16" t="s">
        <v>246</v>
      </c>
    </row>
    <row r="21" spans="1:17" ht="15.75" x14ac:dyDescent="0.25">
      <c r="A21" s="1" t="s">
        <v>40</v>
      </c>
      <c r="B21" s="1" t="s">
        <v>26</v>
      </c>
      <c r="C21" s="1" t="s">
        <v>19</v>
      </c>
      <c r="D21" s="7" t="s">
        <v>304</v>
      </c>
      <c r="E21" s="7" t="s">
        <v>36</v>
      </c>
      <c r="F21" s="7" t="s">
        <v>305</v>
      </c>
      <c r="G21" s="1" t="s">
        <v>23</v>
      </c>
      <c r="H21" s="1" t="s">
        <v>37</v>
      </c>
      <c r="I21" s="1" t="str">
        <f t="shared" si="0"/>
        <v>02</v>
      </c>
      <c r="J21" s="1" t="str">
        <f t="shared" si="1"/>
        <v>53</v>
      </c>
      <c r="K21" s="1" t="str">
        <f t="shared" si="2"/>
        <v>22</v>
      </c>
      <c r="L21" s="1" t="str">
        <f t="shared" si="3"/>
        <v>41</v>
      </c>
      <c r="M21" s="1" t="str">
        <f t="shared" si="4"/>
        <v>13</v>
      </c>
      <c r="N21" s="1" t="str">
        <f t="shared" si="5"/>
        <v>46</v>
      </c>
      <c r="O21" s="2">
        <f t="shared" si="6"/>
        <v>-2.8894444444444445</v>
      </c>
      <c r="P21" s="2">
        <f t="shared" si="7"/>
        <v>-41.229444444444447</v>
      </c>
      <c r="Q21" s="16" t="s">
        <v>306</v>
      </c>
    </row>
    <row r="22" spans="1:17" ht="15.75" x14ac:dyDescent="0.25">
      <c r="A22" s="1" t="s">
        <v>40</v>
      </c>
      <c r="B22" s="1" t="s">
        <v>26</v>
      </c>
      <c r="C22" s="1" t="s">
        <v>19</v>
      </c>
      <c r="D22" s="7" t="s">
        <v>307</v>
      </c>
      <c r="E22" s="7" t="s">
        <v>39</v>
      </c>
      <c r="F22" s="7" t="s">
        <v>305</v>
      </c>
      <c r="G22" s="1" t="s">
        <v>23</v>
      </c>
      <c r="H22" s="1" t="s">
        <v>37</v>
      </c>
      <c r="I22" s="1" t="str">
        <f t="shared" si="0"/>
        <v>04</v>
      </c>
      <c r="J22" s="1" t="str">
        <f t="shared" si="1"/>
        <v>06</v>
      </c>
      <c r="K22" s="1" t="str">
        <f t="shared" si="2"/>
        <v>06</v>
      </c>
      <c r="L22" s="1" t="str">
        <f t="shared" si="3"/>
        <v>38</v>
      </c>
      <c r="M22" s="1" t="str">
        <f t="shared" si="4"/>
        <v>08</v>
      </c>
      <c r="N22" s="1" t="str">
        <f t="shared" si="5"/>
        <v>56</v>
      </c>
      <c r="O22" s="2">
        <f t="shared" si="6"/>
        <v>-4.1016666666666666</v>
      </c>
      <c r="P22" s="2">
        <f t="shared" si="7"/>
        <v>-38.148888888888891</v>
      </c>
      <c r="Q22" s="16" t="s">
        <v>306</v>
      </c>
    </row>
    <row r="23" spans="1:17" ht="15.75" x14ac:dyDescent="0.25">
      <c r="A23" s="1" t="s">
        <v>40</v>
      </c>
      <c r="B23" s="1" t="s">
        <v>26</v>
      </c>
      <c r="C23" s="1" t="s">
        <v>19</v>
      </c>
      <c r="D23" s="7" t="s">
        <v>308</v>
      </c>
      <c r="E23" s="7" t="s">
        <v>309</v>
      </c>
      <c r="F23" s="7" t="s">
        <v>305</v>
      </c>
      <c r="G23" s="1" t="s">
        <v>23</v>
      </c>
      <c r="H23" s="1" t="s">
        <v>310</v>
      </c>
      <c r="I23" s="1" t="str">
        <f t="shared" si="0"/>
        <v>04</v>
      </c>
      <c r="J23" s="1" t="str">
        <f t="shared" si="1"/>
        <v>53</v>
      </c>
      <c r="K23" s="1" t="str">
        <f t="shared" si="2"/>
        <v>26</v>
      </c>
      <c r="L23" s="1" t="str">
        <f t="shared" si="3"/>
        <v>37</v>
      </c>
      <c r="M23" s="1" t="str">
        <f t="shared" si="4"/>
        <v>14</v>
      </c>
      <c r="N23" s="1" t="str">
        <f t="shared" si="5"/>
        <v>37</v>
      </c>
      <c r="O23" s="2">
        <f t="shared" si="6"/>
        <v>-4.8905555555555553</v>
      </c>
      <c r="P23" s="2">
        <f t="shared" si="7"/>
        <v>-37.243611111111115</v>
      </c>
      <c r="Q23" s="16" t="s">
        <v>306</v>
      </c>
    </row>
    <row r="24" spans="1:17" ht="15.75" x14ac:dyDescent="0.25">
      <c r="A24" s="1" t="s">
        <v>40</v>
      </c>
      <c r="B24" s="1" t="s">
        <v>26</v>
      </c>
      <c r="C24" s="1" t="s">
        <v>19</v>
      </c>
      <c r="D24" s="7" t="s">
        <v>311</v>
      </c>
      <c r="E24" s="7" t="s">
        <v>312</v>
      </c>
      <c r="F24" s="7" t="s">
        <v>305</v>
      </c>
      <c r="G24" s="1" t="s">
        <v>23</v>
      </c>
      <c r="H24" s="1" t="s">
        <v>310</v>
      </c>
      <c r="I24" s="1" t="str">
        <f t="shared" si="0"/>
        <v>05</v>
      </c>
      <c r="J24" s="1" t="str">
        <f t="shared" si="1"/>
        <v>12</v>
      </c>
      <c r="K24" s="1" t="str">
        <f t="shared" si="2"/>
        <v>06</v>
      </c>
      <c r="L24" s="1" t="str">
        <f t="shared" si="3"/>
        <v>35</v>
      </c>
      <c r="M24" s="1" t="str">
        <f t="shared" si="4"/>
        <v>27</v>
      </c>
      <c r="N24" s="1" t="str">
        <f t="shared" si="5"/>
        <v>27</v>
      </c>
      <c r="O24" s="2">
        <f t="shared" si="6"/>
        <v>-5.2016666666666662</v>
      </c>
      <c r="P24" s="2">
        <f t="shared" si="7"/>
        <v>-35.457500000000003</v>
      </c>
      <c r="Q24" s="16" t="s">
        <v>306</v>
      </c>
    </row>
    <row r="25" spans="1:17" ht="15.75" x14ac:dyDescent="0.25">
      <c r="A25" s="1" t="s">
        <v>40</v>
      </c>
      <c r="B25" s="1" t="s">
        <v>26</v>
      </c>
      <c r="C25" s="1" t="s">
        <v>19</v>
      </c>
      <c r="D25" s="7" t="s">
        <v>313</v>
      </c>
      <c r="E25" s="7" t="s">
        <v>314</v>
      </c>
      <c r="F25" s="7" t="s">
        <v>305</v>
      </c>
      <c r="G25" s="1" t="s">
        <v>23</v>
      </c>
      <c r="H25" s="1" t="s">
        <v>315</v>
      </c>
      <c r="I25" s="1" t="str">
        <f t="shared" si="0"/>
        <v>06</v>
      </c>
      <c r="J25" s="1" t="str">
        <f t="shared" si="1"/>
        <v>30</v>
      </c>
      <c r="K25" s="1" t="str">
        <f t="shared" si="2"/>
        <v>11</v>
      </c>
      <c r="L25" s="1" t="str">
        <f t="shared" si="3"/>
        <v>34</v>
      </c>
      <c r="M25" s="1" t="str">
        <f t="shared" si="4"/>
        <v>57</v>
      </c>
      <c r="N25" s="1" t="str">
        <f t="shared" si="5"/>
        <v>30</v>
      </c>
      <c r="O25" s="2">
        <f t="shared" si="6"/>
        <v>-6.5030555555555551</v>
      </c>
      <c r="P25" s="2">
        <f t="shared" si="7"/>
        <v>-34.958333333333336</v>
      </c>
      <c r="Q25" s="16" t="s">
        <v>306</v>
      </c>
    </row>
    <row r="26" spans="1:17" ht="15.75" x14ac:dyDescent="0.25">
      <c r="A26" s="1" t="s">
        <v>40</v>
      </c>
      <c r="B26" s="1" t="s">
        <v>26</v>
      </c>
      <c r="C26" s="1" t="s">
        <v>19</v>
      </c>
      <c r="D26" s="7" t="s">
        <v>316</v>
      </c>
      <c r="E26" s="7" t="s">
        <v>317</v>
      </c>
      <c r="F26" s="7" t="s">
        <v>305</v>
      </c>
      <c r="G26" s="1" t="s">
        <v>23</v>
      </c>
      <c r="H26" s="1" t="s">
        <v>315</v>
      </c>
      <c r="I26" s="1" t="str">
        <f t="shared" si="0"/>
        <v>06</v>
      </c>
      <c r="J26" s="1" t="str">
        <f t="shared" si="1"/>
        <v>57</v>
      </c>
      <c r="K26" s="1" t="str">
        <f t="shared" si="2"/>
        <v>57</v>
      </c>
      <c r="L26" s="1" t="str">
        <f t="shared" si="3"/>
        <v>34</v>
      </c>
      <c r="M26" s="1" t="str">
        <f t="shared" si="4"/>
        <v>51</v>
      </c>
      <c r="N26" s="1" t="str">
        <f t="shared" si="5"/>
        <v>22</v>
      </c>
      <c r="O26" s="2">
        <f t="shared" si="6"/>
        <v>-6.9658333333333333</v>
      </c>
      <c r="P26" s="2">
        <f t="shared" si="7"/>
        <v>-34.856111111111112</v>
      </c>
      <c r="Q26" s="16" t="s">
        <v>306</v>
      </c>
    </row>
    <row r="27" spans="1:17" ht="15.75" x14ac:dyDescent="0.25">
      <c r="A27" s="1" t="s">
        <v>40</v>
      </c>
      <c r="B27" s="1" t="s">
        <v>26</v>
      </c>
      <c r="C27" s="1" t="s">
        <v>19</v>
      </c>
      <c r="D27" s="7" t="s">
        <v>318</v>
      </c>
      <c r="E27" s="7" t="s">
        <v>319</v>
      </c>
      <c r="F27" s="7" t="s">
        <v>305</v>
      </c>
      <c r="G27" s="1" t="s">
        <v>23</v>
      </c>
      <c r="H27" s="1" t="s">
        <v>320</v>
      </c>
      <c r="I27" s="1" t="str">
        <f t="shared" si="0"/>
        <v>07</v>
      </c>
      <c r="J27" s="1" t="str">
        <f t="shared" si="1"/>
        <v>33</v>
      </c>
      <c r="K27" s="1" t="str">
        <f t="shared" si="2"/>
        <v>07</v>
      </c>
      <c r="L27" s="1" t="str">
        <f t="shared" si="3"/>
        <v>34</v>
      </c>
      <c r="M27" s="1" t="str">
        <f t="shared" si="4"/>
        <v>50</v>
      </c>
      <c r="N27" s="1" t="str">
        <f t="shared" si="5"/>
        <v>39</v>
      </c>
      <c r="O27" s="2">
        <f t="shared" si="6"/>
        <v>-7.5519444444444446</v>
      </c>
      <c r="P27" s="2">
        <f t="shared" si="7"/>
        <v>-34.844166666666666</v>
      </c>
      <c r="Q27" s="16" t="s">
        <v>306</v>
      </c>
    </row>
    <row r="28" spans="1:17" ht="15.75" x14ac:dyDescent="0.25">
      <c r="A28" s="1" t="s">
        <v>40</v>
      </c>
      <c r="B28" s="1" t="s">
        <v>26</v>
      </c>
      <c r="C28" s="1" t="s">
        <v>19</v>
      </c>
      <c r="D28" s="7" t="s">
        <v>321</v>
      </c>
      <c r="E28" s="7" t="s">
        <v>322</v>
      </c>
      <c r="F28" s="7" t="s">
        <v>305</v>
      </c>
      <c r="G28" s="1" t="s">
        <v>23</v>
      </c>
      <c r="H28" s="1" t="s">
        <v>320</v>
      </c>
      <c r="I28" s="1" t="str">
        <f t="shared" si="0"/>
        <v>08</v>
      </c>
      <c r="J28" s="1" t="str">
        <f t="shared" si="1"/>
        <v>02</v>
      </c>
      <c r="K28" s="1" t="str">
        <f t="shared" si="2"/>
        <v>54</v>
      </c>
      <c r="L28" s="1" t="str">
        <f t="shared" si="3"/>
        <v>34</v>
      </c>
      <c r="M28" s="1" t="str">
        <f t="shared" si="4"/>
        <v>52</v>
      </c>
      <c r="N28" s="1" t="str">
        <f t="shared" si="5"/>
        <v>42</v>
      </c>
      <c r="O28" s="2">
        <f t="shared" si="6"/>
        <v>-8.0483333333333338</v>
      </c>
      <c r="P28" s="2">
        <f t="shared" si="7"/>
        <v>-34.87833333333333</v>
      </c>
      <c r="Q28" s="16" t="s">
        <v>306</v>
      </c>
    </row>
    <row r="29" spans="1:17" ht="15.75" x14ac:dyDescent="0.25">
      <c r="A29" s="1" t="s">
        <v>17</v>
      </c>
      <c r="B29" s="1" t="s">
        <v>26</v>
      </c>
      <c r="C29" s="1" t="s">
        <v>19</v>
      </c>
      <c r="D29" s="7" t="s">
        <v>304</v>
      </c>
      <c r="E29" s="7" t="s">
        <v>36</v>
      </c>
      <c r="F29" s="7" t="s">
        <v>305</v>
      </c>
      <c r="G29" s="1" t="s">
        <v>23</v>
      </c>
      <c r="H29" s="1" t="s">
        <v>37</v>
      </c>
      <c r="I29" s="1" t="str">
        <f t="shared" si="0"/>
        <v>02</v>
      </c>
      <c r="J29" s="1" t="str">
        <f t="shared" si="1"/>
        <v>53</v>
      </c>
      <c r="K29" s="1" t="str">
        <f t="shared" si="2"/>
        <v>22</v>
      </c>
      <c r="L29" s="1" t="str">
        <f t="shared" si="3"/>
        <v>41</v>
      </c>
      <c r="M29" s="1" t="str">
        <f t="shared" si="4"/>
        <v>13</v>
      </c>
      <c r="N29" s="1" t="str">
        <f t="shared" si="5"/>
        <v>46</v>
      </c>
      <c r="O29" s="2">
        <f t="shared" si="6"/>
        <v>-2.8894444444444445</v>
      </c>
      <c r="P29" s="2">
        <f t="shared" si="7"/>
        <v>-41.229444444444447</v>
      </c>
      <c r="Q29" s="16" t="s">
        <v>306</v>
      </c>
    </row>
    <row r="30" spans="1:17" ht="15.75" x14ac:dyDescent="0.25">
      <c r="A30" s="1" t="s">
        <v>17</v>
      </c>
      <c r="B30" s="1" t="s">
        <v>26</v>
      </c>
      <c r="C30" s="1" t="s">
        <v>19</v>
      </c>
      <c r="D30" s="7" t="s">
        <v>307</v>
      </c>
      <c r="E30" s="7" t="s">
        <v>39</v>
      </c>
      <c r="F30" s="7" t="s">
        <v>305</v>
      </c>
      <c r="G30" s="1" t="s">
        <v>23</v>
      </c>
      <c r="H30" s="1" t="s">
        <v>37</v>
      </c>
      <c r="I30" s="1" t="str">
        <f t="shared" si="0"/>
        <v>04</v>
      </c>
      <c r="J30" s="1" t="str">
        <f t="shared" si="1"/>
        <v>06</v>
      </c>
      <c r="K30" s="1" t="str">
        <f t="shared" si="2"/>
        <v>06</v>
      </c>
      <c r="L30" s="1" t="str">
        <f t="shared" si="3"/>
        <v>38</v>
      </c>
      <c r="M30" s="1" t="str">
        <f t="shared" si="4"/>
        <v>08</v>
      </c>
      <c r="N30" s="1" t="str">
        <f t="shared" si="5"/>
        <v>56</v>
      </c>
      <c r="O30" s="2">
        <f t="shared" si="6"/>
        <v>-4.1016666666666666</v>
      </c>
      <c r="P30" s="2">
        <f t="shared" si="7"/>
        <v>-38.148888888888891</v>
      </c>
      <c r="Q30" s="16" t="s">
        <v>306</v>
      </c>
    </row>
    <row r="31" spans="1:17" ht="15.75" x14ac:dyDescent="0.25">
      <c r="A31" s="1" t="s">
        <v>17</v>
      </c>
      <c r="B31" s="1" t="s">
        <v>26</v>
      </c>
      <c r="C31" s="1" t="s">
        <v>19</v>
      </c>
      <c r="D31" s="7" t="s">
        <v>308</v>
      </c>
      <c r="E31" s="7" t="s">
        <v>309</v>
      </c>
      <c r="F31" s="7" t="s">
        <v>305</v>
      </c>
      <c r="G31" s="1" t="s">
        <v>23</v>
      </c>
      <c r="H31" s="1" t="s">
        <v>310</v>
      </c>
      <c r="I31" s="1" t="str">
        <f t="shared" si="0"/>
        <v>04</v>
      </c>
      <c r="J31" s="1" t="str">
        <f t="shared" si="1"/>
        <v>53</v>
      </c>
      <c r="K31" s="1" t="str">
        <f t="shared" si="2"/>
        <v>26</v>
      </c>
      <c r="L31" s="1" t="str">
        <f t="shared" si="3"/>
        <v>37</v>
      </c>
      <c r="M31" s="1" t="str">
        <f t="shared" si="4"/>
        <v>14</v>
      </c>
      <c r="N31" s="1" t="str">
        <f t="shared" si="5"/>
        <v>37</v>
      </c>
      <c r="O31" s="2">
        <f t="shared" si="6"/>
        <v>-4.8905555555555553</v>
      </c>
      <c r="P31" s="2">
        <f t="shared" si="7"/>
        <v>-37.243611111111115</v>
      </c>
      <c r="Q31" s="16" t="s">
        <v>306</v>
      </c>
    </row>
    <row r="32" spans="1:17" ht="15.75" x14ac:dyDescent="0.25">
      <c r="A32" s="1" t="s">
        <v>17</v>
      </c>
      <c r="B32" s="1" t="s">
        <v>26</v>
      </c>
      <c r="C32" s="1" t="s">
        <v>19</v>
      </c>
      <c r="D32" s="7" t="s">
        <v>311</v>
      </c>
      <c r="E32" s="7" t="s">
        <v>312</v>
      </c>
      <c r="F32" s="7" t="s">
        <v>305</v>
      </c>
      <c r="G32" s="1" t="s">
        <v>23</v>
      </c>
      <c r="H32" s="1" t="s">
        <v>310</v>
      </c>
      <c r="I32" s="1" t="str">
        <f t="shared" si="0"/>
        <v>05</v>
      </c>
      <c r="J32" s="1" t="str">
        <f t="shared" si="1"/>
        <v>12</v>
      </c>
      <c r="K32" s="1" t="str">
        <f t="shared" si="2"/>
        <v>06</v>
      </c>
      <c r="L32" s="1" t="str">
        <f t="shared" si="3"/>
        <v>35</v>
      </c>
      <c r="M32" s="1" t="str">
        <f t="shared" si="4"/>
        <v>27</v>
      </c>
      <c r="N32" s="1" t="str">
        <f t="shared" si="5"/>
        <v>27</v>
      </c>
      <c r="O32" s="2">
        <f t="shared" si="6"/>
        <v>-5.2016666666666662</v>
      </c>
      <c r="P32" s="2">
        <f t="shared" si="7"/>
        <v>-35.457500000000003</v>
      </c>
      <c r="Q32" s="16" t="s">
        <v>306</v>
      </c>
    </row>
    <row r="33" spans="1:17" ht="15.75" x14ac:dyDescent="0.25">
      <c r="A33" s="1" t="s">
        <v>17</v>
      </c>
      <c r="B33" s="1" t="s">
        <v>26</v>
      </c>
      <c r="C33" s="1" t="s">
        <v>19</v>
      </c>
      <c r="D33" s="7" t="s">
        <v>313</v>
      </c>
      <c r="E33" s="7" t="s">
        <v>314</v>
      </c>
      <c r="F33" s="7" t="s">
        <v>305</v>
      </c>
      <c r="G33" s="1" t="s">
        <v>23</v>
      </c>
      <c r="H33" s="1" t="s">
        <v>315</v>
      </c>
      <c r="I33" s="1" t="str">
        <f t="shared" si="0"/>
        <v>06</v>
      </c>
      <c r="J33" s="1" t="str">
        <f t="shared" si="1"/>
        <v>30</v>
      </c>
      <c r="K33" s="1" t="str">
        <f t="shared" si="2"/>
        <v>11</v>
      </c>
      <c r="L33" s="1" t="str">
        <f t="shared" si="3"/>
        <v>34</v>
      </c>
      <c r="M33" s="1" t="str">
        <f t="shared" si="4"/>
        <v>57</v>
      </c>
      <c r="N33" s="1" t="str">
        <f t="shared" si="5"/>
        <v>30</v>
      </c>
      <c r="O33" s="2">
        <f t="shared" si="6"/>
        <v>-6.5030555555555551</v>
      </c>
      <c r="P33" s="2">
        <f t="shared" si="7"/>
        <v>-34.958333333333336</v>
      </c>
      <c r="Q33" s="16" t="s">
        <v>306</v>
      </c>
    </row>
    <row r="34" spans="1:17" ht="15.75" x14ac:dyDescent="0.25">
      <c r="A34" s="1" t="s">
        <v>17</v>
      </c>
      <c r="B34" s="1" t="s">
        <v>26</v>
      </c>
      <c r="C34" s="1" t="s">
        <v>19</v>
      </c>
      <c r="D34" s="7" t="s">
        <v>316</v>
      </c>
      <c r="E34" s="7" t="s">
        <v>317</v>
      </c>
      <c r="F34" s="7" t="s">
        <v>305</v>
      </c>
      <c r="G34" s="1" t="s">
        <v>23</v>
      </c>
      <c r="H34" s="1" t="s">
        <v>315</v>
      </c>
      <c r="I34" s="1" t="str">
        <f t="shared" si="0"/>
        <v>06</v>
      </c>
      <c r="J34" s="1" t="str">
        <f t="shared" si="1"/>
        <v>57</v>
      </c>
      <c r="K34" s="1" t="str">
        <f t="shared" si="2"/>
        <v>57</v>
      </c>
      <c r="L34" s="1" t="str">
        <f t="shared" si="3"/>
        <v>34</v>
      </c>
      <c r="M34" s="1" t="str">
        <f t="shared" si="4"/>
        <v>51</v>
      </c>
      <c r="N34" s="1" t="str">
        <f t="shared" si="5"/>
        <v>22</v>
      </c>
      <c r="O34" s="2">
        <f t="shared" si="6"/>
        <v>-6.9658333333333333</v>
      </c>
      <c r="P34" s="2">
        <f t="shared" si="7"/>
        <v>-34.856111111111112</v>
      </c>
      <c r="Q34" s="16" t="s">
        <v>306</v>
      </c>
    </row>
    <row r="35" spans="1:17" ht="15.75" x14ac:dyDescent="0.25">
      <c r="A35" s="1" t="s">
        <v>17</v>
      </c>
      <c r="B35" s="1" t="s">
        <v>26</v>
      </c>
      <c r="C35" s="1" t="s">
        <v>19</v>
      </c>
      <c r="D35" s="7" t="s">
        <v>318</v>
      </c>
      <c r="E35" s="7" t="s">
        <v>319</v>
      </c>
      <c r="F35" s="7" t="s">
        <v>305</v>
      </c>
      <c r="G35" s="1" t="s">
        <v>23</v>
      </c>
      <c r="H35" s="1" t="s">
        <v>320</v>
      </c>
      <c r="I35" s="1" t="str">
        <f t="shared" si="0"/>
        <v>07</v>
      </c>
      <c r="J35" s="1" t="str">
        <f t="shared" si="1"/>
        <v>33</v>
      </c>
      <c r="K35" s="1" t="str">
        <f t="shared" si="2"/>
        <v>07</v>
      </c>
      <c r="L35" s="1" t="str">
        <f t="shared" si="3"/>
        <v>34</v>
      </c>
      <c r="M35" s="1" t="str">
        <f t="shared" si="4"/>
        <v>50</v>
      </c>
      <c r="N35" s="1" t="str">
        <f t="shared" si="5"/>
        <v>39</v>
      </c>
      <c r="O35" s="2">
        <f t="shared" si="6"/>
        <v>-7.5519444444444446</v>
      </c>
      <c r="P35" s="2">
        <f t="shared" si="7"/>
        <v>-34.844166666666666</v>
      </c>
      <c r="Q35" s="16" t="s">
        <v>306</v>
      </c>
    </row>
    <row r="36" spans="1:17" ht="15.75" x14ac:dyDescent="0.25">
      <c r="A36" s="1" t="s">
        <v>17</v>
      </c>
      <c r="B36" s="1" t="s">
        <v>26</v>
      </c>
      <c r="C36" s="1" t="s">
        <v>19</v>
      </c>
      <c r="D36" s="7" t="s">
        <v>321</v>
      </c>
      <c r="E36" s="7" t="s">
        <v>322</v>
      </c>
      <c r="F36" s="7" t="s">
        <v>305</v>
      </c>
      <c r="G36" s="1" t="s">
        <v>23</v>
      </c>
      <c r="H36" s="1" t="s">
        <v>320</v>
      </c>
      <c r="I36" s="1" t="str">
        <f t="shared" si="0"/>
        <v>08</v>
      </c>
      <c r="J36" s="1" t="str">
        <f t="shared" si="1"/>
        <v>02</v>
      </c>
      <c r="K36" s="1" t="str">
        <f t="shared" si="2"/>
        <v>54</v>
      </c>
      <c r="L36" s="1" t="str">
        <f t="shared" si="3"/>
        <v>34</v>
      </c>
      <c r="M36" s="1" t="str">
        <f t="shared" si="4"/>
        <v>52</v>
      </c>
      <c r="N36" s="1" t="str">
        <f t="shared" si="5"/>
        <v>42</v>
      </c>
      <c r="O36" s="2">
        <f t="shared" si="6"/>
        <v>-8.0483333333333338</v>
      </c>
      <c r="P36" s="2">
        <f t="shared" si="7"/>
        <v>-34.87833333333333</v>
      </c>
      <c r="Q36" s="16" t="s">
        <v>306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2026-04-10T03:29:32Z</dcterms:modified>
  <dc:language>pt-BR</dc:language>
</cp:coreProperties>
</file>