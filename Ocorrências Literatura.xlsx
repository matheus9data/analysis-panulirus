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6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corrências Panulirus" sheetId="1" state="visible" r:id="rId3"/>
    <sheet name="Planilha1" sheetId="2" state="visible" r:id="rId4"/>
  </sheets>
  <definedNames>
    <definedName function="false" hidden="true" localSheetId="0" name="_xlnm._FilterDatabase" vbProcedure="false">'Ocorrências Panulirus'!$B$1:$I$268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<sst xmlns="http://schemas.openxmlformats.org/spreadsheetml/2006/main" count="2709" uniqueCount="563">
  <si>
    <t xml:space="preserve">ID</t>
  </si>
  <si>
    <t xml:space="preserve">species</t>
  </si>
  <si>
    <t xml:space="preserve">N/S</t>
  </si>
  <si>
    <t xml:space="preserve">E/W</t>
  </si>
  <si>
    <t xml:space="preserve">lat(s)</t>
  </si>
  <si>
    <t xml:space="preserve">long(w)</t>
  </si>
  <si>
    <t xml:space="preserve">origem</t>
  </si>
  <si>
    <t xml:space="preserve">estimado</t>
  </si>
  <si>
    <t xml:space="preserve">obs</t>
  </si>
  <si>
    <t xml:space="preserve">latg</t>
  </si>
  <si>
    <t xml:space="preserve">latm</t>
  </si>
  <si>
    <t xml:space="preserve">lats</t>
  </si>
  <si>
    <t xml:space="preserve">longg</t>
  </si>
  <si>
    <t xml:space="preserve">longm</t>
  </si>
  <si>
    <t xml:space="preserve">longs</t>
  </si>
  <si>
    <t xml:space="preserve">lat</t>
  </si>
  <si>
    <t xml:space="preserve">lon</t>
  </si>
  <si>
    <t xml:space="preserve">NomeDoc</t>
  </si>
  <si>
    <t xml:space="preserve">Panulirus argus</t>
  </si>
  <si>
    <t xml:space="preserve">N</t>
  </si>
  <si>
    <t xml:space="preserve">W</t>
  </si>
  <si>
    <t xml:space="preserve">04°26′</t>
  </si>
  <si>
    <t xml:space="preserve">51°32′</t>
  </si>
  <si>
    <t xml:space="preserve">Cruz, R. (2021)</t>
  </si>
  <si>
    <t xml:space="preserve">não</t>
  </si>
  <si>
    <t xml:space="preserve">Lobsters are distributed throughout the Brazilian continental shelf (CSB) from Amapá (04◦26N 51◦32W)to Rio Grande do Sul (29◦46 S 53◦10W). Lobster stocks are concen trated in four regions along the Brazilian coast: the North (Great Amazon Reef System), the Northeast (NE), the Southeast (SE), and the South (S).</t>
  </si>
  <si>
    <t xml:space="preserve">diversity-13-00507-v2.pdf</t>
  </si>
  <si>
    <t xml:space="preserve">S</t>
  </si>
  <si>
    <t xml:space="preserve">29°46′</t>
  </si>
  <si>
    <t xml:space="preserve">53°10′</t>
  </si>
  <si>
    <t xml:space="preserve">Lobsters are distributed throughout the Brazilian continental shelf (CSB) from Amapá (04◦26N 51◦32W)toRio Grande doSul (29◦46 S 53◦10W). Lobster stocks are concen trated in four regions along the Brazilian coast: the North (Great Amazon Reef System), the Northeast (NE), the Southeast (SE), and the South (S).</t>
  </si>
  <si>
    <t xml:space="preserve">21°</t>
  </si>
  <si>
    <t xml:space="preserve">40°</t>
  </si>
  <si>
    <t xml:space="preserve">Entre Pernambuco e Espírito Santo (9° S 35° W a 21° S 40° W) no Sudeste do Brasil (SE), a plataforma é estreita e as capturas de lagosta são pequenas. </t>
  </si>
  <si>
    <t xml:space="preserve">2°</t>
  </si>
  <si>
    <t xml:space="preserve">4°</t>
  </si>
  <si>
    <t xml:space="preserve">A plataforma continental ao largo do Nordeste do Brasil (NE) (2° S 4° W a 9° S 35° W, Pernambuco)</t>
  </si>
  <si>
    <t xml:space="preserve">9°</t>
  </si>
  <si>
    <t xml:space="preserve">35°</t>
  </si>
  <si>
    <t xml:space="preserve">2°53′22″</t>
  </si>
  <si>
    <t xml:space="preserve">41°13′46″</t>
  </si>
  <si>
    <t xml:space="preserve">Ceará</t>
  </si>
  <si>
    <t xml:space="preserve">4°06′06″</t>
  </si>
  <si>
    <t xml:space="preserve">38°08′56″</t>
  </si>
  <si>
    <t xml:space="preserve">Panulirus laevicauda</t>
  </si>
  <si>
    <t xml:space="preserve">Panulirus meripurpuratus</t>
  </si>
  <si>
    <t xml:space="preserve">7°54′15,6″</t>
  </si>
  <si>
    <t xml:space="preserve">34°49′14,3″</t>
  </si>
  <si>
    <t xml:space="preserve">GIRALDES, Bruno W. (2016)</t>
  </si>
  <si>
    <t xml:space="preserve">Offshore area around Pau Amarelo Beach, Pernambuco</t>
  </si>
  <si>
    <t xml:space="preserve">document</t>
  </si>
  <si>
    <t xml:space="preserve">5°59</t>
  </si>
  <si>
    <t xml:space="preserve">35°7</t>
  </si>
  <si>
    <t xml:space="preserve">Alencar et al. (2021)</t>
  </si>
  <si>
    <t xml:space="preserve">Pirangi</t>
  </si>
  <si>
    <t xml:space="preserve">Alencaretal.2021</t>
  </si>
  <si>
    <t xml:space="preserve">Panulirus echinatus</t>
  </si>
  <si>
    <t xml:space="preserve">08°45′31,2″</t>
  </si>
  <si>
    <t xml:space="preserve">35°05′07,7″</t>
  </si>
  <si>
    <t xml:space="preserve">BARRETO, A. V. et al. (2009)</t>
  </si>
  <si>
    <t xml:space="preserve">Tamandaré, PE (inshore)</t>
  </si>
  <si>
    <t xml:space="preserve">biometric-relationships-of-the-spotted-lobster-panulirus-echinatus-from-tamandare-coastal-reefs-pernambuco-state-brazil</t>
  </si>
  <si>
    <t xml:space="preserve">08°46′57,2″</t>
  </si>
  <si>
    <t xml:space="preserve">35°05′48,9″</t>
  </si>
  <si>
    <t xml:space="preserve">08°45′35,0″</t>
  </si>
  <si>
    <t xml:space="preserve"> 35°04′57,5″</t>
  </si>
  <si>
    <t xml:space="preserve">Tamandaré, PE (offshore)</t>
  </si>
  <si>
    <t xml:space="preserve">08°47′01,2″</t>
  </si>
  <si>
    <t xml:space="preserve">35°05′42,0″</t>
  </si>
  <si>
    <t xml:space="preserve">8°30′07″</t>
  </si>
  <si>
    <t xml:space="preserve">35°00′08″</t>
  </si>
  <si>
    <t xml:space="preserve">GIRALDES, Bruno W. (2021)</t>
  </si>
  <si>
    <t xml:space="preserve">Porto de Galinhas</t>
  </si>
  <si>
    <t xml:space="preserve">1-s2.0-S1470160X21011304-main</t>
  </si>
  <si>
    <t xml:space="preserve">08°44′23″</t>
  </si>
  <si>
    <t xml:space="preserve">35°02′28″</t>
  </si>
  <si>
    <t xml:space="preserve">Tamandaré, PE</t>
  </si>
  <si>
    <t xml:space="preserve">20°39′</t>
  </si>
  <si>
    <t xml:space="preserve">40°30′</t>
  </si>
  <si>
    <t xml:space="preserve">MELO, Andressa C. M. (2025)</t>
  </si>
  <si>
    <t xml:space="preserve">Guarapari (ES)</t>
  </si>
  <si>
    <t xml:space="preserve">Fisheries Management Eco - 2025 - Melo - Reproductive Biology of the Smoothtail Spiny Lobster  Panulirus laevicauda  to</t>
  </si>
  <si>
    <t xml:space="preserve">20°43′</t>
  </si>
  <si>
    <t xml:space="preserve">40°46′</t>
  </si>
  <si>
    <t xml:space="preserve">Anchieta (ES)</t>
  </si>
  <si>
    <t xml:space="preserve">21°02′</t>
  </si>
  <si>
    <t xml:space="preserve">40°49′</t>
  </si>
  <si>
    <t xml:space="preserve">Marataízes (ES)</t>
  </si>
  <si>
    <t xml:space="preserve">0°55′10″</t>
  </si>
  <si>
    <t xml:space="preserve">29°20′33″</t>
  </si>
  <si>
    <t xml:space="preserve">NUNES, Diogo Martins (2017)</t>
  </si>
  <si>
    <t xml:space="preserve">São Pedro e São Paulo</t>
  </si>
  <si>
    <t xml:space="preserve">Nunesetal2017DeepSeaDecapodCrustaceansSPSPA</t>
  </si>
  <si>
    <t xml:space="preserve">0°54.787′</t>
  </si>
  <si>
    <t xml:space="preserve">29°21.451′</t>
  </si>
  <si>
    <t xml:space="preserve">0°55.681′</t>
  </si>
  <si>
    <t xml:space="preserve">29°19.804′</t>
  </si>
  <si>
    <t xml:space="preserve">8°59′57″</t>
  </si>
  <si>
    <t xml:space="preserve">35°10′49″</t>
  </si>
  <si>
    <t xml:space="preserve">GAETA, Juliana de Carvalho (2021)</t>
  </si>
  <si>
    <t xml:space="preserve">Alagoas (Maragogi / São José da Coroa Grande)</t>
  </si>
  <si>
    <t xml:space="preserve">PANAMJAS_16(2)_123-128</t>
  </si>
  <si>
    <t xml:space="preserve">1°03′57″</t>
  </si>
  <si>
    <t xml:space="preserve">46°47′22″W</t>
  </si>
  <si>
    <t xml:space="preserve">SOUSA, Jefferson (2025)</t>
  </si>
  <si>
    <t xml:space="preserve">Bragrança</t>
  </si>
  <si>
    <t xml:space="preserve">peerj-19586</t>
  </si>
  <si>
    <t xml:space="preserve">08°10′</t>
  </si>
  <si>
    <t xml:space="preserve">34°49′</t>
  </si>
  <si>
    <t xml:space="preserve">HAMILTON, Santiago (2019)</t>
  </si>
  <si>
    <t xml:space="preserve">Recife (PE)</t>
  </si>
  <si>
    <t xml:space="preserve">s00435-019-00461-5</t>
  </si>
  <si>
    <t xml:space="preserve">8°30′54″</t>
  </si>
  <si>
    <t xml:space="preserve">34°59′47″</t>
  </si>
  <si>
    <t xml:space="preserve">GIRALDES, Bruno W. (2012)</t>
  </si>
  <si>
    <t xml:space="preserve">Composition and spatial distribution of subtidal Decapoda on the “Reef Coast”, northeastern Brazil, evaluated through a low-impact visual census technique</t>
  </si>
  <si>
    <t xml:space="preserve">18°01′15″</t>
  </si>
  <si>
    <t xml:space="preserve">38°43′16″</t>
  </si>
  <si>
    <t xml:space="preserve">FARIA JÚNIOR, Edson (2013)</t>
  </si>
  <si>
    <t xml:space="preserve">Arquipélogo de Abrolhos (BA)</t>
  </si>
  <si>
    <t xml:space="preserve">1.pdf</t>
  </si>
  <si>
    <t xml:space="preserve">01°27′</t>
  </si>
  <si>
    <t xml:space="preserve">48°30′</t>
  </si>
  <si>
    <t xml:space="preserve">Belém (PA)</t>
  </si>
  <si>
    <t xml:space="preserve">23°32′</t>
  </si>
  <si>
    <t xml:space="preserve">46°38′</t>
  </si>
  <si>
    <t xml:space="preserve">São Paulo Capital (SP)</t>
  </si>
  <si>
    <t xml:space="preserve">03°50′</t>
  </si>
  <si>
    <t xml:space="preserve">38°20′</t>
  </si>
  <si>
    <t xml:space="preserve">Região costeira do Ceará, nas proximidades de Aquiraz</t>
  </si>
  <si>
    <t xml:space="preserve">23°17′</t>
  </si>
  <si>
    <t xml:space="preserve">44°10′</t>
  </si>
  <si>
    <t xml:space="preserve">Baía da Ilha Grande, no litoral sul do Rio de Janeiro (Costa Verde).</t>
  </si>
  <si>
    <t xml:space="preserve">4°25′</t>
  </si>
  <si>
    <t xml:space="preserve">37°16′</t>
  </si>
  <si>
    <r>
      <rPr>
        <sz val="11"/>
        <color theme="1"/>
        <rFont val="Calibri"/>
        <family val="2"/>
        <charset val="1"/>
      </rPr>
      <t xml:space="preserve">Litoral leste do </t>
    </r>
    <r>
      <rPr>
        <b val="true"/>
        <sz val="11"/>
        <color theme="1"/>
        <rFont val="Calibri"/>
        <family val="2"/>
        <charset val="1"/>
      </rPr>
      <t xml:space="preserve">Ceará</t>
    </r>
    <r>
      <rPr>
        <sz val="11"/>
        <color theme="1"/>
        <rFont val="Calibri"/>
        <family val="2"/>
        <charset val="1"/>
      </rPr>
      <t xml:space="preserve">, na região de Aracati (próximo ao estuário do Rio Jaguaribe).</t>
    </r>
  </si>
  <si>
    <t xml:space="preserve">17°57′29″</t>
  </si>
  <si>
    <t xml:space="preserve">38°42′09″</t>
  </si>
  <si>
    <t xml:space="preserve">Santa Barbara Island</t>
  </si>
  <si>
    <t xml:space="preserve">17°57′38″</t>
  </si>
  <si>
    <t xml:space="preserve">38°42′55″</t>
  </si>
  <si>
    <t xml:space="preserve">Redonda Island</t>
  </si>
  <si>
    <t xml:space="preserve">17°57′59″</t>
  </si>
  <si>
    <t xml:space="preserve">38°42′52″</t>
  </si>
  <si>
    <t xml:space="preserve">Siriba Island</t>
  </si>
  <si>
    <t xml:space="preserve">32°24′</t>
  </si>
  <si>
    <t xml:space="preserve">Arquipélago de Fernando de Noronha</t>
  </si>
  <si>
    <t xml:space="preserve">03°45′</t>
  </si>
  <si>
    <t xml:space="preserve">32°19′</t>
  </si>
  <si>
    <t xml:space="preserve">Atol das Rocas</t>
  </si>
  <si>
    <t xml:space="preserve">GIRALDES, Bruno W. (2015)</t>
  </si>
  <si>
    <t xml:space="preserve">1-s2.0-S2351989415001031-main</t>
  </si>
  <si>
    <t xml:space="preserve">35°07′29″</t>
  </si>
  <si>
    <t xml:space="preserve">GIRALDES, Bruno W.(2015)</t>
  </si>
  <si>
    <t xml:space="preserve">Área de Proteção Ambiental (APA) Costa dos Corais Tamandaré</t>
  </si>
  <si>
    <t xml:space="preserve">08°44′41″</t>
  </si>
  <si>
    <t xml:space="preserve">03°52′</t>
  </si>
  <si>
    <t xml:space="preserve">33°48′</t>
  </si>
  <si>
    <t xml:space="preserve">GAETA, Juliana de Carvalho (2019)</t>
  </si>
  <si>
    <t xml:space="preserve">Aquatic Conservation - 2020 - Gaeta - Genetic differentiation among Atlantic island populations of the brown spiny lobster</t>
  </si>
  <si>
    <t xml:space="preserve">03°51′</t>
  </si>
  <si>
    <t xml:space="preserve">32°25′</t>
  </si>
  <si>
    <t xml:space="preserve">Fernando de Noronha</t>
  </si>
  <si>
    <t xml:space="preserve">20°28′</t>
  </si>
  <si>
    <t xml:space="preserve">29°21′</t>
  </si>
  <si>
    <t xml:space="preserve">Trindade e Martim Vaz</t>
  </si>
  <si>
    <t xml:space="preserve">Gaeta, J. (2019)</t>
  </si>
  <si>
    <t xml:space="preserve">gaeta2019</t>
  </si>
  <si>
    <t xml:space="preserve">8°45′</t>
  </si>
  <si>
    <t xml:space="preserve">34°57′</t>
  </si>
  <si>
    <t xml:space="preserve">KONISHI, Kooichi (2006)</t>
  </si>
  <si>
    <r>
      <rPr>
        <sz val="11"/>
        <color theme="1"/>
        <rFont val="Calibri"/>
        <family val="2"/>
        <charset val="1"/>
      </rPr>
      <t xml:space="preserve">a longitude </t>
    </r>
    <r>
      <rPr>
        <b val="true"/>
        <sz val="11"/>
        <color theme="1"/>
        <rFont val="Calibri"/>
        <family val="2"/>
        <charset val="1"/>
      </rPr>
      <t xml:space="preserve">24°57′W</t>
    </r>
    <r>
      <rPr>
        <sz val="11"/>
        <color theme="1"/>
        <rFont val="Calibri"/>
        <family val="2"/>
        <charset val="1"/>
      </rPr>
      <t xml:space="preserve"> cai literalmente no meio do Oceano Atlântico, a mais de 1.000 km da costa, possivel erro, se for 34 ao inves de 24 da certo no litoral</t>
    </r>
  </si>
  <si>
    <t xml:space="preserve">konishi2006</t>
  </si>
  <si>
    <t xml:space="preserve">00°55′01″</t>
  </si>
  <si>
    <t xml:space="preserve">29°20′44″</t>
  </si>
  <si>
    <t xml:space="preserve">PINHEIRO, Allysson P. (2006)</t>
  </si>
  <si>
    <t xml:space="preserve">Reproductive_Biology_of_Panulirus_echina</t>
  </si>
  <si>
    <t xml:space="preserve">04°37′48,0″</t>
  </si>
  <si>
    <t xml:space="preserve">37°30′22,9″</t>
  </si>
  <si>
    <t xml:space="preserve">BAKER, Alyssa M. (2024)</t>
  </si>
  <si>
    <t xml:space="preserve">s00338-024-02569-7</t>
  </si>
  <si>
    <t xml:space="preserve">PINHEIRO, A. P. (2003)</t>
  </si>
  <si>
    <t xml:space="preserve">Population_biology_of_Panulirus_echinatu</t>
  </si>
  <si>
    <t xml:space="preserve"> 38°13′</t>
  </si>
  <si>
    <t xml:space="preserve">GESTEIRA, Tereza Cristina Vasconcelos (1989/1990)</t>
  </si>
  <si>
    <t xml:space="preserve">Município de Iguape (CE)</t>
  </si>
  <si>
    <t xml:space="preserve">1989.90_art_tevgesteira</t>
  </si>
  <si>
    <t xml:space="preserve">IVO, Carlos Tassito Corrêa; (1996)</t>
  </si>
  <si>
    <t xml:space="preserve">Entre os municípios de Iguape e Aquiraz</t>
  </si>
  <si>
    <t xml:space="preserve">1996_art_ctcivo</t>
  </si>
  <si>
    <t xml:space="preserve">03°38′</t>
  </si>
  <si>
    <t xml:space="preserve">38°13′</t>
  </si>
  <si>
    <t xml:space="preserve">03°31′</t>
  </si>
  <si>
    <t xml:space="preserve"> 38°12′</t>
  </si>
  <si>
    <t xml:space="preserve">24°49′13″</t>
  </si>
  <si>
    <t xml:space="preserve">80°48′48″</t>
  </si>
  <si>
    <t xml:space="preserve">SMITH, Kenneth N. (1997)</t>
  </si>
  <si>
    <r>
      <rPr>
        <sz val="11"/>
        <color theme="1"/>
        <rFont val="Calibri"/>
        <family val="2"/>
        <charset val="1"/>
      </rPr>
      <t xml:space="preserve">guas viradas para o Oceano Atlântico, mesmo ao largo da costa de Long Key. A sigla </t>
    </r>
    <r>
      <rPr>
        <b val="true"/>
        <sz val="11"/>
        <color theme="1"/>
        <rFont val="Calibri"/>
        <family val="2"/>
        <charset val="1"/>
      </rPr>
      <t xml:space="preserve">KML</t>
    </r>
    <r>
      <rPr>
        <sz val="11"/>
        <color theme="1"/>
        <rFont val="Calibri"/>
        <family val="2"/>
        <charset val="1"/>
      </rPr>
      <t xml:space="preserve"> significa </t>
    </r>
    <r>
      <rPr>
        <i val="true"/>
        <sz val="11"/>
        <color theme="1"/>
        <rFont val="Calibri"/>
        <family val="2"/>
        <charset val="1"/>
      </rPr>
      <t xml:space="preserve">Keys Marine Laboratory</t>
    </r>
    <r>
      <rPr>
        <sz val="11"/>
        <color theme="1"/>
        <rFont val="Calibri"/>
        <family val="2"/>
        <charset val="1"/>
      </rPr>
      <t xml:space="preserve">,</t>
    </r>
  </si>
  <si>
    <t xml:space="preserve">1-s2.0-002209819290070Q-main</t>
  </si>
  <si>
    <t xml:space="preserve">24°50′55″</t>
  </si>
  <si>
    <t xml:space="preserve">80°48′03″</t>
  </si>
  <si>
    <r>
      <rPr>
        <sz val="11"/>
        <color theme="1"/>
        <rFont val="Calibri"/>
        <family val="2"/>
        <charset val="1"/>
      </rPr>
      <t xml:space="preserve">Fica nas águas do lado oposto (virado para o lado mais calmo da Baía da Flórida / Golfo do México). A sigla </t>
    </r>
    <r>
      <rPr>
        <b val="true"/>
        <sz val="11"/>
        <color theme="1"/>
        <rFont val="Calibri"/>
        <family val="2"/>
        <charset val="1"/>
      </rPr>
      <t xml:space="preserve">KOA</t>
    </r>
    <r>
      <rPr>
        <sz val="11"/>
        <color theme="1"/>
        <rFont val="Calibri"/>
        <family val="2"/>
        <charset val="1"/>
      </rPr>
      <t xml:space="preserve"> refere-se à pequena ilha vizinha de Fiesta Key, que é muito famosa pelo seu parque de campismo para autocaravanas chamado </t>
    </r>
    <r>
      <rPr>
        <i val="true"/>
        <sz val="11"/>
        <color theme="1"/>
        <rFont val="Calibri"/>
        <family val="2"/>
        <charset val="1"/>
      </rPr>
      <t xml:space="preserve">Fiesta Key KOA Resort</t>
    </r>
    <r>
      <rPr>
        <sz val="11"/>
        <color theme="1"/>
        <rFont val="Calibri"/>
        <family val="2"/>
        <charset val="1"/>
      </rPr>
      <t xml:space="preserve">.</t>
    </r>
  </si>
  <si>
    <t xml:space="preserve">05°13′</t>
  </si>
  <si>
    <t xml:space="preserve">35°10′</t>
  </si>
  <si>
    <t xml:space="preserve">SARVER, Shane K. (1998)</t>
  </si>
  <si>
    <t xml:space="preserve">Rio Grande do Norte(RN); Ela fica no oceano, a cerca de 30 km a leste do município de Touros</t>
  </si>
  <si>
    <t xml:space="preserve">jcb0177</t>
  </si>
  <si>
    <t xml:space="preserve">24°44'20"</t>
  </si>
  <si>
    <t xml:space="preserve">80°59'37"</t>
  </si>
  <si>
    <t xml:space="preserve">GOLDSTEIN, Jason S. (2008)</t>
  </si>
  <si>
    <t xml:space="preserve">Keys Marine Laboratory (KML), sul da Florida</t>
  </si>
  <si>
    <t xml:space="preserve">jcb0306</t>
  </si>
  <si>
    <t xml:space="preserve">24°78′</t>
  </si>
  <si>
    <t xml:space="preserve"> 80°92′</t>
  </si>
  <si>
    <t xml:space="preserve">GOLDSTEIN, Jason S. (2007)</t>
  </si>
  <si>
    <t xml:space="preserve">Limnology   Oceanography - 2009 - Goldsteina - Behavioral enhancement of onshore transport by postlarval Caribbean spiny</t>
  </si>
  <si>
    <t xml:space="preserve">19°27′00″</t>
  </si>
  <si>
    <t xml:space="preserve"> 87°17′24″</t>
  </si>
  <si>
    <t xml:space="preserve">EGGLESTON, David B. (1990)</t>
  </si>
  <si>
    <t xml:space="preserve">Bahia de la Ascensión, que fica dentro da Reserva da Biosfera de Sian Ka'an, na Península de Yucatán</t>
  </si>
  <si>
    <t xml:space="preserve">m062p079</t>
  </si>
  <si>
    <t xml:space="preserve">25°01′46″</t>
  </si>
  <si>
    <t xml:space="preserve"> 80°23′53″</t>
  </si>
  <si>
    <t xml:space="preserve">NEVITT, Gabrielle (2000)</t>
  </si>
  <si>
    <t xml:space="preserve">Three Sisters Reef.</t>
  </si>
  <si>
    <t xml:space="preserve">m203p225</t>
  </si>
  <si>
    <t xml:space="preserve">25°35′28″</t>
  </si>
  <si>
    <t xml:space="preserve">80°05′49″</t>
  </si>
  <si>
    <t xml:space="preserve">KOUGH, Andrew S. (2014)</t>
  </si>
  <si>
    <t xml:space="preserve">Fowey Rocks, Parque Nacional de Biscayne</t>
  </si>
  <si>
    <t xml:space="preserve">m504p207</t>
  </si>
  <si>
    <t xml:space="preserve">24°50′30″</t>
  </si>
  <si>
    <t xml:space="preserve">80°47′48″</t>
  </si>
  <si>
    <t xml:space="preserve">FORCUCCI, David; (1994)</t>
  </si>
  <si>
    <t xml:space="preserve">KOA</t>
  </si>
  <si>
    <t xml:space="preserve">s17</t>
  </si>
  <si>
    <t xml:space="preserve">20°51′00″</t>
  </si>
  <si>
    <t xml:space="preserve">86°55′00″</t>
  </si>
  <si>
    <t xml:space="preserve">BRIONES-FOURZÁN, Patricia; (2006)</t>
  </si>
  <si>
    <t xml:space="preserve">Unidad Académica Puerto Morelos</t>
  </si>
  <si>
    <t xml:space="preserve">s00227-005-0191-2</t>
  </si>
  <si>
    <t xml:space="preserve">25°36′11″</t>
  </si>
  <si>
    <t xml:space="preserve">81°24′10″</t>
  </si>
  <si>
    <t xml:space="preserve">ACOSTA, C. A (1997)</t>
  </si>
  <si>
    <t xml:space="preserve">Big Munson Key</t>
  </si>
  <si>
    <t xml:space="preserve">s002270050148</t>
  </si>
  <si>
    <t xml:space="preserve"> 51°32′</t>
  </si>
  <si>
    <t xml:space="preserve">ORELLANA SALAZAR, Ivo S (2009)</t>
  </si>
  <si>
    <t xml:space="preserve">Amapá</t>
  </si>
  <si>
    <t xml:space="preserve">salazar2019</t>
  </si>
  <si>
    <t xml:space="preserve">21°17′</t>
  </si>
  <si>
    <t xml:space="preserve">40°56′</t>
  </si>
  <si>
    <t xml:space="preserve">Espírito Santo</t>
  </si>
  <si>
    <t xml:space="preserve">LOZANO-ÁLVAREZ, Enrique (2001)</t>
  </si>
  <si>
    <t xml:space="preserve">Península de Yucatán, no estado de Quintana Roo</t>
  </si>
  <si>
    <t xml:space="preserve">10.1071@mf01093</t>
  </si>
  <si>
    <t xml:space="preserve">2°46′</t>
  </si>
  <si>
    <t xml:space="preserve">40°05′</t>
  </si>
  <si>
    <t xml:space="preserve">Cruz, R. (2025)</t>
  </si>
  <si>
    <t xml:space="preserve">Acaraú</t>
  </si>
  <si>
    <t xml:space="preserve">diversity-17-00572-v4.pdf</t>
  </si>
  <si>
    <t xml:space="preserve">3°14′30″</t>
  </si>
  <si>
    <t xml:space="preserve">39°13′30″</t>
  </si>
  <si>
    <t xml:space="preserve">Flecheiras (Ceará)</t>
  </si>
  <si>
    <t xml:space="preserve">03°18′00″</t>
  </si>
  <si>
    <t xml:space="preserve">50°35′24″</t>
  </si>
  <si>
    <t xml:space="preserve">Amapá (AP)</t>
  </si>
  <si>
    <t xml:space="preserve">05°40′48″</t>
  </si>
  <si>
    <t xml:space="preserve">46°38′24″</t>
  </si>
  <si>
    <t xml:space="preserve">Amapá (Oceânico)</t>
  </si>
  <si>
    <t xml:space="preserve">01°13′12″</t>
  </si>
  <si>
    <t xml:space="preserve">44°38′24″</t>
  </si>
  <si>
    <t xml:space="preserve">Pará (PA)</t>
  </si>
  <si>
    <t xml:space="preserve">01°58′12″</t>
  </si>
  <si>
    <t xml:space="preserve">40°35′24″</t>
  </si>
  <si>
    <t xml:space="preserve">Amapá/Pará (Oceânico)</t>
  </si>
  <si>
    <t xml:space="preserve">03°30′00″</t>
  </si>
  <si>
    <t xml:space="preserve">38°44′24″</t>
  </si>
  <si>
    <t xml:space="preserve">Ceará (CE)</t>
  </si>
  <si>
    <t xml:space="preserve">00°38′24″</t>
  </si>
  <si>
    <t xml:space="preserve">35°00′00″</t>
  </si>
  <si>
    <t xml:space="preserve">Ceará (Oceânico)</t>
  </si>
  <si>
    <t xml:space="preserve">05°01′12″</t>
  </si>
  <si>
    <t xml:space="preserve">35°25′48″</t>
  </si>
  <si>
    <t xml:space="preserve">Rio Grande do Norte (RN)</t>
  </si>
  <si>
    <t xml:space="preserve">02°54′00″</t>
  </si>
  <si>
    <t xml:space="preserve">31°38′24″</t>
  </si>
  <si>
    <t xml:space="preserve">Rio Grande do Norte (Oceânico)</t>
  </si>
  <si>
    <t xml:space="preserve">09°44′24″</t>
  </si>
  <si>
    <t xml:space="preserve">35°34′12″</t>
  </si>
  <si>
    <t xml:space="preserve">Alagoas (AL)</t>
  </si>
  <si>
    <t xml:space="preserve">09°42′00″</t>
  </si>
  <si>
    <t xml:space="preserve">31°02′24″</t>
  </si>
  <si>
    <t xml:space="preserve">Alagoas (Oceânico)</t>
  </si>
  <si>
    <t xml:space="preserve">18°42′00″</t>
  </si>
  <si>
    <t xml:space="preserve">38°46′12″</t>
  </si>
  <si>
    <t xml:space="preserve">Bahia (BA)</t>
  </si>
  <si>
    <t xml:space="preserve">18°18′00″</t>
  </si>
  <si>
    <t xml:space="preserve">33°54′36″</t>
  </si>
  <si>
    <t xml:space="preserve">Bahia (Oceânico)</t>
  </si>
  <si>
    <t xml:space="preserve">21°31′12″</t>
  </si>
  <si>
    <t xml:space="preserve">80°39′00″</t>
  </si>
  <si>
    <t xml:space="preserve">Golfo de Batabanó</t>
  </si>
  <si>
    <t xml:space="preserve">21°24′36″</t>
  </si>
  <si>
    <t xml:space="preserve">, 82°19′12″</t>
  </si>
  <si>
    <t xml:space="preserve">21°10′48″</t>
  </si>
  <si>
    <t xml:space="preserve">84°51′36″</t>
  </si>
  <si>
    <t xml:space="preserve">20°00′00″</t>
  </si>
  <si>
    <t xml:space="preserve">84°53′24″</t>
  </si>
  <si>
    <t xml:space="preserve">19°16′12″</t>
  </si>
  <si>
    <t xml:space="preserve">82°25′12″</t>
  </si>
  <si>
    <t xml:space="preserve">20°10′12″</t>
  </si>
  <si>
    <t xml:space="preserve">79°54′00″</t>
  </si>
  <si>
    <t xml:space="preserve">21°34′</t>
  </si>
  <si>
    <t xml:space="preserve">83°31′</t>
  </si>
  <si>
    <t xml:space="preserve">South of Cuba</t>
  </si>
  <si>
    <t xml:space="preserve">3°32,981′</t>
  </si>
  <si>
    <t xml:space="preserve">38°48.669′</t>
  </si>
  <si>
    <t xml:space="preserve">02°53′22″</t>
  </si>
  <si>
    <t xml:space="preserve">Cruz, R. (2013)</t>
  </si>
  <si>
    <t xml:space="preserve">Crustaceana_86_3_336_356_ASSESSMENT_OF_W</t>
  </si>
  <si>
    <t xml:space="preserve">04°06′06″</t>
  </si>
  <si>
    <t xml:space="preserve">04°53′26″</t>
  </si>
  <si>
    <t xml:space="preserve">37°14′37″</t>
  </si>
  <si>
    <t xml:space="preserve">Rio Grande do Norte</t>
  </si>
  <si>
    <t xml:space="preserve">05°12′06″</t>
  </si>
  <si>
    <t xml:space="preserve">35°27′27″</t>
  </si>
  <si>
    <t xml:space="preserve">06°30′11″</t>
  </si>
  <si>
    <t xml:space="preserve">34°57′30″</t>
  </si>
  <si>
    <t xml:space="preserve">Paraíba</t>
  </si>
  <si>
    <t xml:space="preserve">06°57′57″</t>
  </si>
  <si>
    <t xml:space="preserve">34°51′22″</t>
  </si>
  <si>
    <t xml:space="preserve">07°33′07″</t>
  </si>
  <si>
    <t xml:space="preserve">34°50′39″</t>
  </si>
  <si>
    <t xml:space="preserve">Pernambuco</t>
  </si>
  <si>
    <t xml:space="preserve">08°02′54″</t>
  </si>
  <si>
    <t xml:space="preserve">34°52′42″</t>
  </si>
  <si>
    <t xml:space="preserve">01°45′10″</t>
  </si>
  <si>
    <t xml:space="preserve">48°12′56″</t>
  </si>
  <si>
    <t xml:space="preserve">SANTOS, Francisco José da Silva (2019)</t>
  </si>
  <si>
    <t xml:space="preserve">sim</t>
  </si>
  <si>
    <t xml:space="preserve">Plataforma Continental Amazônica</t>
  </si>
  <si>
    <t xml:space="preserve">2019_art_fjdassantos</t>
  </si>
  <si>
    <t xml:space="preserve">01°43′38″</t>
  </si>
  <si>
    <t xml:space="preserve">48°26′22″</t>
  </si>
  <si>
    <t xml:space="preserve">02°00′35″</t>
  </si>
  <si>
    <t xml:space="preserve">48°12′39″</t>
  </si>
  <si>
    <t xml:space="preserve">02°39′44″</t>
  </si>
  <si>
    <t xml:space="preserve">49°08′56″</t>
  </si>
  <si>
    <t xml:space="preserve">03°29′13″</t>
  </si>
  <si>
    <t xml:space="preserve">49°47′04″</t>
  </si>
  <si>
    <t xml:space="preserve">07°09′33″</t>
  </si>
  <si>
    <t xml:space="preserve">34°47′08″</t>
  </si>
  <si>
    <t xml:space="preserve">OLIVEIRA, Patricia Aguiar de (2009)</t>
  </si>
  <si>
    <t xml:space="preserve">Praia do Seixas (PB)</t>
  </si>
  <si>
    <t xml:space="preserve">Caracterizacao_populacional_das_lagostas</t>
  </si>
  <si>
    <t xml:space="preserve">07°10′47″</t>
  </si>
  <si>
    <t xml:space="preserve">34°46′56″</t>
  </si>
  <si>
    <t xml:space="preserve">Praia da Penha(PB)</t>
  </si>
  <si>
    <t xml:space="preserve">08°30′41″</t>
  </si>
  <si>
    <t xml:space="preserve">35°00′02″</t>
  </si>
  <si>
    <t xml:space="preserve">GIRALDES, Bruno W (2012)</t>
  </si>
  <si>
    <t xml:space="preserve">08°30′31″</t>
  </si>
  <si>
    <t xml:space="preserve">34°59′58″</t>
  </si>
  <si>
    <t xml:space="preserve">08°30′23″</t>
  </si>
  <si>
    <t xml:space="preserve">34°59′57″</t>
  </si>
  <si>
    <t xml:space="preserve">08°30′32″</t>
  </si>
  <si>
    <t xml:space="preserve">34°59′56″</t>
  </si>
  <si>
    <t xml:space="preserve">08°30′25″</t>
  </si>
  <si>
    <t xml:space="preserve">34°59′54″</t>
  </si>
  <si>
    <t xml:space="preserve">08°30′21″</t>
  </si>
  <si>
    <t xml:space="preserve">34°59′52″</t>
  </si>
  <si>
    <t xml:space="preserve">08°30′24″</t>
  </si>
  <si>
    <t xml:space="preserve">08°30′42″</t>
  </si>
  <si>
    <t xml:space="preserve">34°59′55″</t>
  </si>
  <si>
    <t xml:space="preserve">34°59′53″</t>
  </si>
  <si>
    <t xml:space="preserve">16°24′18″</t>
  </si>
  <si>
    <t xml:space="preserve">88°10′42″</t>
  </si>
  <si>
    <t xml:space="preserve">BEHRINGER, Donald C (2011)</t>
  </si>
  <si>
    <t xml:space="preserve">Belize</t>
  </si>
  <si>
    <t xml:space="preserve">d094p153</t>
  </si>
  <si>
    <t xml:space="preserve">19°09′17″</t>
  </si>
  <si>
    <t xml:space="preserve">87°11′43″</t>
  </si>
  <si>
    <t xml:space="preserve">México - Sian Ka'an</t>
  </si>
  <si>
    <t xml:space="preserve">21°53′01″</t>
  </si>
  <si>
    <t xml:space="preserve">81°42′21″</t>
  </si>
  <si>
    <t xml:space="preserve">Cuba - Golfo de Batabanó</t>
  </si>
  <si>
    <t xml:space="preserve">17°46′53″</t>
  </si>
  <si>
    <t xml:space="preserve">65°07′50″</t>
  </si>
  <si>
    <t xml:space="preserve">lhas Virgens/Porto Rico</t>
  </si>
  <si>
    <t xml:space="preserve">15°49′37″</t>
  </si>
  <si>
    <t xml:space="preserve">62°10′49″</t>
  </si>
  <si>
    <t xml:space="preserve">Dominica/Guadalupe</t>
  </si>
  <si>
    <t xml:space="preserve">24°28′24″</t>
  </si>
  <si>
    <t xml:space="preserve">81°03′19″</t>
  </si>
  <si>
    <t xml:space="preserve">Flórida - Keys</t>
  </si>
  <si>
    <t xml:space="preserve">12°11′35″</t>
  </si>
  <si>
    <t xml:space="preserve">83°25′46″</t>
  </si>
  <si>
    <t xml:space="preserve">MOSS, Jessica (2013)</t>
  </si>
  <si>
    <t xml:space="preserve">América Central (Nicarágua, Honduras e Belize)</t>
  </si>
  <si>
    <t xml:space="preserve">d104p129</t>
  </si>
  <si>
    <t xml:space="preserve">15°27′28″</t>
  </si>
  <si>
    <t xml:space="preserve">83°42′30″</t>
  </si>
  <si>
    <t xml:space="preserve">16°06′27″</t>
  </si>
  <si>
    <t xml:space="preserve">86°00′39″</t>
  </si>
  <si>
    <t xml:space="preserve">15°58′47″</t>
  </si>
  <si>
    <t xml:space="preserve">87°42′42″</t>
  </si>
  <si>
    <t xml:space="preserve">16°54′33″</t>
  </si>
  <si>
    <t xml:space="preserve">88°02′54″</t>
  </si>
  <si>
    <t xml:space="preserve">21°36′45″</t>
  </si>
  <si>
    <t xml:space="preserve">89°31′40″</t>
  </si>
  <si>
    <t xml:space="preserve">Norte do Golfo e Grandes Antilhas</t>
  </si>
  <si>
    <t xml:space="preserve">19°16′24″</t>
  </si>
  <si>
    <t xml:space="preserve">81°14′12″</t>
  </si>
  <si>
    <t xml:space="preserve">19°40′37″</t>
  </si>
  <si>
    <t xml:space="preserve">80°01′17″</t>
  </si>
  <si>
    <t xml:space="preserve">19°53′57″</t>
  </si>
  <si>
    <t xml:space="preserve">75°00′52″</t>
  </si>
  <si>
    <t xml:space="preserve">18°21′10″</t>
  </si>
  <si>
    <t xml:space="preserve">69°52′10″</t>
  </si>
  <si>
    <t xml:space="preserve">19°42′37″</t>
  </si>
  <si>
    <t xml:space="preserve">70°03′14″</t>
  </si>
  <si>
    <t xml:space="preserve">17°55′50″</t>
  </si>
  <si>
    <t xml:space="preserve">66°21′14″</t>
  </si>
  <si>
    <t xml:space="preserve">17°15′20″</t>
  </si>
  <si>
    <t xml:space="preserve">62°42′40″</t>
  </si>
  <si>
    <t xml:space="preserve">Pequenas Antilhas e América do Sul</t>
  </si>
  <si>
    <t xml:space="preserve">14°33′56″</t>
  </si>
  <si>
    <t xml:space="preserve">61°03′00″</t>
  </si>
  <si>
    <t xml:space="preserve">11°03′46″</t>
  </si>
  <si>
    <t xml:space="preserve">64°01′30″</t>
  </si>
  <si>
    <t xml:space="preserve">10°57′51″</t>
  </si>
  <si>
    <t xml:space="preserve">65°15′53″</t>
  </si>
  <si>
    <t xml:space="preserve">12°02′08″</t>
  </si>
  <si>
    <t xml:space="preserve">68°49′30″</t>
  </si>
  <si>
    <t xml:space="preserve">12°22′32″</t>
  </si>
  <si>
    <t xml:space="preserve">69°06′45″</t>
  </si>
  <si>
    <t xml:space="preserve">23°10′42″</t>
  </si>
  <si>
    <t xml:space="preserve">75°04′08″</t>
  </si>
  <si>
    <t xml:space="preserve">Arquipélago das Bahamas</t>
  </si>
  <si>
    <t xml:space="preserve">25°09′08″</t>
  </si>
  <si>
    <t xml:space="preserve">76°07′55″</t>
  </si>
  <si>
    <t xml:space="preserve">23°37′51″</t>
  </si>
  <si>
    <t xml:space="preserve">77°40′56″</t>
  </si>
  <si>
    <t xml:space="preserve">24°22′23″</t>
  </si>
  <si>
    <t xml:space="preserve">78°08′46″</t>
  </si>
  <si>
    <t xml:space="preserve">24°38′59″</t>
  </si>
  <si>
    <t xml:space="preserve">78°29′17″</t>
  </si>
  <si>
    <t xml:space="preserve">25°45′28″</t>
  </si>
  <si>
    <t xml:space="preserve">77°52′41″</t>
  </si>
  <si>
    <t xml:space="preserve">26°35′20″</t>
  </si>
  <si>
    <t xml:space="preserve">78°43′54″</t>
  </si>
  <si>
    <t xml:space="preserve">25°32′00″</t>
  </si>
  <si>
    <t xml:space="preserve">79°17′00″</t>
  </si>
  <si>
    <t xml:space="preserve">KANCIRUK, Paul (1976)</t>
  </si>
  <si>
    <t xml:space="preserve">Bimini, Bahamas</t>
  </si>
  <si>
    <t xml:space="preserve">s1</t>
  </si>
  <si>
    <t xml:space="preserve">25°40′15″</t>
  </si>
  <si>
    <t xml:space="preserve">79°18′30″</t>
  </si>
  <si>
    <t xml:space="preserve">25°44′51″</t>
  </si>
  <si>
    <t xml:space="preserve">79°17′49″</t>
  </si>
  <si>
    <t xml:space="preserve">25°47′19″</t>
  </si>
  <si>
    <t xml:space="preserve">79°15′34″</t>
  </si>
  <si>
    <t xml:space="preserve">25°39′02″</t>
  </si>
  <si>
    <t xml:space="preserve">79°17′36″</t>
  </si>
  <si>
    <t xml:space="preserve">26°02′00″</t>
  </si>
  <si>
    <t xml:space="preserve">79°06′00″</t>
  </si>
  <si>
    <t xml:space="preserve">24°43′57″</t>
  </si>
  <si>
    <t xml:space="preserve">81°05′38″</t>
  </si>
  <si>
    <t xml:space="preserve">BEHRINGER, Donald C (2008)</t>
  </si>
  <si>
    <t xml:space="preserve">Florida Keys, USA</t>
  </si>
  <si>
    <t xml:space="preserve">1-s2.0-S002209810800097X-main</t>
  </si>
  <si>
    <t xml:space="preserve">24°44′56″</t>
  </si>
  <si>
    <t xml:space="preserve">81°02′50″</t>
  </si>
  <si>
    <t xml:space="preserve">24°46′10″</t>
  </si>
  <si>
    <t xml:space="preserve">80°58′45″</t>
  </si>
  <si>
    <t xml:space="preserve">24°47′50″</t>
  </si>
  <si>
    <t xml:space="preserve">81°01′35″</t>
  </si>
  <si>
    <t xml:space="preserve">24°49′35″</t>
  </si>
  <si>
    <t xml:space="preserve">80°58′55″</t>
  </si>
  <si>
    <t xml:space="preserve">24°49′15″</t>
  </si>
  <si>
    <t xml:space="preserve">80°55′21″</t>
  </si>
  <si>
    <t xml:space="preserve">24°49′05″</t>
  </si>
  <si>
    <t xml:space="preserve">80°52′01″</t>
  </si>
  <si>
    <t xml:space="preserve">24°52′08″</t>
  </si>
  <si>
    <t xml:space="preserve">80°50′48″</t>
  </si>
  <si>
    <t xml:space="preserve">24°51′13″</t>
  </si>
  <si>
    <t xml:space="preserve">80°46′57″</t>
  </si>
  <si>
    <t xml:space="preserve">24°53′06″</t>
  </si>
  <si>
    <t xml:space="preserve">80°45′27″</t>
  </si>
  <si>
    <t xml:space="preserve">24°41′55″</t>
  </si>
  <si>
    <t xml:space="preserve">81°23′50″</t>
  </si>
  <si>
    <t xml:space="preserve">24°44′45″</t>
  </si>
  <si>
    <t xml:space="preserve">81°26′07″</t>
  </si>
  <si>
    <t xml:space="preserve">19°41′54″</t>
  </si>
  <si>
    <t xml:space="preserve">87°27′43″</t>
  </si>
  <si>
    <t xml:space="preserve">BRIONES-FOURZÁN, Patricia (2019)</t>
  </si>
  <si>
    <t xml:space="preserve">Bahía de la Ascensión, México</t>
  </si>
  <si>
    <t xml:space="preserve">0718-560X-lajar-47-04-0694</t>
  </si>
  <si>
    <t xml:space="preserve">19°43′35″</t>
  </si>
  <si>
    <t xml:space="preserve">87°25′06″</t>
  </si>
  <si>
    <t xml:space="preserve">19°44′04″</t>
  </si>
  <si>
    <t xml:space="preserve">87°25′23″</t>
  </si>
  <si>
    <t xml:space="preserve">19°46′33″</t>
  </si>
  <si>
    <t xml:space="preserve">87°28′37″</t>
  </si>
  <si>
    <t xml:space="preserve">19°38′59″</t>
  </si>
  <si>
    <t xml:space="preserve">87°27′21″</t>
  </si>
  <si>
    <t xml:space="preserve">19°38′36″</t>
  </si>
  <si>
    <t xml:space="preserve">87°27′36″</t>
  </si>
  <si>
    <t xml:space="preserve">22°20′56″</t>
  </si>
  <si>
    <t xml:space="preserve">82°20′09″</t>
  </si>
  <si>
    <t xml:space="preserve">LOPEZTEGUI CASTILLO, Alexander; (2021)</t>
  </si>
  <si>
    <t xml:space="preserve">0034-7744-rbt-68-04-1346</t>
  </si>
  <si>
    <t xml:space="preserve">22°13′21″</t>
  </si>
  <si>
    <t xml:space="preserve">82°22′28″</t>
  </si>
  <si>
    <t xml:space="preserve">22°18′23″</t>
  </si>
  <si>
    <t xml:space="preserve">82°45′03″</t>
  </si>
  <si>
    <t xml:space="preserve">83°04′41″</t>
  </si>
  <si>
    <t xml:space="preserve">22°10′42″</t>
  </si>
  <si>
    <t xml:space="preserve">83°12′51″</t>
  </si>
  <si>
    <t xml:space="preserve">22°03′43″</t>
  </si>
  <si>
    <t xml:space="preserve">83°04′22″</t>
  </si>
  <si>
    <t xml:space="preserve">21°55′27″</t>
  </si>
  <si>
    <t xml:space="preserve">82°47′22″</t>
  </si>
  <si>
    <t xml:space="preserve">21°45′33″</t>
  </si>
  <si>
    <t xml:space="preserve">82°29′48″</t>
  </si>
  <si>
    <t xml:space="preserve">21°35′36″</t>
  </si>
  <si>
    <t xml:space="preserve">82°20′44″</t>
  </si>
  <si>
    <t xml:space="preserve">21°43′01″</t>
  </si>
  <si>
    <t xml:space="preserve">82°03′38″</t>
  </si>
  <si>
    <t xml:space="preserve">21°52′06″</t>
  </si>
  <si>
    <t xml:space="preserve">81°49′32″</t>
  </si>
  <si>
    <t xml:space="preserve">22°02′00″</t>
  </si>
  <si>
    <t xml:space="preserve">81°35′18″</t>
  </si>
  <si>
    <t xml:space="preserve">20°32′36″</t>
  </si>
  <si>
    <t xml:space="preserve">78°21′00″</t>
  </si>
  <si>
    <t xml:space="preserve">MARTÍNEZ-COELLO, Diana (2022)</t>
  </si>
  <si>
    <t xml:space="preserve">Santa cruz del sur</t>
  </si>
  <si>
    <t xml:space="preserve">0718-1957-revbiolmar-57-01-34</t>
  </si>
  <si>
    <t xml:space="preserve">20°40′14″</t>
  </si>
  <si>
    <t xml:space="preserve">78°41′15″</t>
  </si>
  <si>
    <t xml:space="preserve">21°01′12″</t>
  </si>
  <si>
    <t xml:space="preserve">79°11′32″</t>
  </si>
  <si>
    <t xml:space="preserve">22°02′36″</t>
  </si>
  <si>
    <t xml:space="preserve">81°38′11″</t>
  </si>
  <si>
    <t xml:space="preserve">22°05′54″</t>
  </si>
  <si>
    <t xml:space="preserve">81°33′56″</t>
  </si>
  <si>
    <t xml:space="preserve">22°01′07″</t>
  </si>
  <si>
    <t xml:space="preserve">81°21′43″</t>
  </si>
  <si>
    <t xml:space="preserve">09°44′15″</t>
  </si>
  <si>
    <t xml:space="preserve">82°49′28″</t>
  </si>
  <si>
    <t xml:space="preserve">GONZÁLEZ, Oscar(2011)</t>
  </si>
  <si>
    <t xml:space="preserve">Coast of Costa Rica</t>
  </si>
  <si>
    <t xml:space="preserve">art17</t>
  </si>
  <si>
    <t xml:space="preserve">82°49′19″</t>
  </si>
  <si>
    <t xml:space="preserve">09°44′48″</t>
  </si>
  <si>
    <t xml:space="preserve">82°49′08″</t>
  </si>
  <si>
    <t xml:space="preserve">09°44′36″</t>
  </si>
  <si>
    <t xml:space="preserve">82°48′23″</t>
  </si>
  <si>
    <t xml:space="preserve">09°44′29″</t>
  </si>
  <si>
    <t xml:space="preserve">82°48′32″</t>
  </si>
  <si>
    <t xml:space="preserve">09°44′16″</t>
  </si>
  <si>
    <t xml:space="preserve">82°48′30″</t>
  </si>
</sst>
</file>

<file path=xl/styles.xml><?xml version="1.0" encoding="utf-8"?>
<styleSheet xmlns="http://schemas.openxmlformats.org/spreadsheetml/2006/main">
  <numFmts count="1">
    <numFmt numFmtId="164" formatCode="General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2"/>
      <charset val="1"/>
    </font>
    <font>
      <b val="true"/>
      <u val="single"/>
      <sz val="11"/>
      <name val="Calibri"/>
      <family val="2"/>
      <charset val="1"/>
    </font>
    <font>
      <b val="true"/>
      <u val="single"/>
      <sz val="11"/>
      <name val="Arial"/>
      <family val="2"/>
      <charset val="1"/>
    </font>
    <font>
      <b val="true"/>
      <sz val="12"/>
      <name val="Arial"/>
      <family val="2"/>
      <charset val="1"/>
    </font>
    <font>
      <sz val="11"/>
      <color rgb="FF1A1A1A"/>
      <name val="Segoe UI"/>
      <family val="2"/>
      <charset val="1"/>
    </font>
    <font>
      <sz val="11"/>
      <color rgb="FF111111"/>
      <name val="Calibri"/>
      <family val="2"/>
      <charset val="1"/>
    </font>
    <font>
      <b val="true"/>
      <sz val="12"/>
      <color theme="1"/>
      <name val="Arial"/>
      <family val="2"/>
      <charset val="1"/>
    </font>
    <font>
      <b val="true"/>
      <sz val="11"/>
      <color theme="1"/>
      <name val="Calibri"/>
      <family val="2"/>
      <charset val="1"/>
    </font>
    <font>
      <i val="true"/>
      <sz val="11"/>
      <color theme="1"/>
      <name val="Calibri"/>
      <family val="2"/>
      <charset val="1"/>
    </font>
    <font>
      <sz val="11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0" tint="-0.15"/>
        <bgColor rgb="FFC0C0C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A1A1A"/>
          <bgColor rgb="FF000000"/>
        </patternFill>
      </fill>
    </dxf>
    <dxf>
      <fill>
        <patternFill patternType="solid">
          <fgColor rgb="FF11111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1A1A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Tema do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446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pane xSplit="0" ySplit="1" topLeftCell="A236" activePane="bottomLeft" state="frozen"/>
      <selection pane="topLeft" activeCell="A1" activeCellId="0" sqref="A1"/>
      <selection pane="bottomLeft" activeCell="R253" activeCellId="0" sqref="R253:R258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1" width="4.14"/>
    <col collapsed="false" customWidth="true" hidden="false" outlineLevel="0" max="2" min="2" style="1" width="25.14"/>
    <col collapsed="false" customWidth="false" hidden="false" outlineLevel="0" max="3" min="3" style="1" width="9.14"/>
    <col collapsed="false" customWidth="true" hidden="false" outlineLevel="0" max="4" min="4" style="1" width="9.71"/>
    <col collapsed="false" customWidth="true" hidden="false" outlineLevel="0" max="5" min="5" style="2" width="13.42"/>
    <col collapsed="false" customWidth="true" hidden="false" outlineLevel="0" max="6" min="6" style="2" width="12.42"/>
    <col collapsed="false" customWidth="true" hidden="false" outlineLevel="0" max="7" min="7" style="1" width="36.86"/>
    <col collapsed="false" customWidth="true" hidden="false" outlineLevel="0" max="8" min="8" style="1" width="15.29"/>
    <col collapsed="false" customWidth="true" hidden="false" outlineLevel="0" max="9" min="9" style="1" width="45"/>
    <col collapsed="false" customWidth="false" hidden="false" outlineLevel="0" max="11" min="10" style="1" width="9.14"/>
    <col collapsed="false" customWidth="true" hidden="false" outlineLevel="0" max="12" min="12" style="1" width="13"/>
    <col collapsed="false" customWidth="false" hidden="false" outlineLevel="0" max="15" min="13" style="1" width="9.14"/>
    <col collapsed="false" customWidth="true" hidden="false" outlineLevel="0" max="17" min="16" style="1" width="12.86"/>
    <col collapsed="false" customWidth="true" hidden="false" outlineLevel="0" max="18" min="18" style="1" width="84.57"/>
    <col collapsed="false" customWidth="false" hidden="false" outlineLevel="0" max="16384" min="19" style="1" width="9.14"/>
  </cols>
  <sheetData>
    <row r="1" customFormat="false" ht="15" hidden="false" customHeight="false" outlineLevel="0" collapsed="false">
      <c r="A1" s="1" t="s">
        <v>0</v>
      </c>
      <c r="B1" s="3" t="s">
        <v>1</v>
      </c>
      <c r="C1" s="3" t="s">
        <v>2</v>
      </c>
      <c r="D1" s="3" t="s">
        <v>3</v>
      </c>
      <c r="E1" s="4" t="s">
        <v>4</v>
      </c>
      <c r="F1" s="4" t="s">
        <v>5</v>
      </c>
      <c r="G1" s="3" t="s">
        <v>6</v>
      </c>
      <c r="H1" s="3" t="s">
        <v>7</v>
      </c>
      <c r="I1" s="3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6" t="s">
        <v>14</v>
      </c>
      <c r="P1" s="4" t="s">
        <v>15</v>
      </c>
      <c r="Q1" s="4" t="s">
        <v>16</v>
      </c>
      <c r="R1" s="3" t="s">
        <v>17</v>
      </c>
    </row>
    <row r="2" customFormat="false" ht="15.75" hidden="false" customHeight="true" outlineLevel="0" collapsed="false">
      <c r="A2" s="1" t="n">
        <v>1</v>
      </c>
      <c r="B2" s="1" t="s">
        <v>18</v>
      </c>
      <c r="C2" s="1" t="s">
        <v>19</v>
      </c>
      <c r="D2" s="1" t="s">
        <v>20</v>
      </c>
      <c r="E2" s="7" t="s">
        <v>21</v>
      </c>
      <c r="F2" s="7" t="s">
        <v>22</v>
      </c>
      <c r="G2" s="7" t="s">
        <v>23</v>
      </c>
      <c r="H2" s="1" t="s">
        <v>24</v>
      </c>
      <c r="I2" s="8" t="s">
        <v>25</v>
      </c>
      <c r="J2" s="1" t="str">
        <f aca="false">MID(E2,1,FIND("°",E2,1)-1)</f>
        <v>04</v>
      </c>
      <c r="K2" s="1" t="str">
        <f aca="false">MID(E2,FIND("°",E2,1)+1,(FIND("′",E2,1)-FIND("°",E2,1))-1)</f>
        <v>26</v>
      </c>
      <c r="L2" s="1" t="e">
        <f aca="false">MID(E2,FIND("′",E2,1)+1,(FIND("″",E2,1)-FIND("′",E2,1))-1)</f>
        <v>#VALUE!</v>
      </c>
      <c r="M2" s="1" t="str">
        <f aca="false">MID(F2,1,FIND("°",F2,1)-1)</f>
        <v>51</v>
      </c>
      <c r="N2" s="1" t="str">
        <f aca="false">MID(F2,FIND("°",F2,1)+1,(FIND("′",F2,1)-FIND("°",F2,1))-1)</f>
        <v>32</v>
      </c>
      <c r="O2" s="1" t="e">
        <f aca="false">MID(F2,FIND("′",F2,1)+1,(FIND("″",F2,1)-FIND("′",F2,1))-1)</f>
        <v>#VALUE!</v>
      </c>
      <c r="P2" s="2" t="e">
        <f aca="false">((((L2/60)+K2)/60)+J2)*IF(C2="S",-1, 1)</f>
        <v>#VALUE!</v>
      </c>
      <c r="Q2" s="2" t="e">
        <f aca="false">((((O2/60)+N2)/60)+M2)*IF(D2="W",-1, 1)</f>
        <v>#VALUE!</v>
      </c>
      <c r="R2" s="9" t="s">
        <v>26</v>
      </c>
    </row>
    <row r="3" customFormat="false" ht="15" hidden="false" customHeight="true" outlineLevel="0" collapsed="false">
      <c r="A3" s="1" t="n">
        <v>2</v>
      </c>
      <c r="B3" s="1" t="s">
        <v>18</v>
      </c>
      <c r="C3" s="1" t="s">
        <v>27</v>
      </c>
      <c r="D3" s="1" t="s">
        <v>20</v>
      </c>
      <c r="E3" s="10" t="s">
        <v>28</v>
      </c>
      <c r="F3" s="10" t="s">
        <v>29</v>
      </c>
      <c r="G3" s="7" t="s">
        <v>23</v>
      </c>
      <c r="H3" s="1" t="s">
        <v>24</v>
      </c>
      <c r="I3" s="11" t="s">
        <v>30</v>
      </c>
      <c r="J3" s="1" t="str">
        <f aca="false">MID(E3,1,FIND("°",E3,1)-1)</f>
        <v>29</v>
      </c>
      <c r="K3" s="1" t="str">
        <f aca="false">MID(E3,FIND("°",E3,1)+1,(FIND("′",E3,1)-FIND("°",E3,1))-1)</f>
        <v>46</v>
      </c>
      <c r="L3" s="1" t="e">
        <f aca="false">MID(E3,FIND("′",E3,1)+1,(FIND("″",E3,1)-FIND("′",E3,1))-1)</f>
        <v>#VALUE!</v>
      </c>
      <c r="M3" s="1" t="str">
        <f aca="false">MID(F3,1,FIND("°",F3,1)-1)</f>
        <v>53</v>
      </c>
      <c r="N3" s="1" t="str">
        <f aca="false">MID(F3,FIND("°",F3,1)+1,(FIND("′",F3,1)-FIND("°",F3,1))-1)</f>
        <v>10</v>
      </c>
      <c r="O3" s="1" t="e">
        <f aca="false">MID(F3,FIND("′",F3,1)+1,(FIND("″",F3,1)-FIND("′",F3,1))-1)</f>
        <v>#VALUE!</v>
      </c>
      <c r="P3" s="2" t="e">
        <f aca="false">((((L3/60)+K3)/60)+J3)*IF(C3="S",-1, 1)</f>
        <v>#VALUE!</v>
      </c>
      <c r="Q3" s="2" t="e">
        <f aca="false">((((O3/60)+N3)/60)+M3)*IF(D3="W",-1, 1)</f>
        <v>#VALUE!</v>
      </c>
      <c r="R3" s="9" t="s">
        <v>26</v>
      </c>
    </row>
    <row r="4" customFormat="false" ht="17.25" hidden="false" customHeight="true" outlineLevel="0" collapsed="false">
      <c r="A4" s="1" t="n">
        <v>3</v>
      </c>
      <c r="B4" s="1" t="s">
        <v>18</v>
      </c>
      <c r="C4" s="1" t="s">
        <v>27</v>
      </c>
      <c r="D4" s="1" t="s">
        <v>20</v>
      </c>
      <c r="E4" s="10" t="s">
        <v>31</v>
      </c>
      <c r="F4" s="10" t="s">
        <v>32</v>
      </c>
      <c r="G4" s="7" t="s">
        <v>23</v>
      </c>
      <c r="H4" s="1" t="s">
        <v>24</v>
      </c>
      <c r="I4" s="12" t="s">
        <v>33</v>
      </c>
      <c r="J4" s="1" t="str">
        <f aca="false">MID(E4,1,FIND("°",E4,1)-1)</f>
        <v>21</v>
      </c>
      <c r="K4" s="1" t="e">
        <f aca="false">MID(E4,FIND("°",E4,1)+1,(FIND("′",E4,1)-FIND("°",E4,1))-1)</f>
        <v>#VALUE!</v>
      </c>
      <c r="L4" s="1" t="e">
        <f aca="false">MID(E4,FIND("′",E4,1)+1,(FIND("″",E4,1)-FIND("′",E4,1))-1)</f>
        <v>#VALUE!</v>
      </c>
      <c r="M4" s="1" t="str">
        <f aca="false">MID(F4,1,FIND("°",F4,1)-1)</f>
        <v>40</v>
      </c>
      <c r="N4" s="1" t="e">
        <f aca="false">MID(F4,FIND("°",F4,1)+1,(FIND("′",F4,1)-FIND("°",F4,1))-1)</f>
        <v>#VALUE!</v>
      </c>
      <c r="O4" s="1" t="e">
        <f aca="false">MID(F4,FIND("′",F4,1)+1,(FIND("″",F4,1)-FIND("′",F4,1))-1)</f>
        <v>#VALUE!</v>
      </c>
      <c r="P4" s="2" t="e">
        <f aca="false">((((L4/60)+K4)/60)+J4)*IF(C4="S",-1, 1)</f>
        <v>#VALUE!</v>
      </c>
      <c r="Q4" s="2" t="e">
        <f aca="false">((((O4/60)+N4)/60)+M4)*IF(D4="W",-1, 1)</f>
        <v>#VALUE!</v>
      </c>
      <c r="R4" s="9" t="s">
        <v>26</v>
      </c>
    </row>
    <row r="5" customFormat="false" ht="15" hidden="false" customHeight="true" outlineLevel="0" collapsed="false">
      <c r="A5" s="1" t="n">
        <v>4</v>
      </c>
      <c r="B5" s="1" t="s">
        <v>18</v>
      </c>
      <c r="C5" s="1" t="s">
        <v>27</v>
      </c>
      <c r="D5" s="1" t="s">
        <v>20</v>
      </c>
      <c r="E5" s="12" t="s">
        <v>34</v>
      </c>
      <c r="F5" s="12" t="s">
        <v>35</v>
      </c>
      <c r="G5" s="7" t="s">
        <v>23</v>
      </c>
      <c r="H5" s="1" t="s">
        <v>24</v>
      </c>
      <c r="I5" s="12" t="s">
        <v>36</v>
      </c>
      <c r="J5" s="1" t="str">
        <f aca="false">MID(E5,1,FIND("°",E5,1)-1)</f>
        <v>2</v>
      </c>
      <c r="K5" s="1" t="e">
        <f aca="false">MID(E5,FIND("°",E5,1)+1,(FIND("′",E5,1)-FIND("°",E5,1))-1)</f>
        <v>#VALUE!</v>
      </c>
      <c r="L5" s="1" t="e">
        <f aca="false">MID(E5,FIND("′",E5,1)+1,(FIND("″",E5,1)-FIND("′",E5,1))-1)</f>
        <v>#VALUE!</v>
      </c>
      <c r="M5" s="1" t="str">
        <f aca="false">MID(F5,1,FIND("°",F5,1)-1)</f>
        <v>4</v>
      </c>
      <c r="N5" s="1" t="e">
        <f aca="false">MID(F5,FIND("°",F5,1)+1,(FIND("′",F5,1)-FIND("°",F5,1))-1)</f>
        <v>#VALUE!</v>
      </c>
      <c r="O5" s="1" t="e">
        <f aca="false">MID(F5,FIND("′",F5,1)+1,(FIND("″",F5,1)-FIND("′",F5,1))-1)</f>
        <v>#VALUE!</v>
      </c>
      <c r="P5" s="2" t="e">
        <f aca="false">((((L5/60)+K5)/60)+J5)*IF(C5="S",-1, 1)</f>
        <v>#VALUE!</v>
      </c>
      <c r="Q5" s="2" t="e">
        <f aca="false">((((O5/60)+N5)/60)+M5)*IF(D5="W",-1, 1)</f>
        <v>#VALUE!</v>
      </c>
      <c r="R5" s="9" t="s">
        <v>26</v>
      </c>
    </row>
    <row r="6" customFormat="false" ht="15" hidden="false" customHeight="false" outlineLevel="0" collapsed="false">
      <c r="A6" s="1" t="n">
        <v>5</v>
      </c>
      <c r="B6" s="1" t="s">
        <v>18</v>
      </c>
      <c r="C6" s="1" t="s">
        <v>27</v>
      </c>
      <c r="D6" s="1" t="s">
        <v>20</v>
      </c>
      <c r="E6" s="10" t="s">
        <v>37</v>
      </c>
      <c r="F6" s="10" t="s">
        <v>38</v>
      </c>
      <c r="G6" s="7" t="s">
        <v>23</v>
      </c>
      <c r="H6" s="1" t="s">
        <v>24</v>
      </c>
      <c r="I6" s="12" t="s">
        <v>33</v>
      </c>
      <c r="J6" s="1" t="str">
        <f aca="false">MID(E6,1,FIND("°",E6,1)-1)</f>
        <v>9</v>
      </c>
      <c r="K6" s="1" t="e">
        <f aca="false">MID(E6,FIND("°",E6,1)+1,(FIND("′",E6,1)-FIND("°",E6,1))-1)</f>
        <v>#VALUE!</v>
      </c>
      <c r="L6" s="1" t="e">
        <f aca="false">MID(E6,FIND("′",E6,1)+1,(FIND("″",E6,1)-FIND("′",E6,1))-1)</f>
        <v>#VALUE!</v>
      </c>
      <c r="M6" s="1" t="str">
        <f aca="false">MID(F6,1,FIND("°",F6,1)-1)</f>
        <v>35</v>
      </c>
      <c r="N6" s="1" t="e">
        <f aca="false">MID(F6,FIND("°",F6,1)+1,(FIND("′",F6,1)-FIND("°",F6,1))-1)</f>
        <v>#VALUE!</v>
      </c>
      <c r="O6" s="1" t="e">
        <f aca="false">MID(F6,FIND("′",F6,1)+1,(FIND("″",F6,1)-FIND("′",F6,1))-1)</f>
        <v>#VALUE!</v>
      </c>
      <c r="P6" s="2" t="e">
        <f aca="false">((((L6/60)+K6)/60)+J6)*IF(C6="S",-1, 1)</f>
        <v>#VALUE!</v>
      </c>
      <c r="Q6" s="2" t="e">
        <f aca="false">((((O6/60)+N6)/60)+M6)*IF(D6="W",-1, 1)</f>
        <v>#VALUE!</v>
      </c>
      <c r="R6" s="9" t="s">
        <v>26</v>
      </c>
    </row>
    <row r="7" customFormat="false" ht="15" hidden="false" customHeight="false" outlineLevel="0" collapsed="false">
      <c r="A7" s="1" t="n">
        <v>6</v>
      </c>
      <c r="B7" s="1" t="s">
        <v>18</v>
      </c>
      <c r="C7" s="1" t="s">
        <v>27</v>
      </c>
      <c r="D7" s="1" t="s">
        <v>20</v>
      </c>
      <c r="E7" s="7" t="s">
        <v>39</v>
      </c>
      <c r="F7" s="7" t="s">
        <v>40</v>
      </c>
      <c r="G7" s="7" t="s">
        <v>23</v>
      </c>
      <c r="H7" s="1" t="s">
        <v>24</v>
      </c>
      <c r="I7" s="12" t="s">
        <v>41</v>
      </c>
      <c r="J7" s="1" t="str">
        <f aca="false">MID(E7,1,FIND("°",E7,1)-1)</f>
        <v>2</v>
      </c>
      <c r="K7" s="1" t="str">
        <f aca="false">MID(E7,FIND("°",E7,1)+1,(FIND("′",E7,1)-FIND("°",E7,1))-1)</f>
        <v>53</v>
      </c>
      <c r="L7" s="1" t="str">
        <f aca="false">MID(E7,FIND("′",E7,1)+1,(FIND("″",E7,1)-FIND("′",E7,1))-1)</f>
        <v>22</v>
      </c>
      <c r="M7" s="1" t="str">
        <f aca="false">MID(F7,1,FIND("°",F7,1)-1)</f>
        <v>41</v>
      </c>
      <c r="N7" s="1" t="str">
        <f aca="false">MID(F7,FIND("°",F7,1)+1,(FIND("′",F7,1)-FIND("°",F7,1))-1)</f>
        <v>13</v>
      </c>
      <c r="O7" s="1" t="str">
        <f aca="false">MID(F7,FIND("′",F7,1)+1,(FIND("″",F7,1)-FIND("′",F7,1))-1)</f>
        <v>46</v>
      </c>
      <c r="P7" s="2" t="n">
        <f aca="false">((((L7/60)+K7)/60)+J7)*IF(C7="S",-1, 1)</f>
        <v>-2.88944444444444</v>
      </c>
      <c r="Q7" s="2" t="n">
        <f aca="false">((((O7/60)+N7)/60)+M7)*IF(D7="W",-1, 1)</f>
        <v>-41.2294444444445</v>
      </c>
      <c r="R7" s="9" t="s">
        <v>26</v>
      </c>
    </row>
    <row r="8" customFormat="false" ht="15" hidden="false" customHeight="false" outlineLevel="0" collapsed="false">
      <c r="A8" s="1" t="n">
        <v>7</v>
      </c>
      <c r="B8" s="1" t="s">
        <v>18</v>
      </c>
      <c r="C8" s="1" t="s">
        <v>27</v>
      </c>
      <c r="D8" s="1" t="s">
        <v>20</v>
      </c>
      <c r="E8" s="7" t="s">
        <v>42</v>
      </c>
      <c r="F8" s="2" t="s">
        <v>43</v>
      </c>
      <c r="G8" s="7" t="s">
        <v>23</v>
      </c>
      <c r="H8" s="1" t="s">
        <v>24</v>
      </c>
      <c r="I8" s="12" t="s">
        <v>41</v>
      </c>
      <c r="J8" s="1" t="str">
        <f aca="false">MID(E8,1,FIND("°",E8,1)-1)</f>
        <v>4</v>
      </c>
      <c r="K8" s="1" t="str">
        <f aca="false">MID(E8,FIND("°",E8,1)+1,(FIND("′",E8,1)-FIND("°",E8,1))-1)</f>
        <v>06</v>
      </c>
      <c r="L8" s="1" t="str">
        <f aca="false">MID(E8,FIND("′",E8,1)+1,(FIND("″",E8,1)-FIND("′",E8,1))-1)</f>
        <v>06</v>
      </c>
      <c r="M8" s="1" t="str">
        <f aca="false">MID(F8,1,FIND("°",F8,1)-1)</f>
        <v>38</v>
      </c>
      <c r="N8" s="1" t="str">
        <f aca="false">MID(F8,FIND("°",F8,1)+1,(FIND("′",F8,1)-FIND("°",F8,1))-1)</f>
        <v>08</v>
      </c>
      <c r="O8" s="1" t="str">
        <f aca="false">MID(F8,FIND("′",F8,1)+1,(FIND("″",F8,1)-FIND("′",F8,1))-1)</f>
        <v>56</v>
      </c>
      <c r="P8" s="2" t="n">
        <f aca="false">((((L8/60)+K8)/60)+J8)*IF(C8="S",-1, 1)</f>
        <v>-4.10166666666667</v>
      </c>
      <c r="Q8" s="2" t="n">
        <f aca="false">((((O8/60)+N8)/60)+M8)*IF(D8="W",-1, 1)</f>
        <v>-38.1488888888889</v>
      </c>
      <c r="R8" s="9" t="s">
        <v>26</v>
      </c>
    </row>
    <row r="9" customFormat="false" ht="15" hidden="false" customHeight="false" outlineLevel="0" collapsed="false">
      <c r="A9" s="1" t="n">
        <v>8</v>
      </c>
      <c r="B9" s="1" t="s">
        <v>44</v>
      </c>
      <c r="C9" s="1" t="s">
        <v>19</v>
      </c>
      <c r="D9" s="1" t="s">
        <v>20</v>
      </c>
      <c r="E9" s="7" t="s">
        <v>21</v>
      </c>
      <c r="F9" s="7" t="s">
        <v>22</v>
      </c>
      <c r="G9" s="7" t="s">
        <v>23</v>
      </c>
      <c r="H9" s="1" t="s">
        <v>24</v>
      </c>
      <c r="I9" s="8" t="s">
        <v>25</v>
      </c>
      <c r="J9" s="1" t="str">
        <f aca="false">MID(E9,1,FIND("°",E9,1)-1)</f>
        <v>04</v>
      </c>
      <c r="K9" s="1" t="str">
        <f aca="false">MID(E9,FIND("°",E9,1)+1,(FIND("′",E9,1)-FIND("°",E9,1))-1)</f>
        <v>26</v>
      </c>
      <c r="L9" s="1" t="e">
        <f aca="false">MID(E9,FIND("′",E9,1)+1,(FIND("″",E9,1)-FIND("′",E9,1))-1)</f>
        <v>#VALUE!</v>
      </c>
      <c r="M9" s="1" t="str">
        <f aca="false">MID(F9,1,FIND("°",F9,1)-1)</f>
        <v>51</v>
      </c>
      <c r="N9" s="1" t="str">
        <f aca="false">MID(F9,FIND("°",F9,1)+1,(FIND("′",F9,1)-FIND("°",F9,1))-1)</f>
        <v>32</v>
      </c>
      <c r="O9" s="1" t="e">
        <f aca="false">MID(F9,FIND("′",F9,1)+1,(FIND("″",F9,1)-FIND("′",F9,1))-1)</f>
        <v>#VALUE!</v>
      </c>
      <c r="P9" s="2" t="e">
        <f aca="false">((((L9/60)+K9)/60)+J9)*IF(C9="S",-1, 1)</f>
        <v>#VALUE!</v>
      </c>
      <c r="Q9" s="2" t="e">
        <f aca="false">((((O9/60)+N9)/60)+M9)*IF(D9="W",-1, 1)</f>
        <v>#VALUE!</v>
      </c>
      <c r="R9" s="9" t="s">
        <v>26</v>
      </c>
    </row>
    <row r="10" customFormat="false" ht="15" hidden="false" customHeight="false" outlineLevel="0" collapsed="false">
      <c r="A10" s="1" t="n">
        <v>9</v>
      </c>
      <c r="B10" s="1" t="s">
        <v>44</v>
      </c>
      <c r="C10" s="1" t="s">
        <v>27</v>
      </c>
      <c r="D10" s="1" t="s">
        <v>20</v>
      </c>
      <c r="E10" s="10" t="s">
        <v>28</v>
      </c>
      <c r="F10" s="10" t="s">
        <v>29</v>
      </c>
      <c r="G10" s="7" t="s">
        <v>23</v>
      </c>
      <c r="H10" s="1" t="s">
        <v>24</v>
      </c>
      <c r="I10" s="8" t="s">
        <v>30</v>
      </c>
      <c r="J10" s="1" t="str">
        <f aca="false">MID(E10,1,FIND("°",E10,1)-1)</f>
        <v>29</v>
      </c>
      <c r="K10" s="1" t="str">
        <f aca="false">MID(E10,FIND("°",E10,1)+1,(FIND("′",E10,1)-FIND("°",E10,1))-1)</f>
        <v>46</v>
      </c>
      <c r="L10" s="1" t="e">
        <f aca="false">MID(E10,FIND("′",E10,1)+1,(FIND("″",E10,1)-FIND("′",E10,1))-1)</f>
        <v>#VALUE!</v>
      </c>
      <c r="M10" s="1" t="str">
        <f aca="false">MID(F10,1,FIND("°",F10,1)-1)</f>
        <v>53</v>
      </c>
      <c r="N10" s="1" t="str">
        <f aca="false">MID(F10,FIND("°",F10,1)+1,(FIND("′",F10,1)-FIND("°",F10,1))-1)</f>
        <v>10</v>
      </c>
      <c r="O10" s="1" t="e">
        <f aca="false">MID(F10,FIND("′",F10,1)+1,(FIND("″",F10,1)-FIND("′",F10,1))-1)</f>
        <v>#VALUE!</v>
      </c>
      <c r="P10" s="2" t="e">
        <f aca="false">((((L10/60)+K10)/60)+J10)*IF(C10="S",-1, 1)</f>
        <v>#VALUE!</v>
      </c>
      <c r="Q10" s="2" t="e">
        <f aca="false">((((O10/60)+N10)/60)+M10)*IF(D10="W",-1, 1)</f>
        <v>#VALUE!</v>
      </c>
      <c r="R10" s="9" t="s">
        <v>26</v>
      </c>
    </row>
    <row r="11" customFormat="false" ht="15" hidden="false" customHeight="false" outlineLevel="0" collapsed="false">
      <c r="A11" s="1" t="n">
        <v>10</v>
      </c>
      <c r="B11" s="1" t="s">
        <v>44</v>
      </c>
      <c r="C11" s="1" t="s">
        <v>27</v>
      </c>
      <c r="D11" s="1" t="s">
        <v>20</v>
      </c>
      <c r="E11" s="10" t="s">
        <v>31</v>
      </c>
      <c r="F11" s="10" t="s">
        <v>32</v>
      </c>
      <c r="G11" s="7" t="s">
        <v>23</v>
      </c>
      <c r="H11" s="1" t="s">
        <v>24</v>
      </c>
      <c r="I11" s="12" t="s">
        <v>33</v>
      </c>
      <c r="J11" s="1" t="str">
        <f aca="false">MID(E11,1,FIND("°",E11,1)-1)</f>
        <v>21</v>
      </c>
      <c r="K11" s="1" t="e">
        <f aca="false">MID(E11,FIND("°",E11,1)+1,(FIND("′",E11,1)-FIND("°",E11,1))-1)</f>
        <v>#VALUE!</v>
      </c>
      <c r="L11" s="1" t="e">
        <f aca="false">MID(E11,FIND("′",E11,1)+1,(FIND("″",E11,1)-FIND("′",E11,1))-1)</f>
        <v>#VALUE!</v>
      </c>
      <c r="M11" s="1" t="str">
        <f aca="false">MID(F11,1,FIND("°",F11,1)-1)</f>
        <v>40</v>
      </c>
      <c r="N11" s="1" t="e">
        <f aca="false">MID(F11,FIND("°",F11,1)+1,(FIND("′",F11,1)-FIND("°",F11,1))-1)</f>
        <v>#VALUE!</v>
      </c>
      <c r="O11" s="1" t="e">
        <f aca="false">MID(F11,FIND("′",F11,1)+1,(FIND("″",F11,1)-FIND("′",F11,1))-1)</f>
        <v>#VALUE!</v>
      </c>
      <c r="P11" s="2" t="e">
        <f aca="false">((((L11/60)+K11)/60)+J11)*IF(C11="S",-1, 1)</f>
        <v>#VALUE!</v>
      </c>
      <c r="Q11" s="2" t="e">
        <f aca="false">((((O11/60)+N11)/60)+M11)*IF(D11="W",-1, 1)</f>
        <v>#VALUE!</v>
      </c>
      <c r="R11" s="9" t="s">
        <v>26</v>
      </c>
    </row>
    <row r="12" customFormat="false" ht="15" hidden="false" customHeight="false" outlineLevel="0" collapsed="false">
      <c r="A12" s="1" t="n">
        <v>11</v>
      </c>
      <c r="B12" s="1" t="s">
        <v>44</v>
      </c>
      <c r="C12" s="1" t="s">
        <v>27</v>
      </c>
      <c r="D12" s="1" t="s">
        <v>20</v>
      </c>
      <c r="E12" s="12" t="s">
        <v>34</v>
      </c>
      <c r="F12" s="12" t="s">
        <v>35</v>
      </c>
      <c r="G12" s="7" t="s">
        <v>23</v>
      </c>
      <c r="H12" s="1" t="s">
        <v>24</v>
      </c>
      <c r="I12" s="12" t="s">
        <v>36</v>
      </c>
      <c r="J12" s="1" t="str">
        <f aca="false">MID(E12,1,FIND("°",E12,1)-1)</f>
        <v>2</v>
      </c>
      <c r="K12" s="1" t="e">
        <f aca="false">MID(E12,FIND("°",E12,1)+1,(FIND("′",E12,1)-FIND("°",E12,1))-1)</f>
        <v>#VALUE!</v>
      </c>
      <c r="L12" s="1" t="e">
        <f aca="false">MID(E12,FIND("′",E12,1)+1,(FIND("″",E12,1)-FIND("′",E12,1))-1)</f>
        <v>#VALUE!</v>
      </c>
      <c r="M12" s="1" t="str">
        <f aca="false">MID(F12,1,FIND("°",F12,1)-1)</f>
        <v>4</v>
      </c>
      <c r="N12" s="1" t="e">
        <f aca="false">MID(F12,FIND("°",F12,1)+1,(FIND("′",F12,1)-FIND("°",F12,1))-1)</f>
        <v>#VALUE!</v>
      </c>
      <c r="O12" s="1" t="e">
        <f aca="false">MID(F12,FIND("′",F12,1)+1,(FIND("″",F12,1)-FIND("′",F12,1))-1)</f>
        <v>#VALUE!</v>
      </c>
      <c r="P12" s="2" t="e">
        <f aca="false">((((L12/60)+K12)/60)+J12)*IF(C12="S",-1, 1)</f>
        <v>#VALUE!</v>
      </c>
      <c r="Q12" s="2" t="e">
        <f aca="false">((((O12/60)+N12)/60)+M12)*IF(D12="W",-1, 1)</f>
        <v>#VALUE!</v>
      </c>
      <c r="R12" s="9" t="s">
        <v>26</v>
      </c>
    </row>
    <row r="13" customFormat="false" ht="15" hidden="false" customHeight="false" outlineLevel="0" collapsed="false">
      <c r="A13" s="1" t="n">
        <v>12</v>
      </c>
      <c r="B13" s="1" t="s">
        <v>44</v>
      </c>
      <c r="C13" s="1" t="s">
        <v>27</v>
      </c>
      <c r="D13" s="1" t="s">
        <v>20</v>
      </c>
      <c r="E13" s="10" t="s">
        <v>37</v>
      </c>
      <c r="F13" s="10" t="s">
        <v>38</v>
      </c>
      <c r="G13" s="7" t="s">
        <v>23</v>
      </c>
      <c r="H13" s="1" t="s">
        <v>24</v>
      </c>
      <c r="I13" s="12" t="s">
        <v>33</v>
      </c>
      <c r="J13" s="1" t="str">
        <f aca="false">MID(E13,1,FIND("°",E13,1)-1)</f>
        <v>9</v>
      </c>
      <c r="K13" s="1" t="e">
        <f aca="false">MID(E13,FIND("°",E13,1)+1,(FIND("′",E13,1)-FIND("°",E13,1))-1)</f>
        <v>#VALUE!</v>
      </c>
      <c r="L13" s="1" t="e">
        <f aca="false">MID(E13,FIND("′",E13,1)+1,(FIND("″",E13,1)-FIND("′",E13,1))-1)</f>
        <v>#VALUE!</v>
      </c>
      <c r="M13" s="1" t="str">
        <f aca="false">MID(F13,1,FIND("°",F13,1)-1)</f>
        <v>35</v>
      </c>
      <c r="N13" s="1" t="e">
        <f aca="false">MID(F13,FIND("°",F13,1)+1,(FIND("′",F13,1)-FIND("°",F13,1))-1)</f>
        <v>#VALUE!</v>
      </c>
      <c r="O13" s="1" t="e">
        <f aca="false">MID(F13,FIND("′",F13,1)+1,(FIND("″",F13,1)-FIND("′",F13,1))-1)</f>
        <v>#VALUE!</v>
      </c>
      <c r="P13" s="2" t="e">
        <f aca="false">((((L13/60)+K13)/60)+J13)*IF(C13="S",-1, 1)</f>
        <v>#VALUE!</v>
      </c>
      <c r="Q13" s="2" t="e">
        <f aca="false">((((O13/60)+N13)/60)+M13)*IF(D13="W",-1, 1)</f>
        <v>#VALUE!</v>
      </c>
      <c r="R13" s="9" t="s">
        <v>26</v>
      </c>
    </row>
    <row r="14" customFormat="false" ht="15" hidden="false" customHeight="false" outlineLevel="0" collapsed="false">
      <c r="A14" s="1" t="n">
        <v>13</v>
      </c>
      <c r="B14" s="1" t="s">
        <v>44</v>
      </c>
      <c r="C14" s="1" t="s">
        <v>27</v>
      </c>
      <c r="D14" s="1" t="s">
        <v>20</v>
      </c>
      <c r="E14" s="7" t="s">
        <v>39</v>
      </c>
      <c r="F14" s="7" t="s">
        <v>40</v>
      </c>
      <c r="G14" s="7" t="s">
        <v>23</v>
      </c>
      <c r="H14" s="1" t="s">
        <v>24</v>
      </c>
      <c r="I14" s="12" t="s">
        <v>41</v>
      </c>
      <c r="J14" s="1" t="str">
        <f aca="false">MID(E14,1,FIND("°",E14,1)-1)</f>
        <v>2</v>
      </c>
      <c r="K14" s="1" t="str">
        <f aca="false">MID(E14,FIND("°",E14,1)+1,(FIND("′",E14,1)-FIND("°",E14,1))-1)</f>
        <v>53</v>
      </c>
      <c r="L14" s="1" t="str">
        <f aca="false">MID(E14,FIND("′",E14,1)+1,(FIND("″",E14,1)-FIND("′",E14,1))-1)</f>
        <v>22</v>
      </c>
      <c r="M14" s="1" t="str">
        <f aca="false">MID(F14,1,FIND("°",F14,1)-1)</f>
        <v>41</v>
      </c>
      <c r="N14" s="1" t="str">
        <f aca="false">MID(F14,FIND("°",F14,1)+1,(FIND("′",F14,1)-FIND("°",F14,1))-1)</f>
        <v>13</v>
      </c>
      <c r="O14" s="1" t="str">
        <f aca="false">MID(F14,FIND("′",F14,1)+1,(FIND("″",F14,1)-FIND("′",F14,1))-1)</f>
        <v>46</v>
      </c>
      <c r="P14" s="2" t="n">
        <f aca="false">((((L14/60)+K14)/60)+J14)*IF(C14="S",-1, 1)</f>
        <v>-2.88944444444444</v>
      </c>
      <c r="Q14" s="2" t="n">
        <f aca="false">((((O14/60)+N14)/60)+M14)*IF(D14="W",-1, 1)</f>
        <v>-41.2294444444445</v>
      </c>
      <c r="R14" s="9" t="s">
        <v>26</v>
      </c>
    </row>
    <row r="15" customFormat="false" ht="15" hidden="false" customHeight="false" outlineLevel="0" collapsed="false">
      <c r="A15" s="1" t="n">
        <v>14</v>
      </c>
      <c r="B15" s="1" t="s">
        <v>44</v>
      </c>
      <c r="C15" s="1" t="s">
        <v>27</v>
      </c>
      <c r="D15" s="1" t="s">
        <v>20</v>
      </c>
      <c r="E15" s="7" t="s">
        <v>42</v>
      </c>
      <c r="F15" s="2" t="s">
        <v>43</v>
      </c>
      <c r="G15" s="7" t="s">
        <v>23</v>
      </c>
      <c r="H15" s="1" t="s">
        <v>24</v>
      </c>
      <c r="I15" s="12" t="s">
        <v>41</v>
      </c>
      <c r="J15" s="1" t="str">
        <f aca="false">MID(E15,1,FIND("°",E15,1)-1)</f>
        <v>4</v>
      </c>
      <c r="K15" s="1" t="str">
        <f aca="false">MID(E15,FIND("°",E15,1)+1,(FIND("′",E15,1)-FIND("°",E15,1))-1)</f>
        <v>06</v>
      </c>
      <c r="L15" s="1" t="str">
        <f aca="false">MID(E15,FIND("′",E15,1)+1,(FIND("″",E15,1)-FIND("′",E15,1))-1)</f>
        <v>06</v>
      </c>
      <c r="M15" s="1" t="str">
        <f aca="false">MID(F15,1,FIND("°",F15,1)-1)</f>
        <v>38</v>
      </c>
      <c r="N15" s="1" t="str">
        <f aca="false">MID(F15,FIND("°",F15,1)+1,(FIND("′",F15,1)-FIND("°",F15,1))-1)</f>
        <v>08</v>
      </c>
      <c r="O15" s="1" t="str">
        <f aca="false">MID(F15,FIND("′",F15,1)+1,(FIND("″",F15,1)-FIND("′",F15,1))-1)</f>
        <v>56</v>
      </c>
      <c r="P15" s="2" t="n">
        <f aca="false">((((L15/60)+K15)/60)+J15)*IF(C15="S",-1, 1)</f>
        <v>-4.10166666666667</v>
      </c>
      <c r="Q15" s="2" t="n">
        <f aca="false">((((O15/60)+N15)/60)+M15)*IF(D15="W",-1, 1)</f>
        <v>-38.1488888888889</v>
      </c>
      <c r="R15" s="9" t="s">
        <v>26</v>
      </c>
    </row>
    <row r="16" customFormat="false" ht="15" hidden="false" customHeight="false" outlineLevel="0" collapsed="false">
      <c r="A16" s="1" t="n">
        <v>15</v>
      </c>
      <c r="B16" s="1" t="s">
        <v>45</v>
      </c>
      <c r="C16" s="1" t="s">
        <v>27</v>
      </c>
      <c r="D16" s="1" t="s">
        <v>20</v>
      </c>
      <c r="E16" s="7" t="s">
        <v>46</v>
      </c>
      <c r="F16" s="7" t="s">
        <v>47</v>
      </c>
      <c r="G16" s="1" t="s">
        <v>48</v>
      </c>
      <c r="H16" s="1" t="s">
        <v>24</v>
      </c>
      <c r="I16" s="1" t="s">
        <v>49</v>
      </c>
      <c r="J16" s="1" t="str">
        <f aca="false">MID(E16,1,FIND("°",E16,1)-1)</f>
        <v>7</v>
      </c>
      <c r="K16" s="1" t="str">
        <f aca="false">MID(E16,FIND("°",E16,1)+1,(FIND("′",E16,1)-FIND("°",E16,1))-1)</f>
        <v>54</v>
      </c>
      <c r="L16" s="1" t="str">
        <f aca="false">MID(E16,FIND("′",E16,1)+1,(FIND("″",E16,1)-FIND("′",E16,1))-1)</f>
        <v>15,6</v>
      </c>
      <c r="M16" s="1" t="str">
        <f aca="false">MID(F16,1,FIND("°",F16,1)-1)</f>
        <v>34</v>
      </c>
      <c r="N16" s="1" t="str">
        <f aca="false">MID(F16,FIND("°",F16,1)+1,(FIND("′",F16,1)-FIND("°",F16,1))-1)</f>
        <v>49</v>
      </c>
      <c r="O16" s="1" t="str">
        <f aca="false">MID(F16,FIND("′",F16,1)+1,(FIND("″",F16,1)-FIND("′",F16,1))-1)</f>
        <v>14,3</v>
      </c>
      <c r="P16" s="2" t="n">
        <f aca="false">((((L16/60)+K16)/60)+J16)*IF(C16="S",-1, 1)</f>
        <v>-7.90433333333333</v>
      </c>
      <c r="Q16" s="2" t="n">
        <f aca="false">((((O16/60)+N16)/60)+M16)*IF(D16="W",-1, 1)</f>
        <v>-34.8206388888889</v>
      </c>
      <c r="R16" s="9" t="s">
        <v>50</v>
      </c>
    </row>
    <row r="17" customFormat="false" ht="15" hidden="false" customHeight="false" outlineLevel="0" collapsed="false">
      <c r="A17" s="1" t="n">
        <v>16</v>
      </c>
      <c r="B17" s="1" t="s">
        <v>45</v>
      </c>
      <c r="C17" s="1" t="s">
        <v>27</v>
      </c>
      <c r="D17" s="1" t="s">
        <v>20</v>
      </c>
      <c r="E17" s="2" t="s">
        <v>51</v>
      </c>
      <c r="F17" s="2" t="s">
        <v>52</v>
      </c>
      <c r="G17" s="13" t="s">
        <v>53</v>
      </c>
      <c r="H17" s="1" t="s">
        <v>24</v>
      </c>
      <c r="I17" s="1" t="s">
        <v>54</v>
      </c>
      <c r="J17" s="1" t="str">
        <f aca="false">MID(E17,1,FIND("°",E17,1)-1)</f>
        <v>5</v>
      </c>
      <c r="K17" s="1" t="e">
        <f aca="false">MID(E17,FIND("°",E17,1)+1,(FIND("′",E17,1)-FIND("°",E17,1))-1)</f>
        <v>#VALUE!</v>
      </c>
      <c r="L17" s="1" t="e">
        <f aca="false">MID(E17,FIND("′",E17,1)+1,(FIND("″",E17,1)-FIND("′",E17,1))-1)</f>
        <v>#VALUE!</v>
      </c>
      <c r="M17" s="1" t="str">
        <f aca="false">MID(F17,1,FIND("°",F17,1)-1)</f>
        <v>35</v>
      </c>
      <c r="N17" s="1" t="e">
        <f aca="false">MID(F17,FIND("°",F17,1)+1,(FIND("′",F17,1)-FIND("°",F17,1))-1)</f>
        <v>#VALUE!</v>
      </c>
      <c r="O17" s="1" t="e">
        <f aca="false">MID(F17,FIND("′",F17,1)+1,(FIND("″",F17,1)-FIND("′",F17,1))-1)</f>
        <v>#VALUE!</v>
      </c>
      <c r="P17" s="2" t="e">
        <f aca="false">((((L17/60)+K17)/60)+J17)*IF(C17="S",-1, 1)</f>
        <v>#VALUE!</v>
      </c>
      <c r="Q17" s="2" t="e">
        <f aca="false">((((O17/60)+N17)/60)+M17)*IF(D17="W",-1, 1)</f>
        <v>#VALUE!</v>
      </c>
      <c r="R17" s="9" t="s">
        <v>55</v>
      </c>
    </row>
    <row r="18" customFormat="false" ht="15" hidden="false" customHeight="false" outlineLevel="0" collapsed="false">
      <c r="A18" s="1" t="n">
        <v>17</v>
      </c>
      <c r="B18" s="1" t="s">
        <v>44</v>
      </c>
      <c r="C18" s="1" t="s">
        <v>27</v>
      </c>
      <c r="D18" s="1" t="s">
        <v>20</v>
      </c>
      <c r="E18" s="2" t="s">
        <v>51</v>
      </c>
      <c r="F18" s="2" t="s">
        <v>52</v>
      </c>
      <c r="G18" s="13" t="s">
        <v>53</v>
      </c>
      <c r="H18" s="1" t="s">
        <v>24</v>
      </c>
      <c r="I18" s="1" t="s">
        <v>54</v>
      </c>
      <c r="J18" s="1" t="str">
        <f aca="false">MID(E18,1,FIND("°",E18,1)-1)</f>
        <v>5</v>
      </c>
      <c r="K18" s="1" t="e">
        <f aca="false">MID(E18,FIND("°",E18,1)+1,(FIND("′",E18,1)-FIND("°",E18,1))-1)</f>
        <v>#VALUE!</v>
      </c>
      <c r="L18" s="1" t="e">
        <f aca="false">MID(E18,FIND("′",E18,1)+1,(FIND("″",E18,1)-FIND("′",E18,1))-1)</f>
        <v>#VALUE!</v>
      </c>
      <c r="M18" s="1" t="str">
        <f aca="false">MID(F18,1,FIND("°",F18,1)-1)</f>
        <v>35</v>
      </c>
      <c r="N18" s="1" t="e">
        <f aca="false">MID(F18,FIND("°",F18,1)+1,(FIND("′",F18,1)-FIND("°",F18,1))-1)</f>
        <v>#VALUE!</v>
      </c>
      <c r="O18" s="1" t="e">
        <f aca="false">MID(F18,FIND("′",F18,1)+1,(FIND("″",F18,1)-FIND("′",F18,1))-1)</f>
        <v>#VALUE!</v>
      </c>
      <c r="P18" s="2" t="e">
        <f aca="false">((((L18/60)+K18)/60)+J18)*IF(C18="S",-1, 1)</f>
        <v>#VALUE!</v>
      </c>
      <c r="Q18" s="2" t="e">
        <f aca="false">((((O18/60)+N18)/60)+M18)*IF(D18="W",-1, 1)</f>
        <v>#VALUE!</v>
      </c>
      <c r="R18" s="9" t="s">
        <v>55</v>
      </c>
    </row>
    <row r="19" customFormat="false" ht="15" hidden="false" customHeight="false" outlineLevel="0" collapsed="false">
      <c r="A19" s="1" t="n">
        <v>18</v>
      </c>
      <c r="B19" s="1" t="s">
        <v>56</v>
      </c>
      <c r="C19" s="1" t="s">
        <v>27</v>
      </c>
      <c r="D19" s="1" t="s">
        <v>20</v>
      </c>
      <c r="E19" s="7" t="s">
        <v>57</v>
      </c>
      <c r="F19" s="7" t="s">
        <v>58</v>
      </c>
      <c r="G19" s="7" t="s">
        <v>59</v>
      </c>
      <c r="H19" s="1" t="s">
        <v>24</v>
      </c>
      <c r="I19" s="1" t="s">
        <v>60</v>
      </c>
      <c r="J19" s="1" t="str">
        <f aca="false">MID(E19,1,FIND("°",E19,1)-1)</f>
        <v>08</v>
      </c>
      <c r="K19" s="1" t="str">
        <f aca="false">MID(E19,FIND("°",E19,1)+1,(FIND("′",E19,1)-FIND("°",E19,1))-1)</f>
        <v>45</v>
      </c>
      <c r="L19" s="1" t="str">
        <f aca="false">MID(E19,FIND("′",E19,1)+1,(FIND("″",E19,1)-FIND("′",E19,1))-1)</f>
        <v>31,2</v>
      </c>
      <c r="M19" s="1" t="str">
        <f aca="false">MID(F19,1,FIND("°",F19,1)-1)</f>
        <v>35</v>
      </c>
      <c r="N19" s="1" t="str">
        <f aca="false">MID(F19,FIND("°",F19,1)+1,(FIND("′",F19,1)-FIND("°",F19,1))-1)</f>
        <v>05</v>
      </c>
      <c r="O19" s="1" t="str">
        <f aca="false">MID(F19,FIND("′",F19,1)+1,(FIND("″",F19,1)-FIND("′",F19,1))-1)</f>
        <v>07,7</v>
      </c>
      <c r="P19" s="2" t="n">
        <f aca="false">((((L19/60)+K19)/60)+J19)*IF(C19="S",-1, 1)</f>
        <v>-8.75866666666667</v>
      </c>
      <c r="Q19" s="2" t="n">
        <f aca="false">((((O19/60)+N19)/60)+M19)*IF(D19="W",-1, 1)</f>
        <v>-35.0854722222222</v>
      </c>
      <c r="R19" s="9" t="s">
        <v>61</v>
      </c>
    </row>
    <row r="20" customFormat="false" ht="15" hidden="false" customHeight="false" outlineLevel="0" collapsed="false">
      <c r="A20" s="1" t="n">
        <v>19</v>
      </c>
      <c r="B20" s="1" t="s">
        <v>56</v>
      </c>
      <c r="C20" s="1" t="s">
        <v>27</v>
      </c>
      <c r="D20" s="1" t="s">
        <v>20</v>
      </c>
      <c r="E20" s="7" t="s">
        <v>62</v>
      </c>
      <c r="F20" s="14" t="s">
        <v>63</v>
      </c>
      <c r="G20" s="7" t="s">
        <v>59</v>
      </c>
      <c r="H20" s="1" t="s">
        <v>24</v>
      </c>
      <c r="I20" s="1" t="s">
        <v>60</v>
      </c>
      <c r="J20" s="1" t="str">
        <f aca="false">MID(E20,1,FIND("°",E20,1)-1)</f>
        <v>08</v>
      </c>
      <c r="K20" s="1" t="str">
        <f aca="false">MID(E20,FIND("°",E20,1)+1,(FIND("′",E20,1)-FIND("°",E20,1))-1)</f>
        <v>46</v>
      </c>
      <c r="L20" s="1" t="str">
        <f aca="false">MID(E20,FIND("′",E20,1)+1,(FIND("″",E20,1)-FIND("′",E20,1))-1)</f>
        <v>57,2</v>
      </c>
      <c r="M20" s="1" t="str">
        <f aca="false">MID(F20,1,FIND("°",F20,1)-1)</f>
        <v>35</v>
      </c>
      <c r="N20" s="1" t="str">
        <f aca="false">MID(F20,FIND("°",F20,1)+1,(FIND("′",F20,1)-FIND("°",F20,1))-1)</f>
        <v>05</v>
      </c>
      <c r="O20" s="1" t="str">
        <f aca="false">MID(F20,FIND("′",F20,1)+1,(FIND("″",F20,1)-FIND("′",F20,1))-1)</f>
        <v>48,9</v>
      </c>
      <c r="P20" s="2" t="n">
        <f aca="false">((((L20/60)+K20)/60)+J20)*IF(C20="S",-1, 1)</f>
        <v>-8.78255555555556</v>
      </c>
      <c r="Q20" s="2" t="n">
        <f aca="false">((((O20/60)+N20)/60)+M20)*IF(D20="W",-1, 1)</f>
        <v>-35.0969166666667</v>
      </c>
      <c r="R20" s="9" t="s">
        <v>61</v>
      </c>
    </row>
    <row r="21" customFormat="false" ht="15" hidden="false" customHeight="false" outlineLevel="0" collapsed="false">
      <c r="A21" s="1" t="n">
        <v>20</v>
      </c>
      <c r="B21" s="1" t="s">
        <v>56</v>
      </c>
      <c r="C21" s="1" t="s">
        <v>27</v>
      </c>
      <c r="D21" s="1" t="s">
        <v>20</v>
      </c>
      <c r="E21" s="7" t="s">
        <v>64</v>
      </c>
      <c r="F21" s="2" t="s">
        <v>65</v>
      </c>
      <c r="G21" s="7" t="s">
        <v>59</v>
      </c>
      <c r="H21" s="1" t="s">
        <v>24</v>
      </c>
      <c r="I21" s="1" t="s">
        <v>66</v>
      </c>
      <c r="J21" s="1" t="str">
        <f aca="false">MID(E21,1,FIND("°",E21,1)-1)</f>
        <v>08</v>
      </c>
      <c r="K21" s="1" t="str">
        <f aca="false">MID(E21,FIND("°",E21,1)+1,(FIND("′",E21,1)-FIND("°",E21,1))-1)</f>
        <v>45</v>
      </c>
      <c r="L21" s="1" t="str">
        <f aca="false">MID(E21,FIND("′",E21,1)+1,(FIND("″",E21,1)-FIND("′",E21,1))-1)</f>
        <v>35,0</v>
      </c>
      <c r="M21" s="1" t="str">
        <f aca="false">MID(F21,1,FIND("°",F21,1)-1)</f>
        <v> 35</v>
      </c>
      <c r="N21" s="1" t="str">
        <f aca="false">MID(F21,FIND("°",F21,1)+1,(FIND("′",F21,1)-FIND("°",F21,1))-1)</f>
        <v>04</v>
      </c>
      <c r="O21" s="1" t="str">
        <f aca="false">MID(F21,FIND("′",F21,1)+1,(FIND("″",F21,1)-FIND("′",F21,1))-1)</f>
        <v>57,5</v>
      </c>
      <c r="P21" s="2" t="n">
        <f aca="false">((((L21/60)+K21)/60)+J21)*IF(C21="S",-1, 1)</f>
        <v>-8.75972222222222</v>
      </c>
      <c r="Q21" s="2" t="n">
        <f aca="false">((((O21/60)+N21)/60)+M21)*IF(D21="W",-1, 1)</f>
        <v>-35.0826388888889</v>
      </c>
      <c r="R21" s="9" t="s">
        <v>61</v>
      </c>
    </row>
    <row r="22" customFormat="false" ht="15" hidden="false" customHeight="false" outlineLevel="0" collapsed="false">
      <c r="A22" s="1" t="n">
        <v>21</v>
      </c>
      <c r="B22" s="1" t="s">
        <v>56</v>
      </c>
      <c r="C22" s="1" t="s">
        <v>27</v>
      </c>
      <c r="D22" s="1" t="s">
        <v>20</v>
      </c>
      <c r="E22" s="7" t="s">
        <v>67</v>
      </c>
      <c r="F22" s="2" t="s">
        <v>68</v>
      </c>
      <c r="G22" s="7" t="s">
        <v>59</v>
      </c>
      <c r="H22" s="1" t="s">
        <v>24</v>
      </c>
      <c r="I22" s="1" t="s">
        <v>66</v>
      </c>
      <c r="J22" s="1" t="str">
        <f aca="false">MID(E22,1,FIND("°",E22,1)-1)</f>
        <v>08</v>
      </c>
      <c r="K22" s="1" t="str">
        <f aca="false">MID(E22,FIND("°",E22,1)+1,(FIND("′",E22,1)-FIND("°",E22,1))-1)</f>
        <v>47</v>
      </c>
      <c r="L22" s="1" t="str">
        <f aca="false">MID(E22,FIND("′",E22,1)+1,(FIND("″",E22,1)-FIND("′",E22,1))-1)</f>
        <v>01,2</v>
      </c>
      <c r="M22" s="1" t="str">
        <f aca="false">MID(F22,1,FIND("°",F22,1)-1)</f>
        <v>35</v>
      </c>
      <c r="N22" s="1" t="str">
        <f aca="false">MID(F22,FIND("°",F22,1)+1,(FIND("′",F22,1)-FIND("°",F22,1))-1)</f>
        <v>05</v>
      </c>
      <c r="O22" s="1" t="str">
        <f aca="false">MID(F22,FIND("′",F22,1)+1,(FIND("″",F22,1)-FIND("′",F22,1))-1)</f>
        <v>42,0</v>
      </c>
      <c r="P22" s="2" t="n">
        <f aca="false">((((L22/60)+K22)/60)+J22)*IF(C22="S",-1, 1)</f>
        <v>-8.78366666666667</v>
      </c>
      <c r="Q22" s="2" t="n">
        <f aca="false">((((O22/60)+N22)/60)+M22)*IF(D22="W",-1, 1)</f>
        <v>-35.095</v>
      </c>
      <c r="R22" s="9" t="s">
        <v>61</v>
      </c>
    </row>
    <row r="23" customFormat="false" ht="15" hidden="false" customHeight="false" outlineLevel="0" collapsed="false">
      <c r="A23" s="1" t="n">
        <v>22</v>
      </c>
      <c r="B23" s="1" t="s">
        <v>44</v>
      </c>
      <c r="C23" s="1" t="s">
        <v>27</v>
      </c>
      <c r="D23" s="1" t="s">
        <v>20</v>
      </c>
      <c r="E23" s="7" t="s">
        <v>69</v>
      </c>
      <c r="F23" s="7" t="s">
        <v>70</v>
      </c>
      <c r="G23" s="1" t="s">
        <v>71</v>
      </c>
      <c r="H23" s="1" t="s">
        <v>24</v>
      </c>
      <c r="I23" s="15" t="s">
        <v>72</v>
      </c>
      <c r="J23" s="1" t="str">
        <f aca="false">MID(E23,1,FIND("°",E23,1)-1)</f>
        <v>8</v>
      </c>
      <c r="K23" s="1" t="str">
        <f aca="false">MID(E23,FIND("°",E23,1)+1,(FIND("′",E23,1)-FIND("°",E23,1))-1)</f>
        <v>30</v>
      </c>
      <c r="L23" s="1" t="str">
        <f aca="false">MID(E23,FIND("′",E23,1)+1,(FIND("″",E23,1)-FIND("′",E23,1))-1)</f>
        <v>07</v>
      </c>
      <c r="M23" s="1" t="str">
        <f aca="false">MID(F23,1,FIND("°",F23,1)-1)</f>
        <v>35</v>
      </c>
      <c r="N23" s="1" t="str">
        <f aca="false">MID(F23,FIND("°",F23,1)+1,(FIND("′",F23,1)-FIND("°",F23,1))-1)</f>
        <v>00</v>
      </c>
      <c r="O23" s="1" t="str">
        <f aca="false">MID(F23,FIND("′",F23,1)+1,(FIND("″",F23,1)-FIND("′",F23,1))-1)</f>
        <v>08</v>
      </c>
      <c r="P23" s="2" t="n">
        <f aca="false">((((L23/60)+K23)/60)+J23)*IF(C23="S",-1, 1)</f>
        <v>-8.50194444444444</v>
      </c>
      <c r="Q23" s="2" t="n">
        <f aca="false">((((O23/60)+N23)/60)+M23)*IF(D23="W",-1, 1)</f>
        <v>-35.0022222222222</v>
      </c>
      <c r="R23" s="16" t="s">
        <v>73</v>
      </c>
    </row>
    <row r="24" customFormat="false" ht="15" hidden="false" customHeight="false" outlineLevel="0" collapsed="false">
      <c r="A24" s="1" t="n">
        <v>23</v>
      </c>
      <c r="B24" s="1" t="s">
        <v>56</v>
      </c>
      <c r="C24" s="1" t="s">
        <v>27</v>
      </c>
      <c r="D24" s="1" t="s">
        <v>20</v>
      </c>
      <c r="E24" s="7" t="s">
        <v>69</v>
      </c>
      <c r="F24" s="7" t="s">
        <v>70</v>
      </c>
      <c r="G24" s="1" t="s">
        <v>71</v>
      </c>
      <c r="H24" s="1" t="s">
        <v>24</v>
      </c>
      <c r="I24" s="15" t="s">
        <v>72</v>
      </c>
      <c r="J24" s="1" t="str">
        <f aca="false">MID(E24,1,FIND("°",E24,1)-1)</f>
        <v>8</v>
      </c>
      <c r="K24" s="1" t="str">
        <f aca="false">MID(E24,FIND("°",E24,1)+1,(FIND("′",E24,1)-FIND("°",E24,1))-1)</f>
        <v>30</v>
      </c>
      <c r="L24" s="1" t="str">
        <f aca="false">MID(E24,FIND("′",E24,1)+1,(FIND("″",E24,1)-FIND("′",E24,1))-1)</f>
        <v>07</v>
      </c>
      <c r="M24" s="1" t="str">
        <f aca="false">MID(F24,1,FIND("°",F24,1)-1)</f>
        <v>35</v>
      </c>
      <c r="N24" s="1" t="str">
        <f aca="false">MID(F24,FIND("°",F24,1)+1,(FIND("′",F24,1)-FIND("°",F24,1))-1)</f>
        <v>00</v>
      </c>
      <c r="O24" s="1" t="str">
        <f aca="false">MID(F24,FIND("′",F24,1)+1,(FIND("″",F24,1)-FIND("′",F24,1))-1)</f>
        <v>08</v>
      </c>
      <c r="P24" s="2" t="n">
        <f aca="false">((((L24/60)+K24)/60)+J24)*IF(C24="S",-1, 1)</f>
        <v>-8.50194444444444</v>
      </c>
      <c r="Q24" s="2" t="n">
        <f aca="false">((((O24/60)+N24)/60)+M24)*IF(D24="W",-1, 1)</f>
        <v>-35.0022222222222</v>
      </c>
      <c r="R24" s="16" t="s">
        <v>73</v>
      </c>
    </row>
    <row r="25" customFormat="false" ht="15" hidden="false" customHeight="false" outlineLevel="0" collapsed="false">
      <c r="A25" s="1" t="n">
        <v>24</v>
      </c>
      <c r="B25" s="1" t="s">
        <v>45</v>
      </c>
      <c r="C25" s="1" t="s">
        <v>27</v>
      </c>
      <c r="D25" s="1" t="s">
        <v>20</v>
      </c>
      <c r="E25" s="7" t="s">
        <v>69</v>
      </c>
      <c r="F25" s="7" t="s">
        <v>70</v>
      </c>
      <c r="G25" s="1" t="s">
        <v>71</v>
      </c>
      <c r="H25" s="1" t="s">
        <v>24</v>
      </c>
      <c r="I25" s="15" t="s">
        <v>72</v>
      </c>
      <c r="J25" s="1" t="str">
        <f aca="false">MID(E25,1,FIND("°",E25,1)-1)</f>
        <v>8</v>
      </c>
      <c r="K25" s="1" t="str">
        <f aca="false">MID(E25,FIND("°",E25,1)+1,(FIND("′",E25,1)-FIND("°",E25,1))-1)</f>
        <v>30</v>
      </c>
      <c r="L25" s="1" t="str">
        <f aca="false">MID(E25,FIND("′",E25,1)+1,(FIND("″",E25,1)-FIND("′",E25,1))-1)</f>
        <v>07</v>
      </c>
      <c r="M25" s="1" t="str">
        <f aca="false">MID(F25,1,FIND("°",F25,1)-1)</f>
        <v>35</v>
      </c>
      <c r="N25" s="1" t="str">
        <f aca="false">MID(F25,FIND("°",F25,1)+1,(FIND("′",F25,1)-FIND("°",F25,1))-1)</f>
        <v>00</v>
      </c>
      <c r="O25" s="1" t="str">
        <f aca="false">MID(F25,FIND("′",F25,1)+1,(FIND("″",F25,1)-FIND("′",F25,1))-1)</f>
        <v>08</v>
      </c>
      <c r="P25" s="2" t="n">
        <f aca="false">((((L25/60)+K25)/60)+J25)*IF(C25="S",-1, 1)</f>
        <v>-8.50194444444444</v>
      </c>
      <c r="Q25" s="2" t="n">
        <f aca="false">((((O25/60)+N25)/60)+M25)*IF(D25="W",-1, 1)</f>
        <v>-35.0022222222222</v>
      </c>
      <c r="R25" s="16" t="s">
        <v>73</v>
      </c>
    </row>
    <row r="26" customFormat="false" ht="15" hidden="false" customHeight="false" outlineLevel="0" collapsed="false">
      <c r="A26" s="1" t="n">
        <v>25</v>
      </c>
      <c r="B26" s="1" t="s">
        <v>44</v>
      </c>
      <c r="C26" s="1" t="s">
        <v>27</v>
      </c>
      <c r="D26" s="1" t="s">
        <v>20</v>
      </c>
      <c r="E26" s="7" t="s">
        <v>74</v>
      </c>
      <c r="F26" s="7" t="s">
        <v>75</v>
      </c>
      <c r="G26" s="1" t="s">
        <v>71</v>
      </c>
      <c r="H26" s="1" t="s">
        <v>24</v>
      </c>
      <c r="I26" s="1" t="s">
        <v>76</v>
      </c>
      <c r="J26" s="1" t="str">
        <f aca="false">MID(E26,1,FIND("°",E26,1)-1)</f>
        <v>08</v>
      </c>
      <c r="K26" s="1" t="str">
        <f aca="false">MID(E26,FIND("°",E26,1)+1,(FIND("′",E26,1)-FIND("°",E26,1))-1)</f>
        <v>44</v>
      </c>
      <c r="L26" s="1" t="str">
        <f aca="false">MID(E26,FIND("′",E26,1)+1,(FIND("″",E26,1)-FIND("′",E26,1))-1)</f>
        <v>23</v>
      </c>
      <c r="M26" s="1" t="str">
        <f aca="false">MID(F26,1,FIND("°",F26,1)-1)</f>
        <v>35</v>
      </c>
      <c r="N26" s="1" t="str">
        <f aca="false">MID(F26,FIND("°",F26,1)+1,(FIND("′",F26,1)-FIND("°",F26,1))-1)</f>
        <v>02</v>
      </c>
      <c r="O26" s="1" t="str">
        <f aca="false">MID(F26,FIND("′",F26,1)+1,(FIND("″",F26,1)-FIND("′",F26,1))-1)</f>
        <v>28</v>
      </c>
      <c r="P26" s="2" t="n">
        <f aca="false">((((L26/60)+K26)/60)+J26)*IF(C26="S",-1, 1)</f>
        <v>-8.73972222222222</v>
      </c>
      <c r="Q26" s="2" t="n">
        <f aca="false">((((O26/60)+N26)/60)+M26)*IF(D26="W",-1, 1)</f>
        <v>-35.0411111111111</v>
      </c>
      <c r="R26" s="16" t="s">
        <v>73</v>
      </c>
    </row>
    <row r="27" customFormat="false" ht="15" hidden="false" customHeight="false" outlineLevel="0" collapsed="false">
      <c r="A27" s="1" t="n">
        <v>26</v>
      </c>
      <c r="B27" s="1" t="s">
        <v>44</v>
      </c>
      <c r="C27" s="1" t="s">
        <v>27</v>
      </c>
      <c r="D27" s="1" t="s">
        <v>20</v>
      </c>
      <c r="E27" s="7" t="s">
        <v>77</v>
      </c>
      <c r="F27" s="7" t="s">
        <v>78</v>
      </c>
      <c r="G27" s="7" t="s">
        <v>79</v>
      </c>
      <c r="H27" s="1" t="s">
        <v>24</v>
      </c>
      <c r="I27" s="7" t="s">
        <v>80</v>
      </c>
      <c r="J27" s="1" t="str">
        <f aca="false">MID(E27,1,FIND("°",E27,1)-1)</f>
        <v>20</v>
      </c>
      <c r="K27" s="1" t="str">
        <f aca="false">MID(E27,FIND("°",E27,1)+1,(FIND("′",E27,1)-FIND("°",E27,1))-1)</f>
        <v>39</v>
      </c>
      <c r="L27" s="1" t="e">
        <f aca="false">MID(E27,FIND("′",E27,1)+1,(FIND("″",E27,1)-FIND("′",E27,1))-1)</f>
        <v>#VALUE!</v>
      </c>
      <c r="M27" s="1" t="str">
        <f aca="false">MID(F27,1,FIND("°",F27,1)-1)</f>
        <v>40</v>
      </c>
      <c r="N27" s="1" t="str">
        <f aca="false">MID(F27,FIND("°",F27,1)+1,(FIND("′",F27,1)-FIND("°",F27,1))-1)</f>
        <v>30</v>
      </c>
      <c r="O27" s="1" t="e">
        <f aca="false">MID(F27,FIND("′",F27,1)+1,(FIND("″",F27,1)-FIND("′",F27,1))-1)</f>
        <v>#VALUE!</v>
      </c>
      <c r="P27" s="2" t="e">
        <f aca="false">((((L27/60)+K27)/60)+J27)*IF(C27="S",-1, 1)</f>
        <v>#VALUE!</v>
      </c>
      <c r="Q27" s="2" t="e">
        <f aca="false">((((O27/60)+N27)/60)+M27)*IF(D27="W",-1, 1)</f>
        <v>#VALUE!</v>
      </c>
      <c r="R27" s="16" t="s">
        <v>81</v>
      </c>
    </row>
    <row r="28" customFormat="false" ht="15" hidden="false" customHeight="false" outlineLevel="0" collapsed="false">
      <c r="A28" s="1" t="n">
        <v>27</v>
      </c>
      <c r="B28" s="1" t="s">
        <v>44</v>
      </c>
      <c r="C28" s="1" t="s">
        <v>27</v>
      </c>
      <c r="D28" s="1" t="s">
        <v>20</v>
      </c>
      <c r="E28" s="7" t="s">
        <v>82</v>
      </c>
      <c r="F28" s="7" t="s">
        <v>83</v>
      </c>
      <c r="G28" s="7" t="s">
        <v>79</v>
      </c>
      <c r="H28" s="1" t="s">
        <v>24</v>
      </c>
      <c r="I28" s="7" t="s">
        <v>84</v>
      </c>
      <c r="J28" s="1" t="str">
        <f aca="false">MID(E28,1,FIND("°",E28,1)-1)</f>
        <v>20</v>
      </c>
      <c r="K28" s="1" t="str">
        <f aca="false">MID(E28,FIND("°",E28,1)+1,(FIND("′",E28,1)-FIND("°",E28,1))-1)</f>
        <v>43</v>
      </c>
      <c r="L28" s="1" t="e">
        <f aca="false">MID(E28,FIND("′",E28,1)+1,(FIND("″",E28,1)-FIND("′",E28,1))-1)</f>
        <v>#VALUE!</v>
      </c>
      <c r="M28" s="1" t="str">
        <f aca="false">MID(F28,1,FIND("°",F28,1)-1)</f>
        <v>40</v>
      </c>
      <c r="N28" s="1" t="str">
        <f aca="false">MID(F28,FIND("°",F28,1)+1,(FIND("′",F28,1)-FIND("°",F28,1))-1)</f>
        <v>46</v>
      </c>
      <c r="O28" s="1" t="e">
        <f aca="false">MID(F28,FIND("′",F28,1)+1,(FIND("″",F28,1)-FIND("′",F28,1))-1)</f>
        <v>#VALUE!</v>
      </c>
      <c r="P28" s="2" t="e">
        <f aca="false">((((L28/60)+K28)/60)+J28)*IF(C28="S",-1, 1)</f>
        <v>#VALUE!</v>
      </c>
      <c r="Q28" s="2" t="e">
        <f aca="false">((((O28/60)+N28)/60)+M28)*IF(D28="W",-1, 1)</f>
        <v>#VALUE!</v>
      </c>
      <c r="R28" s="16" t="s">
        <v>81</v>
      </c>
    </row>
    <row r="29" customFormat="false" ht="15" hidden="false" customHeight="false" outlineLevel="0" collapsed="false">
      <c r="A29" s="1" t="n">
        <v>28</v>
      </c>
      <c r="B29" s="1" t="s">
        <v>44</v>
      </c>
      <c r="C29" s="1" t="s">
        <v>27</v>
      </c>
      <c r="D29" s="1" t="s">
        <v>20</v>
      </c>
      <c r="E29" s="7" t="s">
        <v>85</v>
      </c>
      <c r="F29" s="7" t="s">
        <v>86</v>
      </c>
      <c r="G29" s="7" t="s">
        <v>79</v>
      </c>
      <c r="H29" s="1" t="s">
        <v>24</v>
      </c>
      <c r="I29" s="7" t="s">
        <v>87</v>
      </c>
      <c r="J29" s="1" t="str">
        <f aca="false">MID(E29,1,FIND("°",E29,1)-1)</f>
        <v>21</v>
      </c>
      <c r="K29" s="1" t="str">
        <f aca="false">MID(E29,FIND("°",E29,1)+1,(FIND("′",E29,1)-FIND("°",E29,1))-1)</f>
        <v>02</v>
      </c>
      <c r="L29" s="1" t="e">
        <f aca="false">MID(E29,FIND("′",E29,1)+1,(FIND("″",E29,1)-FIND("′",E29,1))-1)</f>
        <v>#VALUE!</v>
      </c>
      <c r="M29" s="1" t="str">
        <f aca="false">MID(F29,1,FIND("°",F29,1)-1)</f>
        <v>40</v>
      </c>
      <c r="N29" s="1" t="str">
        <f aca="false">MID(F29,FIND("°",F29,1)+1,(FIND("′",F29,1)-FIND("°",F29,1))-1)</f>
        <v>49</v>
      </c>
      <c r="O29" s="1" t="e">
        <f aca="false">MID(F29,FIND("′",F29,1)+1,(FIND("″",F29,1)-FIND("′",F29,1))-1)</f>
        <v>#VALUE!</v>
      </c>
      <c r="P29" s="2" t="e">
        <f aca="false">((((L29/60)+K29)/60)+J29)*IF(C29="S",-1, 1)</f>
        <v>#VALUE!</v>
      </c>
      <c r="Q29" s="2" t="e">
        <f aca="false">((((O29/60)+N29)/60)+M29)*IF(D29="W",-1, 1)</f>
        <v>#VALUE!</v>
      </c>
      <c r="R29" s="16" t="s">
        <v>81</v>
      </c>
    </row>
    <row r="30" customFormat="false" ht="15" hidden="false" customHeight="false" outlineLevel="0" collapsed="false">
      <c r="A30" s="1" t="n">
        <v>29</v>
      </c>
      <c r="B30" s="1" t="s">
        <v>56</v>
      </c>
      <c r="C30" s="1" t="s">
        <v>19</v>
      </c>
      <c r="D30" s="1" t="s">
        <v>20</v>
      </c>
      <c r="E30" s="7" t="s">
        <v>88</v>
      </c>
      <c r="F30" s="7" t="s">
        <v>89</v>
      </c>
      <c r="G30" s="7" t="s">
        <v>90</v>
      </c>
      <c r="H30" s="1" t="s">
        <v>24</v>
      </c>
      <c r="I30" s="15" t="s">
        <v>91</v>
      </c>
      <c r="J30" s="1" t="str">
        <f aca="false">MID(E30,1,FIND("°",E30,1)-1)</f>
        <v>0</v>
      </c>
      <c r="K30" s="1" t="str">
        <f aca="false">MID(E30,FIND("°",E30,1)+1,(FIND("′",E30,1)-FIND("°",E30,1))-1)</f>
        <v>55</v>
      </c>
      <c r="L30" s="1" t="str">
        <f aca="false">MID(E30,FIND("′",E30,1)+1,(FIND("″",E30,1)-FIND("′",E30,1))-1)</f>
        <v>10</v>
      </c>
      <c r="M30" s="1" t="str">
        <f aca="false">MID(F30,1,FIND("°",F30,1)-1)</f>
        <v>29</v>
      </c>
      <c r="N30" s="1" t="str">
        <f aca="false">MID(F30,FIND("°",F30,1)+1,(FIND("′",F30,1)-FIND("°",F30,1))-1)</f>
        <v>20</v>
      </c>
      <c r="O30" s="1" t="str">
        <f aca="false">MID(F30,FIND("′",F30,1)+1,(FIND("″",F30,1)-FIND("′",F30,1))-1)</f>
        <v>33</v>
      </c>
      <c r="P30" s="2" t="n">
        <f aca="false">((((L30/60)+K30)/60)+J30)*IF(C30="S",-1, 1)</f>
        <v>0.919444444444444</v>
      </c>
      <c r="Q30" s="2" t="n">
        <f aca="false">((((O30/60)+N30)/60)+M30)*IF(D30="W",-1, 1)</f>
        <v>-29.3425</v>
      </c>
      <c r="R30" s="16" t="s">
        <v>92</v>
      </c>
    </row>
    <row r="31" customFormat="false" ht="15" hidden="false" customHeight="false" outlineLevel="0" collapsed="false">
      <c r="A31" s="1" t="n">
        <v>30</v>
      </c>
      <c r="B31" s="1" t="s">
        <v>56</v>
      </c>
      <c r="C31" s="1" t="s">
        <v>19</v>
      </c>
      <c r="D31" s="1" t="s">
        <v>20</v>
      </c>
      <c r="E31" s="7" t="s">
        <v>93</v>
      </c>
      <c r="F31" s="7" t="s">
        <v>94</v>
      </c>
      <c r="G31" s="7" t="s">
        <v>90</v>
      </c>
      <c r="H31" s="1" t="s">
        <v>24</v>
      </c>
      <c r="I31" s="15" t="s">
        <v>91</v>
      </c>
      <c r="J31" s="1" t="str">
        <f aca="false">MID(E31,1,FIND("°",E31,1)-1)</f>
        <v>0</v>
      </c>
      <c r="K31" s="1" t="str">
        <f aca="false">MID(E31,FIND("°",E31,1)+1,(FIND("′",E31,1)-FIND("°",E31,1))-1)</f>
        <v>54.787</v>
      </c>
      <c r="L31" s="1" t="e">
        <f aca="false">MID(E31,FIND("′",E31,1)+1,(FIND("″",E31,1)-FIND("′",E31,1))-1)</f>
        <v>#VALUE!</v>
      </c>
      <c r="M31" s="1" t="str">
        <f aca="false">MID(F31,1,FIND("°",F31,1)-1)</f>
        <v>29</v>
      </c>
      <c r="N31" s="1" t="str">
        <f aca="false">MID(F31,FIND("°",F31,1)+1,(FIND("′",F31,1)-FIND("°",F31,1))-1)</f>
        <v>21.451</v>
      </c>
      <c r="O31" s="1" t="e">
        <f aca="false">MID(F31,FIND("′",F31,1)+1,(FIND("″",F31,1)-FIND("′",F31,1))-1)</f>
        <v>#VALUE!</v>
      </c>
      <c r="P31" s="2" t="e">
        <f aca="false">((((L31/60)+K31)/60)+J31)*IF(C31="S",-1, 1)</f>
        <v>#VALUE!</v>
      </c>
      <c r="Q31" s="2" t="e">
        <f aca="false">((((O31/60)+N31)/60)+M31)*IF(D31="W",-1, 1)</f>
        <v>#VALUE!</v>
      </c>
      <c r="R31" s="16" t="s">
        <v>92</v>
      </c>
    </row>
    <row r="32" customFormat="false" ht="15" hidden="false" customHeight="false" outlineLevel="0" collapsed="false">
      <c r="A32" s="1" t="n">
        <v>31</v>
      </c>
      <c r="B32" s="1" t="s">
        <v>56</v>
      </c>
      <c r="C32" s="1" t="s">
        <v>19</v>
      </c>
      <c r="D32" s="1" t="s">
        <v>20</v>
      </c>
      <c r="E32" s="7" t="s">
        <v>95</v>
      </c>
      <c r="F32" s="2" t="s">
        <v>96</v>
      </c>
      <c r="G32" s="7" t="s">
        <v>90</v>
      </c>
      <c r="H32" s="1" t="s">
        <v>24</v>
      </c>
      <c r="I32" s="15" t="s">
        <v>91</v>
      </c>
      <c r="J32" s="1" t="str">
        <f aca="false">MID(E32,1,FIND("°",E32,1)-1)</f>
        <v>0</v>
      </c>
      <c r="K32" s="1" t="str">
        <f aca="false">MID(E32,FIND("°",E32,1)+1,(FIND("′",E32,1)-FIND("°",E32,1))-1)</f>
        <v>55.681</v>
      </c>
      <c r="L32" s="1" t="e">
        <f aca="false">MID(E32,FIND("′",E32,1)+1,(FIND("″",E32,1)-FIND("′",E32,1))-1)</f>
        <v>#VALUE!</v>
      </c>
      <c r="M32" s="1" t="str">
        <f aca="false">MID(F32,1,FIND("°",F32,1)-1)</f>
        <v>29</v>
      </c>
      <c r="N32" s="1" t="str">
        <f aca="false">MID(F32,FIND("°",F32,1)+1,(FIND("′",F32,1)-FIND("°",F32,1))-1)</f>
        <v>19.804</v>
      </c>
      <c r="O32" s="1" t="e">
        <f aca="false">MID(F32,FIND("′",F32,1)+1,(FIND("″",F32,1)-FIND("′",F32,1))-1)</f>
        <v>#VALUE!</v>
      </c>
      <c r="P32" s="2" t="e">
        <f aca="false">((((L32/60)+K32)/60)+J32)*IF(C32="S",-1, 1)</f>
        <v>#VALUE!</v>
      </c>
      <c r="Q32" s="2" t="e">
        <f aca="false">((((O32/60)+N32)/60)+M32)*IF(D32="W",-1, 1)</f>
        <v>#VALUE!</v>
      </c>
      <c r="R32" s="16" t="s">
        <v>92</v>
      </c>
    </row>
    <row r="33" customFormat="false" ht="15" hidden="false" customHeight="false" outlineLevel="0" collapsed="false">
      <c r="A33" s="1" t="n">
        <v>32</v>
      </c>
      <c r="B33" s="1" t="s">
        <v>18</v>
      </c>
      <c r="C33" s="1" t="s">
        <v>19</v>
      </c>
      <c r="D33" s="1" t="s">
        <v>20</v>
      </c>
      <c r="E33" s="7" t="s">
        <v>88</v>
      </c>
      <c r="F33" s="7" t="s">
        <v>89</v>
      </c>
      <c r="G33" s="7" t="s">
        <v>90</v>
      </c>
      <c r="H33" s="1" t="s">
        <v>24</v>
      </c>
      <c r="I33" s="15" t="s">
        <v>91</v>
      </c>
      <c r="J33" s="1" t="str">
        <f aca="false">MID(E33,1,FIND("°",E33,1)-1)</f>
        <v>0</v>
      </c>
      <c r="K33" s="1" t="str">
        <f aca="false">MID(E33,FIND("°",E33,1)+1,(FIND("′",E33,1)-FIND("°",E33,1))-1)</f>
        <v>55</v>
      </c>
      <c r="L33" s="1" t="str">
        <f aca="false">MID(E33,FIND("′",E33,1)+1,(FIND("″",E33,1)-FIND("′",E33,1))-1)</f>
        <v>10</v>
      </c>
      <c r="M33" s="1" t="str">
        <f aca="false">MID(F33,1,FIND("°",F33,1)-1)</f>
        <v>29</v>
      </c>
      <c r="N33" s="1" t="str">
        <f aca="false">MID(F33,FIND("°",F33,1)+1,(FIND("′",F33,1)-FIND("°",F33,1))-1)</f>
        <v>20</v>
      </c>
      <c r="O33" s="1" t="str">
        <f aca="false">MID(F33,FIND("′",F33,1)+1,(FIND("″",F33,1)-FIND("′",F33,1))-1)</f>
        <v>33</v>
      </c>
      <c r="P33" s="2" t="n">
        <f aca="false">((((L33/60)+K33)/60)+J33)*IF(C33="S",-1, 1)</f>
        <v>0.919444444444444</v>
      </c>
      <c r="Q33" s="2" t="n">
        <f aca="false">((((O33/60)+N33)/60)+M33)*IF(D33="W",-1, 1)</f>
        <v>-29.3425</v>
      </c>
      <c r="R33" s="16" t="s">
        <v>92</v>
      </c>
    </row>
    <row r="34" customFormat="false" ht="15" hidden="false" customHeight="false" outlineLevel="0" collapsed="false">
      <c r="A34" s="1" t="n">
        <v>33</v>
      </c>
      <c r="B34" s="1" t="s">
        <v>18</v>
      </c>
      <c r="C34" s="1" t="s">
        <v>19</v>
      </c>
      <c r="D34" s="1" t="s">
        <v>20</v>
      </c>
      <c r="E34" s="7" t="s">
        <v>93</v>
      </c>
      <c r="F34" s="7" t="s">
        <v>94</v>
      </c>
      <c r="G34" s="7" t="s">
        <v>90</v>
      </c>
      <c r="H34" s="1" t="s">
        <v>24</v>
      </c>
      <c r="I34" s="15" t="s">
        <v>91</v>
      </c>
      <c r="J34" s="1" t="str">
        <f aca="false">MID(E34,1,FIND("°",E34,1)-1)</f>
        <v>0</v>
      </c>
      <c r="K34" s="1" t="str">
        <f aca="false">MID(E34,FIND("°",E34,1)+1,(FIND("′",E34,1)-FIND("°",E34,1))-1)</f>
        <v>54.787</v>
      </c>
      <c r="L34" s="1" t="e">
        <f aca="false">MID(E34,FIND("′",E34,1)+1,(FIND("″",E34,1)-FIND("′",E34,1))-1)</f>
        <v>#VALUE!</v>
      </c>
      <c r="M34" s="1" t="str">
        <f aca="false">MID(F34,1,FIND("°",F34,1)-1)</f>
        <v>29</v>
      </c>
      <c r="N34" s="1" t="str">
        <f aca="false">MID(F34,FIND("°",F34,1)+1,(FIND("′",F34,1)-FIND("°",F34,1))-1)</f>
        <v>21.451</v>
      </c>
      <c r="O34" s="1" t="e">
        <f aca="false">MID(F34,FIND("′",F34,1)+1,(FIND("″",F34,1)-FIND("′",F34,1))-1)</f>
        <v>#VALUE!</v>
      </c>
      <c r="P34" s="2" t="e">
        <f aca="false">((((L34/60)+K34)/60)+J34)*IF(C34="S",-1, 1)</f>
        <v>#VALUE!</v>
      </c>
      <c r="Q34" s="2" t="e">
        <f aca="false">((((O34/60)+N34)/60)+M34)*IF(D34="W",-1, 1)</f>
        <v>#VALUE!</v>
      </c>
      <c r="R34" s="16" t="s">
        <v>92</v>
      </c>
    </row>
    <row r="35" customFormat="false" ht="15" hidden="false" customHeight="false" outlineLevel="0" collapsed="false">
      <c r="A35" s="1" t="n">
        <v>34</v>
      </c>
      <c r="B35" s="1" t="s">
        <v>18</v>
      </c>
      <c r="C35" s="1" t="s">
        <v>19</v>
      </c>
      <c r="D35" s="1" t="s">
        <v>20</v>
      </c>
      <c r="E35" s="7" t="s">
        <v>95</v>
      </c>
      <c r="F35" s="2" t="s">
        <v>96</v>
      </c>
      <c r="G35" s="7" t="s">
        <v>90</v>
      </c>
      <c r="H35" s="1" t="s">
        <v>24</v>
      </c>
      <c r="I35" s="15" t="s">
        <v>91</v>
      </c>
      <c r="J35" s="1" t="str">
        <f aca="false">MID(E35,1,FIND("°",E35,1)-1)</f>
        <v>0</v>
      </c>
      <c r="K35" s="1" t="str">
        <f aca="false">MID(E35,FIND("°",E35,1)+1,(FIND("′",E35,1)-FIND("°",E35,1))-1)</f>
        <v>55.681</v>
      </c>
      <c r="L35" s="1" t="e">
        <f aca="false">MID(E35,FIND("′",E35,1)+1,(FIND("″",E35,1)-FIND("′",E35,1))-1)</f>
        <v>#VALUE!</v>
      </c>
      <c r="M35" s="1" t="str">
        <f aca="false">MID(F35,1,FIND("°",F35,1)-1)</f>
        <v>29</v>
      </c>
      <c r="N35" s="1" t="str">
        <f aca="false">MID(F35,FIND("°",F35,1)+1,(FIND("′",F35,1)-FIND("°",F35,1))-1)</f>
        <v>19.804</v>
      </c>
      <c r="O35" s="1" t="e">
        <f aca="false">MID(F35,FIND("′",F35,1)+1,(FIND("″",F35,1)-FIND("′",F35,1))-1)</f>
        <v>#VALUE!</v>
      </c>
      <c r="P35" s="2" t="e">
        <f aca="false">((((L35/60)+K35)/60)+J35)*IF(C35="S",-1, 1)</f>
        <v>#VALUE!</v>
      </c>
      <c r="Q35" s="2" t="e">
        <f aca="false">((((O35/60)+N35)/60)+M35)*IF(D35="W",-1, 1)</f>
        <v>#VALUE!</v>
      </c>
      <c r="R35" s="16" t="s">
        <v>92</v>
      </c>
    </row>
    <row r="36" customFormat="false" ht="15" hidden="false" customHeight="false" outlineLevel="0" collapsed="false">
      <c r="A36" s="1" t="n">
        <v>35</v>
      </c>
      <c r="B36" s="1" t="s">
        <v>56</v>
      </c>
      <c r="C36" s="1" t="s">
        <v>27</v>
      </c>
      <c r="D36" s="1" t="s">
        <v>20</v>
      </c>
      <c r="E36" s="7" t="s">
        <v>97</v>
      </c>
      <c r="F36" s="2" t="s">
        <v>98</v>
      </c>
      <c r="G36" s="7" t="s">
        <v>99</v>
      </c>
      <c r="H36" s="1" t="s">
        <v>24</v>
      </c>
      <c r="I36" s="1" t="s">
        <v>100</v>
      </c>
      <c r="J36" s="1" t="str">
        <f aca="false">MID(E36,1,FIND("°",E36,1)-1)</f>
        <v>8</v>
      </c>
      <c r="K36" s="1" t="str">
        <f aca="false">MID(E36,FIND("°",E36,1)+1,(FIND("′",E36,1)-FIND("°",E36,1))-1)</f>
        <v>59</v>
      </c>
      <c r="L36" s="1" t="str">
        <f aca="false">MID(E36,FIND("′",E36,1)+1,(FIND("″",E36,1)-FIND("′",E36,1))-1)</f>
        <v>57</v>
      </c>
      <c r="M36" s="1" t="str">
        <f aca="false">MID(F36,1,FIND("°",F36,1)-1)</f>
        <v>35</v>
      </c>
      <c r="N36" s="1" t="str">
        <f aca="false">MID(F36,FIND("°",F36,1)+1,(FIND("′",F36,1)-FIND("°",F36,1))-1)</f>
        <v>10</v>
      </c>
      <c r="O36" s="1" t="str">
        <f aca="false">MID(F36,FIND("′",F36,1)+1,(FIND("″",F36,1)-FIND("′",F36,1))-1)</f>
        <v>49</v>
      </c>
      <c r="P36" s="2" t="n">
        <f aca="false">((((L36/60)+K36)/60)+J36)*IF(C36="S",-1, 1)</f>
        <v>-8.99916666666667</v>
      </c>
      <c r="Q36" s="2" t="n">
        <f aca="false">((((O36/60)+N36)/60)+M36)*IF(D36="W",-1, 1)</f>
        <v>-35.1802777777778</v>
      </c>
      <c r="R36" s="16" t="s">
        <v>101</v>
      </c>
    </row>
    <row r="37" customFormat="false" ht="15" hidden="false" customHeight="false" outlineLevel="0" collapsed="false">
      <c r="A37" s="1" t="n">
        <v>36</v>
      </c>
      <c r="B37" s="1" t="s">
        <v>45</v>
      </c>
      <c r="C37" s="1" t="s">
        <v>27</v>
      </c>
      <c r="D37" s="1" t="s">
        <v>20</v>
      </c>
      <c r="E37" s="7" t="s">
        <v>102</v>
      </c>
      <c r="F37" s="2" t="s">
        <v>103</v>
      </c>
      <c r="G37" s="7" t="s">
        <v>104</v>
      </c>
      <c r="H37" s="1" t="s">
        <v>24</v>
      </c>
      <c r="I37" s="1" t="s">
        <v>105</v>
      </c>
      <c r="J37" s="1" t="str">
        <f aca="false">MID(E37,1,FIND("°",E37,1)-1)</f>
        <v>1</v>
      </c>
      <c r="K37" s="1" t="str">
        <f aca="false">MID(E37,FIND("°",E37,1)+1,(FIND("′",E37,1)-FIND("°",E37,1))-1)</f>
        <v>03</v>
      </c>
      <c r="L37" s="1" t="str">
        <f aca="false">MID(E37,FIND("′",E37,1)+1,(FIND("″",E37,1)-FIND("′",E37,1))-1)</f>
        <v>57</v>
      </c>
      <c r="M37" s="1" t="str">
        <f aca="false">MID(F37,1,FIND("°",F37,1)-1)</f>
        <v>46</v>
      </c>
      <c r="N37" s="1" t="str">
        <f aca="false">MID(F37,FIND("°",F37,1)+1,(FIND("′",F37,1)-FIND("°",F37,1))-1)</f>
        <v>47</v>
      </c>
      <c r="O37" s="1" t="str">
        <f aca="false">MID(F37,FIND("′",F37,1)+1,(FIND("″",F37,1)-FIND("′",F37,1))-1)</f>
        <v>22</v>
      </c>
      <c r="P37" s="2" t="n">
        <f aca="false">((((L37/60)+K37)/60)+J37)*IF(C37="S",-1, 1)</f>
        <v>-1.06583333333333</v>
      </c>
      <c r="Q37" s="2" t="n">
        <f aca="false">((((O37/60)+N37)/60)+M37)*IF(D37="W",-1, 1)</f>
        <v>-46.7894444444444</v>
      </c>
      <c r="R37" s="16" t="s">
        <v>106</v>
      </c>
    </row>
    <row r="38" customFormat="false" ht="15" hidden="false" customHeight="false" outlineLevel="0" collapsed="false">
      <c r="A38" s="1" t="n">
        <v>37</v>
      </c>
      <c r="B38" s="1" t="s">
        <v>44</v>
      </c>
      <c r="C38" s="1" t="s">
        <v>27</v>
      </c>
      <c r="D38" s="1" t="s">
        <v>20</v>
      </c>
      <c r="E38" s="7" t="s">
        <v>102</v>
      </c>
      <c r="F38" s="2" t="s">
        <v>103</v>
      </c>
      <c r="G38" s="7" t="s">
        <v>104</v>
      </c>
      <c r="H38" s="1" t="s">
        <v>24</v>
      </c>
      <c r="I38" s="1" t="s">
        <v>105</v>
      </c>
      <c r="J38" s="1" t="str">
        <f aca="false">MID(E38,1,FIND("°",E38,1)-1)</f>
        <v>1</v>
      </c>
      <c r="K38" s="1" t="str">
        <f aca="false">MID(E38,FIND("°",E38,1)+1,(FIND("′",E38,1)-FIND("°",E38,1))-1)</f>
        <v>03</v>
      </c>
      <c r="L38" s="1" t="str">
        <f aca="false">MID(E38,FIND("′",E38,1)+1,(FIND("″",E38,1)-FIND("′",E38,1))-1)</f>
        <v>57</v>
      </c>
      <c r="M38" s="1" t="str">
        <f aca="false">MID(F38,1,FIND("°",F38,1)-1)</f>
        <v>46</v>
      </c>
      <c r="N38" s="1" t="str">
        <f aca="false">MID(F38,FIND("°",F38,1)+1,(FIND("′",F38,1)-FIND("°",F38,1))-1)</f>
        <v>47</v>
      </c>
      <c r="O38" s="1" t="str">
        <f aca="false">MID(F38,FIND("′",F38,1)+1,(FIND("″",F38,1)-FIND("′",F38,1))-1)</f>
        <v>22</v>
      </c>
      <c r="P38" s="2" t="n">
        <f aca="false">((((L38/60)+K38)/60)+J38)*IF(C38="S",-1, 1)</f>
        <v>-1.06583333333333</v>
      </c>
      <c r="Q38" s="2" t="n">
        <f aca="false">((((O38/60)+N38)/60)+M38)*IF(D38="W",-1, 1)</f>
        <v>-46.7894444444444</v>
      </c>
      <c r="R38" s="16" t="s">
        <v>106</v>
      </c>
    </row>
    <row r="39" customFormat="false" ht="15" hidden="false" customHeight="false" outlineLevel="0" collapsed="false">
      <c r="A39" s="1" t="n">
        <v>38</v>
      </c>
      <c r="B39" s="1" t="s">
        <v>44</v>
      </c>
      <c r="C39" s="1" t="s">
        <v>27</v>
      </c>
      <c r="D39" s="1" t="s">
        <v>20</v>
      </c>
      <c r="E39" s="7" t="s">
        <v>107</v>
      </c>
      <c r="F39" s="2" t="s">
        <v>108</v>
      </c>
      <c r="G39" s="7" t="s">
        <v>109</v>
      </c>
      <c r="H39" s="1" t="s">
        <v>24</v>
      </c>
      <c r="I39" s="15" t="s">
        <v>110</v>
      </c>
      <c r="J39" s="1" t="str">
        <f aca="false">MID(E39,1,FIND("°",E39,1)-1)</f>
        <v>08</v>
      </c>
      <c r="K39" s="1" t="str">
        <f aca="false">MID(E39,FIND("°",E39,1)+1,(FIND("′",E39,1)-FIND("°",E39,1))-1)</f>
        <v>10</v>
      </c>
      <c r="L39" s="1" t="e">
        <f aca="false">MID(E39,FIND("′",E39,1)+1,(FIND("″",E39,1)-FIND("′",E39,1))-1)</f>
        <v>#VALUE!</v>
      </c>
      <c r="M39" s="1" t="str">
        <f aca="false">MID(F39,1,FIND("°",F39,1)-1)</f>
        <v>34</v>
      </c>
      <c r="N39" s="1" t="str">
        <f aca="false">MID(F39,FIND("°",F39,1)+1,(FIND("′",F39,1)-FIND("°",F39,1))-1)</f>
        <v>49</v>
      </c>
      <c r="O39" s="1" t="e">
        <f aca="false">MID(F39,FIND("′",F39,1)+1,(FIND("″",F39,1)-FIND("′",F39,1))-1)</f>
        <v>#VALUE!</v>
      </c>
      <c r="P39" s="2" t="e">
        <f aca="false">((((L39/60)+K39)/60)+J39)*IF(C39="S",-1, 1)</f>
        <v>#VALUE!</v>
      </c>
      <c r="Q39" s="2" t="e">
        <f aca="false">((((O39/60)+N39)/60)+M39)*IF(D39="W",-1, 1)</f>
        <v>#VALUE!</v>
      </c>
      <c r="R39" s="16" t="s">
        <v>111</v>
      </c>
    </row>
    <row r="40" customFormat="false" ht="15" hidden="false" customHeight="false" outlineLevel="0" collapsed="false">
      <c r="A40" s="1" t="n">
        <v>39</v>
      </c>
      <c r="B40" s="1" t="s">
        <v>45</v>
      </c>
      <c r="C40" s="1" t="s">
        <v>27</v>
      </c>
      <c r="D40" s="1" t="s">
        <v>20</v>
      </c>
      <c r="E40" s="7" t="s">
        <v>107</v>
      </c>
      <c r="F40" s="2" t="s">
        <v>108</v>
      </c>
      <c r="G40" s="7" t="s">
        <v>109</v>
      </c>
      <c r="H40" s="1" t="s">
        <v>24</v>
      </c>
      <c r="I40" s="15" t="s">
        <v>110</v>
      </c>
      <c r="J40" s="1" t="str">
        <f aca="false">MID(E40,1,FIND("°",E40,1)-1)</f>
        <v>08</v>
      </c>
      <c r="K40" s="1" t="str">
        <f aca="false">MID(E40,FIND("°",E40,1)+1,(FIND("′",E40,1)-FIND("°",E40,1))-1)</f>
        <v>10</v>
      </c>
      <c r="L40" s="1" t="e">
        <f aca="false">MID(E40,FIND("′",E40,1)+1,(FIND("″",E40,1)-FIND("′",E40,1))-1)</f>
        <v>#VALUE!</v>
      </c>
      <c r="M40" s="1" t="str">
        <f aca="false">MID(F40,1,FIND("°",F40,1)-1)</f>
        <v>34</v>
      </c>
      <c r="N40" s="1" t="str">
        <f aca="false">MID(F40,FIND("°",F40,1)+1,(FIND("′",F40,1)-FIND("°",F40,1))-1)</f>
        <v>49</v>
      </c>
      <c r="O40" s="1" t="e">
        <f aca="false">MID(F40,FIND("′",F40,1)+1,(FIND("″",F40,1)-FIND("′",F40,1))-1)</f>
        <v>#VALUE!</v>
      </c>
      <c r="P40" s="2" t="e">
        <f aca="false">((((L40/60)+K40)/60)+J40)*IF(C40="S",-1, 1)</f>
        <v>#VALUE!</v>
      </c>
      <c r="Q40" s="2" t="e">
        <f aca="false">((((O40/60)+N40)/60)+M40)*IF(D40="W",-1, 1)</f>
        <v>#VALUE!</v>
      </c>
      <c r="R40" s="16" t="s">
        <v>111</v>
      </c>
    </row>
    <row r="41" customFormat="false" ht="15" hidden="false" customHeight="false" outlineLevel="0" collapsed="false">
      <c r="A41" s="1" t="n">
        <v>40</v>
      </c>
      <c r="B41" s="1" t="s">
        <v>56</v>
      </c>
      <c r="C41" s="1" t="s">
        <v>27</v>
      </c>
      <c r="D41" s="1" t="s">
        <v>20</v>
      </c>
      <c r="E41" s="7" t="s">
        <v>112</v>
      </c>
      <c r="F41" s="2" t="s">
        <v>113</v>
      </c>
      <c r="G41" s="1" t="s">
        <v>114</v>
      </c>
      <c r="H41" s="1" t="s">
        <v>24</v>
      </c>
      <c r="I41" s="15" t="s">
        <v>72</v>
      </c>
      <c r="J41" s="1" t="str">
        <f aca="false">MID(E41,1,FIND("°",E41,1)-1)</f>
        <v>8</v>
      </c>
      <c r="K41" s="1" t="str">
        <f aca="false">MID(E41,FIND("°",E41,1)+1,(FIND("′",E41,1)-FIND("°",E41,1))-1)</f>
        <v>30</v>
      </c>
      <c r="L41" s="1" t="str">
        <f aca="false">MID(E41,FIND("′",E41,1)+1,(FIND("″",E41,1)-FIND("′",E41,1))-1)</f>
        <v>54</v>
      </c>
      <c r="M41" s="1" t="str">
        <f aca="false">MID(F41,1,FIND("°",F41,1)-1)</f>
        <v>34</v>
      </c>
      <c r="N41" s="1" t="str">
        <f aca="false">MID(F41,FIND("°",F41,1)+1,(FIND("′",F41,1)-FIND("°",F41,1))-1)</f>
        <v>59</v>
      </c>
      <c r="O41" s="1" t="str">
        <f aca="false">MID(F41,FIND("′",F41,1)+1,(FIND("″",F41,1)-FIND("′",F41,1))-1)</f>
        <v>47</v>
      </c>
      <c r="P41" s="2" t="n">
        <f aca="false">((((L41/60)+K41)/60)+J41)*IF(C41="S",-1, 1)</f>
        <v>-8.515</v>
      </c>
      <c r="Q41" s="2" t="n">
        <f aca="false">((((O41/60)+N41)/60)+M41)*IF(D41="W",-1, 1)</f>
        <v>-34.9963888888889</v>
      </c>
      <c r="R41" s="16" t="s">
        <v>115</v>
      </c>
    </row>
    <row r="42" customFormat="false" ht="15" hidden="false" customHeight="false" outlineLevel="0" collapsed="false">
      <c r="A42" s="1" t="n">
        <v>41</v>
      </c>
      <c r="B42" s="1" t="s">
        <v>44</v>
      </c>
      <c r="C42" s="1" t="s">
        <v>27</v>
      </c>
      <c r="D42" s="1" t="s">
        <v>20</v>
      </c>
      <c r="E42" s="7" t="s">
        <v>112</v>
      </c>
      <c r="F42" s="2" t="s">
        <v>113</v>
      </c>
      <c r="G42" s="1" t="s">
        <v>114</v>
      </c>
      <c r="H42" s="1" t="s">
        <v>24</v>
      </c>
      <c r="I42" s="15" t="s">
        <v>72</v>
      </c>
      <c r="J42" s="1" t="str">
        <f aca="false">MID(E42,1,FIND("°",E42,1)-1)</f>
        <v>8</v>
      </c>
      <c r="K42" s="1" t="str">
        <f aca="false">MID(E42,FIND("°",E42,1)+1,(FIND("′",E42,1)-FIND("°",E42,1))-1)</f>
        <v>30</v>
      </c>
      <c r="L42" s="1" t="str">
        <f aca="false">MID(E42,FIND("′",E42,1)+1,(FIND("″",E42,1)-FIND("′",E42,1))-1)</f>
        <v>54</v>
      </c>
      <c r="M42" s="1" t="str">
        <f aca="false">MID(F42,1,FIND("°",F42,1)-1)</f>
        <v>34</v>
      </c>
      <c r="N42" s="1" t="str">
        <f aca="false">MID(F42,FIND("°",F42,1)+1,(FIND("′",F42,1)-FIND("°",F42,1))-1)</f>
        <v>59</v>
      </c>
      <c r="O42" s="1" t="str">
        <f aca="false">MID(F42,FIND("′",F42,1)+1,(FIND("″",F42,1)-FIND("′",F42,1))-1)</f>
        <v>47</v>
      </c>
      <c r="P42" s="2" t="n">
        <f aca="false">((((L42/60)+K42)/60)+J42)*IF(C42="S",-1, 1)</f>
        <v>-8.515</v>
      </c>
      <c r="Q42" s="2" t="n">
        <f aca="false">((((O42/60)+N42)/60)+M42)*IF(D42="W",-1, 1)</f>
        <v>-34.9963888888889</v>
      </c>
      <c r="R42" s="16" t="s">
        <v>115</v>
      </c>
    </row>
    <row r="43" customFormat="false" ht="15" hidden="false" customHeight="false" outlineLevel="0" collapsed="false">
      <c r="A43" s="1" t="n">
        <v>42</v>
      </c>
      <c r="B43" s="1" t="s">
        <v>18</v>
      </c>
      <c r="C43" s="1" t="s">
        <v>27</v>
      </c>
      <c r="D43" s="1" t="s">
        <v>20</v>
      </c>
      <c r="E43" s="7" t="s">
        <v>112</v>
      </c>
      <c r="F43" s="2" t="s">
        <v>113</v>
      </c>
      <c r="G43" s="1" t="s">
        <v>114</v>
      </c>
      <c r="H43" s="1" t="s">
        <v>24</v>
      </c>
      <c r="I43" s="15" t="s">
        <v>72</v>
      </c>
      <c r="J43" s="1" t="str">
        <f aca="false">MID(E43,1,FIND("°",E43,1)-1)</f>
        <v>8</v>
      </c>
      <c r="K43" s="1" t="str">
        <f aca="false">MID(E43,FIND("°",E43,1)+1,(FIND("′",E43,1)-FIND("°",E43,1))-1)</f>
        <v>30</v>
      </c>
      <c r="L43" s="1" t="str">
        <f aca="false">MID(E43,FIND("′",E43,1)+1,(FIND("″",E43,1)-FIND("′",E43,1))-1)</f>
        <v>54</v>
      </c>
      <c r="M43" s="1" t="str">
        <f aca="false">MID(F43,1,FIND("°",F43,1)-1)</f>
        <v>34</v>
      </c>
      <c r="N43" s="1" t="str">
        <f aca="false">MID(F43,FIND("°",F43,1)+1,(FIND("′",F43,1)-FIND("°",F43,1))-1)</f>
        <v>59</v>
      </c>
      <c r="O43" s="1" t="str">
        <f aca="false">MID(F43,FIND("′",F43,1)+1,(FIND("″",F43,1)-FIND("′",F43,1))-1)</f>
        <v>47</v>
      </c>
      <c r="P43" s="2" t="n">
        <f aca="false">((((L43/60)+K43)/60)+J43)*IF(C43="S",-1, 1)</f>
        <v>-8.515</v>
      </c>
      <c r="Q43" s="2" t="n">
        <f aca="false">((((O43/60)+N43)/60)+M43)*IF(D43="W",-1, 1)</f>
        <v>-34.9963888888889</v>
      </c>
      <c r="R43" s="16" t="s">
        <v>115</v>
      </c>
    </row>
    <row r="44" customFormat="false" ht="15" hidden="false" customHeight="false" outlineLevel="0" collapsed="false">
      <c r="A44" s="1" t="n">
        <v>43</v>
      </c>
      <c r="B44" s="1" t="s">
        <v>56</v>
      </c>
      <c r="C44" s="1" t="s">
        <v>27</v>
      </c>
      <c r="D44" s="1" t="s">
        <v>20</v>
      </c>
      <c r="E44" s="7" t="s">
        <v>116</v>
      </c>
      <c r="F44" s="7" t="s">
        <v>117</v>
      </c>
      <c r="G44" s="7" t="s">
        <v>118</v>
      </c>
      <c r="H44" s="1" t="s">
        <v>24</v>
      </c>
      <c r="I44" s="1" t="s">
        <v>119</v>
      </c>
      <c r="J44" s="1" t="str">
        <f aca="false">MID(E44,1,FIND("°",E44,1)-1)</f>
        <v>18</v>
      </c>
      <c r="K44" s="1" t="str">
        <f aca="false">MID(E44,FIND("°",E44,1)+1,(FIND("′",E44,1)-FIND("°",E44,1))-1)</f>
        <v>01</v>
      </c>
      <c r="L44" s="1" t="str">
        <f aca="false">MID(E44,FIND("′",E44,1)+1,(FIND("″",E44,1)-FIND("′",E44,1))-1)</f>
        <v>15</v>
      </c>
      <c r="M44" s="1" t="str">
        <f aca="false">MID(F44,1,FIND("°",F44,1)-1)</f>
        <v>38</v>
      </c>
      <c r="N44" s="1" t="str">
        <f aca="false">MID(F44,FIND("°",F44,1)+1,(FIND("′",F44,1)-FIND("°",F44,1))-1)</f>
        <v>43</v>
      </c>
      <c r="O44" s="1" t="str">
        <f aca="false">MID(F44,FIND("′",F44,1)+1,(FIND("″",F44,1)-FIND("′",F44,1))-1)</f>
        <v>16</v>
      </c>
      <c r="P44" s="2" t="n">
        <f aca="false">((((L44/60)+K44)/60)+J44)*IF(C44="S",-1, 1)</f>
        <v>-18.0208333333333</v>
      </c>
      <c r="Q44" s="2" t="n">
        <f aca="false">((((O44/60)+N44)/60)+M44)*IF(D44="W",-1, 1)</f>
        <v>-38.7211111111111</v>
      </c>
      <c r="R44" s="16" t="s">
        <v>120</v>
      </c>
    </row>
    <row r="45" customFormat="false" ht="15" hidden="false" customHeight="false" outlineLevel="0" collapsed="false">
      <c r="A45" s="1" t="n">
        <v>44</v>
      </c>
      <c r="B45" s="1" t="s">
        <v>44</v>
      </c>
      <c r="C45" s="1" t="s">
        <v>27</v>
      </c>
      <c r="D45" s="1" t="s">
        <v>20</v>
      </c>
      <c r="E45" s="7" t="s">
        <v>116</v>
      </c>
      <c r="F45" s="7" t="s">
        <v>117</v>
      </c>
      <c r="G45" s="7" t="s">
        <v>118</v>
      </c>
      <c r="H45" s="1" t="s">
        <v>24</v>
      </c>
      <c r="I45" s="1" t="s">
        <v>119</v>
      </c>
      <c r="J45" s="1" t="str">
        <f aca="false">MID(E45,1,FIND("°",E45,1)-1)</f>
        <v>18</v>
      </c>
      <c r="K45" s="1" t="str">
        <f aca="false">MID(E45,FIND("°",E45,1)+1,(FIND("′",E45,1)-FIND("°",E45,1))-1)</f>
        <v>01</v>
      </c>
      <c r="L45" s="1" t="str">
        <f aca="false">MID(E45,FIND("′",E45,1)+1,(FIND("″",E45,1)-FIND("′",E45,1))-1)</f>
        <v>15</v>
      </c>
      <c r="M45" s="1" t="str">
        <f aca="false">MID(F45,1,FIND("°",F45,1)-1)</f>
        <v>38</v>
      </c>
      <c r="N45" s="1" t="str">
        <f aca="false">MID(F45,FIND("°",F45,1)+1,(FIND("′",F45,1)-FIND("°",F45,1))-1)</f>
        <v>43</v>
      </c>
      <c r="O45" s="1" t="str">
        <f aca="false">MID(F45,FIND("′",F45,1)+1,(FIND("″",F45,1)-FIND("′",F45,1))-1)</f>
        <v>16</v>
      </c>
      <c r="P45" s="2" t="n">
        <f aca="false">((((L45/60)+K45)/60)+J45)*IF(C45="S",-1, 1)</f>
        <v>-18.0208333333333</v>
      </c>
      <c r="Q45" s="2" t="n">
        <f aca="false">((((O45/60)+N45)/60)+M45)*IF(D45="W",-1, 1)</f>
        <v>-38.7211111111111</v>
      </c>
      <c r="R45" s="16" t="s">
        <v>120</v>
      </c>
    </row>
    <row r="46" customFormat="false" ht="15" hidden="false" customHeight="false" outlineLevel="0" collapsed="false">
      <c r="A46" s="1" t="n">
        <v>45</v>
      </c>
      <c r="B46" s="1" t="s">
        <v>18</v>
      </c>
      <c r="C46" s="1" t="s">
        <v>27</v>
      </c>
      <c r="D46" s="1" t="s">
        <v>20</v>
      </c>
      <c r="E46" s="7" t="s">
        <v>116</v>
      </c>
      <c r="F46" s="7" t="s">
        <v>117</v>
      </c>
      <c r="G46" s="7" t="s">
        <v>118</v>
      </c>
      <c r="H46" s="1" t="s">
        <v>24</v>
      </c>
      <c r="I46" s="1" t="s">
        <v>119</v>
      </c>
      <c r="J46" s="1" t="str">
        <f aca="false">MID(E46,1,FIND("°",E46,1)-1)</f>
        <v>18</v>
      </c>
      <c r="K46" s="1" t="str">
        <f aca="false">MID(E46,FIND("°",E46,1)+1,(FIND("′",E46,1)-FIND("°",E46,1))-1)</f>
        <v>01</v>
      </c>
      <c r="L46" s="1" t="str">
        <f aca="false">MID(E46,FIND("′",E46,1)+1,(FIND("″",E46,1)-FIND("′",E46,1))-1)</f>
        <v>15</v>
      </c>
      <c r="M46" s="1" t="str">
        <f aca="false">MID(F46,1,FIND("°",F46,1)-1)</f>
        <v>38</v>
      </c>
      <c r="N46" s="1" t="str">
        <f aca="false">MID(F46,FIND("°",F46,1)+1,(FIND("′",F46,1)-FIND("°",F46,1))-1)</f>
        <v>43</v>
      </c>
      <c r="O46" s="1" t="str">
        <f aca="false">MID(F46,FIND("′",F46,1)+1,(FIND("″",F46,1)-FIND("′",F46,1))-1)</f>
        <v>16</v>
      </c>
      <c r="P46" s="2" t="n">
        <f aca="false">((((L46/60)+K46)/60)+J46)*IF(C46="S",-1, 1)</f>
        <v>-18.0208333333333</v>
      </c>
      <c r="Q46" s="2" t="n">
        <f aca="false">((((O46/60)+N46)/60)+M46)*IF(D46="W",-1, 1)</f>
        <v>-38.7211111111111</v>
      </c>
      <c r="R46" s="16" t="s">
        <v>120</v>
      </c>
    </row>
    <row r="47" customFormat="false" ht="15" hidden="false" customHeight="false" outlineLevel="0" collapsed="false">
      <c r="A47" s="1" t="n">
        <v>46</v>
      </c>
      <c r="B47" s="1" t="s">
        <v>18</v>
      </c>
      <c r="C47" s="1" t="s">
        <v>27</v>
      </c>
      <c r="D47" s="1" t="s">
        <v>20</v>
      </c>
      <c r="E47" s="7" t="s">
        <v>121</v>
      </c>
      <c r="F47" s="7" t="s">
        <v>122</v>
      </c>
      <c r="G47" s="7" t="s">
        <v>118</v>
      </c>
      <c r="H47" s="1" t="s">
        <v>24</v>
      </c>
      <c r="I47" s="1" t="s">
        <v>123</v>
      </c>
      <c r="J47" s="1" t="str">
        <f aca="false">MID(E47,1,FIND("°",E47,1)-1)</f>
        <v>01</v>
      </c>
      <c r="K47" s="1" t="str">
        <f aca="false">MID(E47,FIND("°",E47,1)+1,(FIND("′",E47,1)-FIND("°",E47,1))-1)</f>
        <v>27</v>
      </c>
      <c r="L47" s="1" t="e">
        <f aca="false">MID(E47,FIND("′",E47,1)+1,(FIND("″",E47,1)-FIND("′",E47,1))-1)</f>
        <v>#VALUE!</v>
      </c>
      <c r="M47" s="1" t="str">
        <f aca="false">MID(F47,1,FIND("°",F47,1)-1)</f>
        <v>48</v>
      </c>
      <c r="N47" s="1" t="str">
        <f aca="false">MID(F47,FIND("°",F47,1)+1,(FIND("′",F47,1)-FIND("°",F47,1))-1)</f>
        <v>30</v>
      </c>
      <c r="O47" s="1" t="e">
        <f aca="false">MID(F47,FIND("′",F47,1)+1,(FIND("″",F47,1)-FIND("′",F47,1))-1)</f>
        <v>#VALUE!</v>
      </c>
      <c r="P47" s="2" t="e">
        <f aca="false">((((L47/60)+K47)/60)+J47)*IF(C47="S",-1, 1)</f>
        <v>#VALUE!</v>
      </c>
      <c r="Q47" s="2" t="e">
        <f aca="false">((((O47/60)+N47)/60)+M47)*IF(D47="W",-1, 1)</f>
        <v>#VALUE!</v>
      </c>
      <c r="R47" s="16" t="s">
        <v>120</v>
      </c>
    </row>
    <row r="48" customFormat="false" ht="15" hidden="false" customHeight="false" outlineLevel="0" collapsed="false">
      <c r="A48" s="1" t="n">
        <v>47</v>
      </c>
      <c r="B48" s="1" t="s">
        <v>18</v>
      </c>
      <c r="C48" s="1" t="s">
        <v>27</v>
      </c>
      <c r="D48" s="1" t="s">
        <v>20</v>
      </c>
      <c r="E48" s="7" t="s">
        <v>124</v>
      </c>
      <c r="F48" s="7" t="s">
        <v>125</v>
      </c>
      <c r="G48" s="7" t="s">
        <v>118</v>
      </c>
      <c r="H48" s="1" t="s">
        <v>24</v>
      </c>
      <c r="I48" s="1" t="s">
        <v>126</v>
      </c>
      <c r="J48" s="1" t="str">
        <f aca="false">MID(E48,1,FIND("°",E48,1)-1)</f>
        <v>23</v>
      </c>
      <c r="K48" s="1" t="str">
        <f aca="false">MID(E48,FIND("°",E48,1)+1,(FIND("′",E48,1)-FIND("°",E48,1))-1)</f>
        <v>32</v>
      </c>
      <c r="L48" s="1" t="e">
        <f aca="false">MID(E48,FIND("′",E48,1)+1,(FIND("″",E48,1)-FIND("′",E48,1))-1)</f>
        <v>#VALUE!</v>
      </c>
      <c r="M48" s="1" t="str">
        <f aca="false">MID(F48,1,FIND("°",F48,1)-1)</f>
        <v>46</v>
      </c>
      <c r="N48" s="1" t="str">
        <f aca="false">MID(F48,FIND("°",F48,1)+1,(FIND("′",F48,1)-FIND("°",F48,1))-1)</f>
        <v>38</v>
      </c>
      <c r="O48" s="1" t="e">
        <f aca="false">MID(F48,FIND("′",F48,1)+1,(FIND("″",F48,1)-FIND("′",F48,1))-1)</f>
        <v>#VALUE!</v>
      </c>
      <c r="P48" s="2" t="e">
        <f aca="false">((((L48/60)+K48)/60)+J48)*IF(C48="S",-1, 1)</f>
        <v>#VALUE!</v>
      </c>
      <c r="Q48" s="2" t="e">
        <f aca="false">((((O48/60)+N48)/60)+M48)*IF(D48="W",-1, 1)</f>
        <v>#VALUE!</v>
      </c>
      <c r="R48" s="16" t="s">
        <v>120</v>
      </c>
    </row>
    <row r="49" customFormat="false" ht="15" hidden="false" customHeight="false" outlineLevel="0" collapsed="false">
      <c r="A49" s="1" t="n">
        <v>48</v>
      </c>
      <c r="B49" s="1" t="s">
        <v>44</v>
      </c>
      <c r="C49" s="1" t="s">
        <v>27</v>
      </c>
      <c r="D49" s="1" t="s">
        <v>20</v>
      </c>
      <c r="E49" s="7" t="s">
        <v>127</v>
      </c>
      <c r="F49" s="7" t="s">
        <v>128</v>
      </c>
      <c r="G49" s="7" t="s">
        <v>118</v>
      </c>
      <c r="H49" s="1" t="s">
        <v>24</v>
      </c>
      <c r="I49" s="7" t="s">
        <v>129</v>
      </c>
      <c r="J49" s="1" t="str">
        <f aca="false">MID(E49,1,FIND("°",E49,1)-1)</f>
        <v>03</v>
      </c>
      <c r="K49" s="1" t="str">
        <f aca="false">MID(E49,FIND("°",E49,1)+1,(FIND("′",E49,1)-FIND("°",E49,1))-1)</f>
        <v>50</v>
      </c>
      <c r="L49" s="1" t="e">
        <f aca="false">MID(E49,FIND("′",E49,1)+1,(FIND("″",E49,1)-FIND("′",E49,1))-1)</f>
        <v>#VALUE!</v>
      </c>
      <c r="M49" s="1" t="str">
        <f aca="false">MID(F49,1,FIND("°",F49,1)-1)</f>
        <v>38</v>
      </c>
      <c r="N49" s="1" t="str">
        <f aca="false">MID(F49,FIND("°",F49,1)+1,(FIND("′",F49,1)-FIND("°",F49,1))-1)</f>
        <v>20</v>
      </c>
      <c r="O49" s="1" t="e">
        <f aca="false">MID(F49,FIND("′",F49,1)+1,(FIND("″",F49,1)-FIND("′",F49,1))-1)</f>
        <v>#VALUE!</v>
      </c>
      <c r="P49" s="2" t="e">
        <f aca="false">((((L49/60)+K49)/60)+J49)*IF(C49="S",-1, 1)</f>
        <v>#VALUE!</v>
      </c>
      <c r="Q49" s="2" t="e">
        <f aca="false">((((O49/60)+N49)/60)+M49)*IF(D49="W",-1, 1)</f>
        <v>#VALUE!</v>
      </c>
      <c r="R49" s="16" t="s">
        <v>120</v>
      </c>
    </row>
    <row r="50" customFormat="false" ht="15" hidden="false" customHeight="false" outlineLevel="0" collapsed="false">
      <c r="A50" s="1" t="n">
        <v>49</v>
      </c>
      <c r="B50" s="1" t="s">
        <v>44</v>
      </c>
      <c r="C50" s="1" t="s">
        <v>27</v>
      </c>
      <c r="D50" s="1" t="s">
        <v>20</v>
      </c>
      <c r="E50" s="7" t="s">
        <v>130</v>
      </c>
      <c r="F50" s="7" t="s">
        <v>131</v>
      </c>
      <c r="G50" s="7" t="s">
        <v>118</v>
      </c>
      <c r="H50" s="1" t="s">
        <v>24</v>
      </c>
      <c r="I50" s="7" t="s">
        <v>132</v>
      </c>
      <c r="J50" s="1" t="str">
        <f aca="false">MID(E50,1,FIND("°",E50,1)-1)</f>
        <v>23</v>
      </c>
      <c r="K50" s="1" t="str">
        <f aca="false">MID(E50,FIND("°",E50,1)+1,(FIND("′",E50,1)-FIND("°",E50,1))-1)</f>
        <v>17</v>
      </c>
      <c r="L50" s="1" t="e">
        <f aca="false">MID(E50,FIND("′",E50,1)+1,(FIND("″",E50,1)-FIND("′",E50,1))-1)</f>
        <v>#VALUE!</v>
      </c>
      <c r="M50" s="1" t="str">
        <f aca="false">MID(F50,1,FIND("°",F50,1)-1)</f>
        <v>44</v>
      </c>
      <c r="N50" s="1" t="str">
        <f aca="false">MID(F50,FIND("°",F50,1)+1,(FIND("′",F50,1)-FIND("°",F50,1))-1)</f>
        <v>10</v>
      </c>
      <c r="O50" s="1" t="e">
        <f aca="false">MID(F50,FIND("′",F50,1)+1,(FIND("″",F50,1)-FIND("′",F50,1))-1)</f>
        <v>#VALUE!</v>
      </c>
      <c r="P50" s="2" t="e">
        <f aca="false">((((L50/60)+K50)/60)+J50)*IF(C50="S",-1, 1)</f>
        <v>#VALUE!</v>
      </c>
      <c r="Q50" s="2" t="e">
        <f aca="false">((((O50/60)+N50)/60)+M50)*IF(D50="W",-1, 1)</f>
        <v>#VALUE!</v>
      </c>
      <c r="R50" s="16" t="s">
        <v>120</v>
      </c>
    </row>
    <row r="51" customFormat="false" ht="15" hidden="false" customHeight="false" outlineLevel="0" collapsed="false">
      <c r="A51" s="1" t="n">
        <v>50</v>
      </c>
      <c r="B51" s="1" t="s">
        <v>56</v>
      </c>
      <c r="C51" s="1" t="s">
        <v>27</v>
      </c>
      <c r="D51" s="1" t="s">
        <v>20</v>
      </c>
      <c r="E51" s="7" t="s">
        <v>133</v>
      </c>
      <c r="F51" s="7" t="s">
        <v>134</v>
      </c>
      <c r="G51" s="7" t="s">
        <v>118</v>
      </c>
      <c r="H51" s="1" t="s">
        <v>24</v>
      </c>
      <c r="I51" s="7" t="s">
        <v>135</v>
      </c>
      <c r="J51" s="1" t="str">
        <f aca="false">MID(E51,1,FIND("°",E51,1)-1)</f>
        <v>4</v>
      </c>
      <c r="K51" s="1" t="str">
        <f aca="false">MID(E51,FIND("°",E51,1)+1,(FIND("′",E51,1)-FIND("°",E51,1))-1)</f>
        <v>25</v>
      </c>
      <c r="L51" s="1" t="e">
        <f aca="false">MID(E51,FIND("′",E51,1)+1,(FIND("″",E51,1)-FIND("′",E51,1))-1)</f>
        <v>#VALUE!</v>
      </c>
      <c r="M51" s="1" t="str">
        <f aca="false">MID(F51,1,FIND("°",F51,1)-1)</f>
        <v>37</v>
      </c>
      <c r="N51" s="1" t="str">
        <f aca="false">MID(F51,FIND("°",F51,1)+1,(FIND("′",F51,1)-FIND("°",F51,1))-1)</f>
        <v>16</v>
      </c>
      <c r="O51" s="1" t="e">
        <f aca="false">MID(F51,FIND("′",F51,1)+1,(FIND("″",F51,1)-FIND("′",F51,1))-1)</f>
        <v>#VALUE!</v>
      </c>
      <c r="P51" s="2" t="e">
        <f aca="false">((((L51/60)+K51)/60)+J51)*IF(C51="S",-1, 1)</f>
        <v>#VALUE!</v>
      </c>
      <c r="Q51" s="2" t="e">
        <f aca="false">((((O51/60)+N51)/60)+M51)*IF(D51="W",-1, 1)</f>
        <v>#VALUE!</v>
      </c>
      <c r="R51" s="16" t="s">
        <v>120</v>
      </c>
    </row>
    <row r="52" customFormat="false" ht="15" hidden="false" customHeight="false" outlineLevel="0" collapsed="false">
      <c r="A52" s="1" t="n">
        <v>51</v>
      </c>
      <c r="B52" s="1" t="s">
        <v>56</v>
      </c>
      <c r="C52" s="1" t="s">
        <v>27</v>
      </c>
      <c r="D52" s="1" t="s">
        <v>20</v>
      </c>
      <c r="E52" s="7" t="s">
        <v>136</v>
      </c>
      <c r="F52" s="7" t="s">
        <v>137</v>
      </c>
      <c r="G52" s="7" t="s">
        <v>118</v>
      </c>
      <c r="H52" s="1" t="s">
        <v>24</v>
      </c>
      <c r="I52" s="1" t="s">
        <v>138</v>
      </c>
      <c r="J52" s="1" t="str">
        <f aca="false">MID(E52,1,FIND("°",E52,1)-1)</f>
        <v>17</v>
      </c>
      <c r="K52" s="1" t="str">
        <f aca="false">MID(E52,FIND("°",E52,1)+1,(FIND("′",E52,1)-FIND("°",E52,1))-1)</f>
        <v>57</v>
      </c>
      <c r="L52" s="1" t="str">
        <f aca="false">MID(E52,FIND("′",E52,1)+1,(FIND("″",E52,1)-FIND("′",E52,1))-1)</f>
        <v>29</v>
      </c>
      <c r="M52" s="1" t="str">
        <f aca="false">MID(F52,1,FIND("°",F52,1)-1)</f>
        <v>38</v>
      </c>
      <c r="N52" s="1" t="str">
        <f aca="false">MID(F52,FIND("°",F52,1)+1,(FIND("′",F52,1)-FIND("°",F52,1))-1)</f>
        <v>42</v>
      </c>
      <c r="O52" s="1" t="str">
        <f aca="false">MID(F52,FIND("′",F52,1)+1,(FIND("″",F52,1)-FIND("′",F52,1))-1)</f>
        <v>09</v>
      </c>
      <c r="P52" s="2" t="n">
        <f aca="false">((((L52/60)+K52)/60)+J52)*IF(C52="S",-1, 1)</f>
        <v>-17.9580555555556</v>
      </c>
      <c r="Q52" s="2" t="n">
        <f aca="false">((((O52/60)+N52)/60)+M52)*IF(D52="W",-1, 1)</f>
        <v>-38.7025</v>
      </c>
      <c r="R52" s="16" t="s">
        <v>120</v>
      </c>
    </row>
    <row r="53" customFormat="false" ht="15" hidden="false" customHeight="false" outlineLevel="0" collapsed="false">
      <c r="A53" s="1" t="n">
        <v>52</v>
      </c>
      <c r="B53" s="1" t="s">
        <v>56</v>
      </c>
      <c r="C53" s="1" t="s">
        <v>27</v>
      </c>
      <c r="D53" s="1" t="s">
        <v>20</v>
      </c>
      <c r="E53" s="7" t="s">
        <v>139</v>
      </c>
      <c r="F53" s="7" t="s">
        <v>140</v>
      </c>
      <c r="G53" s="7" t="s">
        <v>118</v>
      </c>
      <c r="H53" s="1" t="s">
        <v>24</v>
      </c>
      <c r="I53" s="1" t="s">
        <v>141</v>
      </c>
      <c r="J53" s="1" t="str">
        <f aca="false">MID(E53,1,FIND("°",E53,1)-1)</f>
        <v>17</v>
      </c>
      <c r="K53" s="1" t="str">
        <f aca="false">MID(E53,FIND("°",E53,1)+1,(FIND("′",E53,1)-FIND("°",E53,1))-1)</f>
        <v>57</v>
      </c>
      <c r="L53" s="1" t="str">
        <f aca="false">MID(E53,FIND("′",E53,1)+1,(FIND("″",E53,1)-FIND("′",E53,1))-1)</f>
        <v>38</v>
      </c>
      <c r="M53" s="1" t="str">
        <f aca="false">MID(F53,1,FIND("°",F53,1)-1)</f>
        <v>38</v>
      </c>
      <c r="N53" s="1" t="str">
        <f aca="false">MID(F53,FIND("°",F53,1)+1,(FIND("′",F53,1)-FIND("°",F53,1))-1)</f>
        <v>42</v>
      </c>
      <c r="O53" s="1" t="str">
        <f aca="false">MID(F53,FIND("′",F53,1)+1,(FIND("″",F53,1)-FIND("′",F53,1))-1)</f>
        <v>55</v>
      </c>
      <c r="P53" s="2" t="n">
        <f aca="false">((((L53/60)+K53)/60)+J53)*IF(C53="S",-1, 1)</f>
        <v>-17.9605555555556</v>
      </c>
      <c r="Q53" s="2" t="n">
        <f aca="false">((((O53/60)+N53)/60)+M53)*IF(D53="W",-1, 1)</f>
        <v>-38.7152777777778</v>
      </c>
      <c r="R53" s="16" t="s">
        <v>120</v>
      </c>
    </row>
    <row r="54" customFormat="false" ht="15" hidden="false" customHeight="false" outlineLevel="0" collapsed="false">
      <c r="A54" s="1" t="n">
        <v>53</v>
      </c>
      <c r="B54" s="1" t="s">
        <v>56</v>
      </c>
      <c r="C54" s="1" t="s">
        <v>27</v>
      </c>
      <c r="D54" s="1" t="s">
        <v>20</v>
      </c>
      <c r="E54" s="7" t="s">
        <v>142</v>
      </c>
      <c r="F54" s="7" t="s">
        <v>143</v>
      </c>
      <c r="G54" s="7" t="s">
        <v>118</v>
      </c>
      <c r="H54" s="1" t="s">
        <v>24</v>
      </c>
      <c r="I54" s="1" t="s">
        <v>144</v>
      </c>
      <c r="J54" s="1" t="str">
        <f aca="false">MID(E54,1,FIND("°",E54,1)-1)</f>
        <v>17</v>
      </c>
      <c r="K54" s="1" t="str">
        <f aca="false">MID(E54,FIND("°",E54,1)+1,(FIND("′",E54,1)-FIND("°",E54,1))-1)</f>
        <v>57</v>
      </c>
      <c r="L54" s="1" t="str">
        <f aca="false">MID(E54,FIND("′",E54,1)+1,(FIND("″",E54,1)-FIND("′",E54,1))-1)</f>
        <v>59</v>
      </c>
      <c r="M54" s="1" t="str">
        <f aca="false">MID(F54,1,FIND("°",F54,1)-1)</f>
        <v>38</v>
      </c>
      <c r="N54" s="1" t="str">
        <f aca="false">MID(F54,FIND("°",F54,1)+1,(FIND("′",F54,1)-FIND("°",F54,1))-1)</f>
        <v>42</v>
      </c>
      <c r="O54" s="1" t="str">
        <f aca="false">MID(F54,FIND("′",F54,1)+1,(FIND("″",F54,1)-FIND("′",F54,1))-1)</f>
        <v>52</v>
      </c>
      <c r="P54" s="2" t="n">
        <f aca="false">((((L54/60)+K54)/60)+J54)*IF(C54="S",-1, 1)</f>
        <v>-17.9663888888889</v>
      </c>
      <c r="Q54" s="2" t="n">
        <f aca="false">((((O54/60)+N54)/60)+M54)*IF(D54="W",-1, 1)</f>
        <v>-38.7144444444444</v>
      </c>
      <c r="R54" s="16" t="s">
        <v>120</v>
      </c>
    </row>
    <row r="55" customFormat="false" ht="15" hidden="false" customHeight="false" outlineLevel="0" collapsed="false">
      <c r="A55" s="1" t="n">
        <v>54</v>
      </c>
      <c r="B55" s="1" t="s">
        <v>18</v>
      </c>
      <c r="C55" s="1" t="s">
        <v>27</v>
      </c>
      <c r="D55" s="1" t="s">
        <v>20</v>
      </c>
      <c r="E55" s="7" t="s">
        <v>127</v>
      </c>
      <c r="F55" s="7" t="s">
        <v>145</v>
      </c>
      <c r="G55" s="7" t="s">
        <v>118</v>
      </c>
      <c r="H55" s="1" t="s">
        <v>24</v>
      </c>
      <c r="I55" s="7" t="s">
        <v>146</v>
      </c>
      <c r="J55" s="1" t="str">
        <f aca="false">MID(E55,1,FIND("°",E55,1)-1)</f>
        <v>03</v>
      </c>
      <c r="K55" s="1" t="str">
        <f aca="false">MID(E55,FIND("°",E55,1)+1,(FIND("′",E55,1)-FIND("°",E55,1))-1)</f>
        <v>50</v>
      </c>
      <c r="L55" s="1" t="e">
        <f aca="false">MID(E55,FIND("′",E55,1)+1,(FIND("″",E55,1)-FIND("′",E55,1))-1)</f>
        <v>#VALUE!</v>
      </c>
      <c r="M55" s="1" t="str">
        <f aca="false">MID(F55,1,FIND("°",F55,1)-1)</f>
        <v>32</v>
      </c>
      <c r="N55" s="1" t="str">
        <f aca="false">MID(F55,FIND("°",F55,1)+1,(FIND("′",F55,1)-FIND("°",F55,1))-1)</f>
        <v>24</v>
      </c>
      <c r="O55" s="1" t="e">
        <f aca="false">MID(F55,FIND("′",F55,1)+1,(FIND("″",F55,1)-FIND("′",F55,1))-1)</f>
        <v>#VALUE!</v>
      </c>
      <c r="P55" s="2" t="e">
        <f aca="false">((((L55/60)+K55)/60)+J55)*IF(C55="S",-1, 1)</f>
        <v>#VALUE!</v>
      </c>
      <c r="Q55" s="2" t="e">
        <f aca="false">((((O55/60)+N55)/60)+M55)*IF(D55="W",-1, 1)</f>
        <v>#VALUE!</v>
      </c>
      <c r="R55" s="16" t="s">
        <v>120</v>
      </c>
    </row>
    <row r="56" customFormat="false" ht="15" hidden="false" customHeight="false" outlineLevel="0" collapsed="false">
      <c r="A56" s="1" t="n">
        <v>55</v>
      </c>
      <c r="B56" s="1" t="s">
        <v>18</v>
      </c>
      <c r="C56" s="1" t="s">
        <v>27</v>
      </c>
      <c r="D56" s="1" t="s">
        <v>20</v>
      </c>
      <c r="E56" s="17" t="s">
        <v>147</v>
      </c>
      <c r="F56" s="17" t="s">
        <v>148</v>
      </c>
      <c r="G56" s="7" t="s">
        <v>118</v>
      </c>
      <c r="H56" s="1" t="s">
        <v>24</v>
      </c>
      <c r="I56" s="7" t="s">
        <v>149</v>
      </c>
      <c r="J56" s="1" t="str">
        <f aca="false">MID(E56,1,FIND("°",E56,1)-1)</f>
        <v>03</v>
      </c>
      <c r="K56" s="1" t="str">
        <f aca="false">MID(E56,FIND("°",E56,1)+1,(FIND("′",E56,1)-FIND("°",E56,1))-1)</f>
        <v>45</v>
      </c>
      <c r="L56" s="1" t="e">
        <f aca="false">MID(E56,FIND("′",E56,1)+1,(FIND("″",E56,1)-FIND("′",E56,1))-1)</f>
        <v>#VALUE!</v>
      </c>
      <c r="M56" s="1" t="str">
        <f aca="false">MID(F56,1,FIND("°",F56,1)-1)</f>
        <v>32</v>
      </c>
      <c r="N56" s="1" t="str">
        <f aca="false">MID(F56,FIND("°",F56,1)+1,(FIND("′",F56,1)-FIND("°",F56,1))-1)</f>
        <v>19</v>
      </c>
      <c r="O56" s="1" t="e">
        <f aca="false">MID(F56,FIND("′",F56,1)+1,(FIND("″",F56,1)-FIND("′",F56,1))-1)</f>
        <v>#VALUE!</v>
      </c>
      <c r="P56" s="2" t="e">
        <f aca="false">((((L56/60)+K56)/60)+J56)*IF(C56="S",-1, 1)</f>
        <v>#VALUE!</v>
      </c>
      <c r="Q56" s="2" t="e">
        <f aca="false">((((O56/60)+N56)/60)+M56)*IF(D56="W",-1, 1)</f>
        <v>#VALUE!</v>
      </c>
      <c r="R56" s="16" t="s">
        <v>120</v>
      </c>
    </row>
    <row r="57" customFormat="false" ht="15" hidden="false" customHeight="false" outlineLevel="0" collapsed="false">
      <c r="A57" s="1" t="n">
        <v>56</v>
      </c>
      <c r="B57" s="1" t="s">
        <v>44</v>
      </c>
      <c r="C57" s="1" t="s">
        <v>27</v>
      </c>
      <c r="D57" s="1" t="s">
        <v>20</v>
      </c>
      <c r="E57" s="7" t="s">
        <v>127</v>
      </c>
      <c r="F57" s="7" t="s">
        <v>145</v>
      </c>
      <c r="G57" s="7" t="s">
        <v>118</v>
      </c>
      <c r="H57" s="1" t="s">
        <v>24</v>
      </c>
      <c r="I57" s="7" t="s">
        <v>146</v>
      </c>
      <c r="J57" s="1" t="str">
        <f aca="false">MID(E57,1,FIND("°",E57,1)-1)</f>
        <v>03</v>
      </c>
      <c r="K57" s="1" t="str">
        <f aca="false">MID(E57,FIND("°",E57,1)+1,(FIND("′",E57,1)-FIND("°",E57,1))-1)</f>
        <v>50</v>
      </c>
      <c r="L57" s="1" t="e">
        <f aca="false">MID(E57,FIND("′",E57,1)+1,(FIND("″",E57,1)-FIND("′",E57,1))-1)</f>
        <v>#VALUE!</v>
      </c>
      <c r="M57" s="1" t="str">
        <f aca="false">MID(F57,1,FIND("°",F57,1)-1)</f>
        <v>32</v>
      </c>
      <c r="N57" s="1" t="str">
        <f aca="false">MID(F57,FIND("°",F57,1)+1,(FIND("′",F57,1)-FIND("°",F57,1))-1)</f>
        <v>24</v>
      </c>
      <c r="O57" s="1" t="e">
        <f aca="false">MID(F57,FIND("′",F57,1)+1,(FIND("″",F57,1)-FIND("′",F57,1))-1)</f>
        <v>#VALUE!</v>
      </c>
      <c r="P57" s="2" t="e">
        <f aca="false">((((L57/60)+K57)/60)+J57)*IF(C57="S",-1, 1)</f>
        <v>#VALUE!</v>
      </c>
      <c r="Q57" s="2" t="e">
        <f aca="false">((((O57/60)+N57)/60)+M57)*IF(D57="W",-1, 1)</f>
        <v>#VALUE!</v>
      </c>
      <c r="R57" s="16" t="s">
        <v>120</v>
      </c>
    </row>
    <row r="58" customFormat="false" ht="15" hidden="false" customHeight="false" outlineLevel="0" collapsed="false">
      <c r="A58" s="1" t="n">
        <v>57</v>
      </c>
      <c r="B58" s="1" t="s">
        <v>56</v>
      </c>
      <c r="C58" s="1" t="s">
        <v>27</v>
      </c>
      <c r="D58" s="1" t="s">
        <v>20</v>
      </c>
      <c r="E58" s="7" t="s">
        <v>112</v>
      </c>
      <c r="F58" s="7" t="s">
        <v>113</v>
      </c>
      <c r="G58" s="1" t="s">
        <v>150</v>
      </c>
      <c r="H58" s="1" t="s">
        <v>24</v>
      </c>
      <c r="I58" s="15" t="s">
        <v>72</v>
      </c>
      <c r="J58" s="1" t="str">
        <f aca="false">MID(E58,1,FIND("°",E58,1)-1)</f>
        <v>8</v>
      </c>
      <c r="K58" s="1" t="str">
        <f aca="false">MID(E58,FIND("°",E58,1)+1,(FIND("′",E58,1)-FIND("°",E58,1))-1)</f>
        <v>30</v>
      </c>
      <c r="L58" s="1" t="str">
        <f aca="false">MID(E58,FIND("′",E58,1)+1,(FIND("″",E58,1)-FIND("′",E58,1))-1)</f>
        <v>54</v>
      </c>
      <c r="M58" s="1" t="str">
        <f aca="false">MID(F58,1,FIND("°",F58,1)-1)</f>
        <v>34</v>
      </c>
      <c r="N58" s="1" t="str">
        <f aca="false">MID(F58,FIND("°",F58,1)+1,(FIND("′",F58,1)-FIND("°",F58,1))-1)</f>
        <v>59</v>
      </c>
      <c r="O58" s="1" t="str">
        <f aca="false">MID(F58,FIND("′",F58,1)+1,(FIND("″",F58,1)-FIND("′",F58,1))-1)</f>
        <v>47</v>
      </c>
      <c r="P58" s="2" t="n">
        <f aca="false">((((L58/60)+K58)/60)+J58)*IF(C58="S",-1, 1)</f>
        <v>-8.515</v>
      </c>
      <c r="Q58" s="2" t="n">
        <f aca="false">((((O58/60)+N58)/60)+M58)*IF(D58="W",-1, 1)</f>
        <v>-34.9963888888889</v>
      </c>
      <c r="R58" s="16" t="s">
        <v>151</v>
      </c>
    </row>
    <row r="59" customFormat="false" ht="15" hidden="false" customHeight="false" outlineLevel="0" collapsed="false">
      <c r="A59" s="1" t="n">
        <v>58</v>
      </c>
      <c r="B59" s="1" t="s">
        <v>56</v>
      </c>
      <c r="C59" s="1" t="s">
        <v>27</v>
      </c>
      <c r="D59" s="1" t="s">
        <v>20</v>
      </c>
      <c r="E59" s="7" t="s">
        <v>74</v>
      </c>
      <c r="F59" s="7" t="s">
        <v>152</v>
      </c>
      <c r="G59" s="1" t="s">
        <v>153</v>
      </c>
      <c r="H59" s="1" t="s">
        <v>24</v>
      </c>
      <c r="I59" s="7" t="s">
        <v>154</v>
      </c>
      <c r="J59" s="1" t="str">
        <f aca="false">MID(E59,1,FIND("°",E59,1)-1)</f>
        <v>08</v>
      </c>
      <c r="K59" s="1" t="str">
        <f aca="false">MID(E59,FIND("°",E59,1)+1,(FIND("′",E59,1)-FIND("°",E59,1))-1)</f>
        <v>44</v>
      </c>
      <c r="L59" s="1" t="str">
        <f aca="false">MID(E59,FIND("′",E59,1)+1,(FIND("″",E59,1)-FIND("′",E59,1))-1)</f>
        <v>23</v>
      </c>
      <c r="M59" s="1" t="str">
        <f aca="false">MID(F59,1,FIND("°",F59,1)-1)</f>
        <v>35</v>
      </c>
      <c r="N59" s="1" t="str">
        <f aca="false">MID(F59,FIND("°",F59,1)+1,(FIND("′",F59,1)-FIND("°",F59,1))-1)</f>
        <v>07</v>
      </c>
      <c r="O59" s="1" t="str">
        <f aca="false">MID(F59,FIND("′",F59,1)+1,(FIND("″",F59,1)-FIND("′",F59,1))-1)</f>
        <v>29</v>
      </c>
      <c r="P59" s="2" t="n">
        <f aca="false">((((L59/60)+K59)/60)+J59)*IF(C59="S",-1, 1)</f>
        <v>-8.73972222222222</v>
      </c>
      <c r="Q59" s="2" t="n">
        <f aca="false">((((O59/60)+N59)/60)+M59)*IF(D59="W",-1, 1)</f>
        <v>-35.1247222222222</v>
      </c>
      <c r="R59" s="16" t="s">
        <v>151</v>
      </c>
    </row>
    <row r="60" customFormat="false" ht="15" hidden="false" customHeight="false" outlineLevel="0" collapsed="false">
      <c r="A60" s="1" t="n">
        <v>59</v>
      </c>
      <c r="B60" s="1" t="s">
        <v>56</v>
      </c>
      <c r="C60" s="1" t="s">
        <v>27</v>
      </c>
      <c r="D60" s="1" t="s">
        <v>20</v>
      </c>
      <c r="E60" s="7" t="s">
        <v>155</v>
      </c>
      <c r="F60" s="7" t="s">
        <v>75</v>
      </c>
      <c r="G60" s="1" t="s">
        <v>153</v>
      </c>
      <c r="H60" s="1" t="s">
        <v>24</v>
      </c>
      <c r="I60" s="7" t="s">
        <v>154</v>
      </c>
      <c r="J60" s="1" t="str">
        <f aca="false">MID(E60,1,FIND("°",E60,1)-1)</f>
        <v>08</v>
      </c>
      <c r="K60" s="1" t="str">
        <f aca="false">MID(E60,FIND("°",E60,1)+1,(FIND("′",E60,1)-FIND("°",E60,1))-1)</f>
        <v>44</v>
      </c>
      <c r="L60" s="1" t="str">
        <f aca="false">MID(E60,FIND("′",E60,1)+1,(FIND("″",E60,1)-FIND("′",E60,1))-1)</f>
        <v>41</v>
      </c>
      <c r="M60" s="1" t="str">
        <f aca="false">MID(F60,1,FIND("°",F60,1)-1)</f>
        <v>35</v>
      </c>
      <c r="N60" s="1" t="str">
        <f aca="false">MID(F60,FIND("°",F60,1)+1,(FIND("′",F60,1)-FIND("°",F60,1))-1)</f>
        <v>02</v>
      </c>
      <c r="O60" s="1" t="str">
        <f aca="false">MID(F60,FIND("′",F60,1)+1,(FIND("″",F60,1)-FIND("′",F60,1))-1)</f>
        <v>28</v>
      </c>
      <c r="P60" s="2" t="n">
        <f aca="false">((((L60/60)+K60)/60)+J60)*IF(C60="S",-1, 1)</f>
        <v>-8.74472222222222</v>
      </c>
      <c r="Q60" s="2" t="n">
        <f aca="false">((((O60/60)+N60)/60)+M60)*IF(D60="W",-1, 1)</f>
        <v>-35.0411111111111</v>
      </c>
      <c r="R60" s="16" t="s">
        <v>151</v>
      </c>
    </row>
    <row r="61" customFormat="false" ht="15" hidden="false" customHeight="false" outlineLevel="0" collapsed="false">
      <c r="A61" s="1" t="n">
        <v>60</v>
      </c>
      <c r="B61" s="1" t="s">
        <v>18</v>
      </c>
      <c r="C61" s="1" t="s">
        <v>27</v>
      </c>
      <c r="D61" s="1" t="s">
        <v>20</v>
      </c>
      <c r="E61" s="7" t="s">
        <v>112</v>
      </c>
      <c r="F61" s="7" t="s">
        <v>113</v>
      </c>
      <c r="G61" s="1" t="s">
        <v>150</v>
      </c>
      <c r="H61" s="1" t="s">
        <v>24</v>
      </c>
      <c r="I61" s="15" t="s">
        <v>72</v>
      </c>
      <c r="J61" s="1" t="str">
        <f aca="false">MID(E61,1,FIND("°",E61,1)-1)</f>
        <v>8</v>
      </c>
      <c r="K61" s="1" t="str">
        <f aca="false">MID(E61,FIND("°",E61,1)+1,(FIND("′",E61,1)-FIND("°",E61,1))-1)</f>
        <v>30</v>
      </c>
      <c r="L61" s="1" t="str">
        <f aca="false">MID(E61,FIND("′",E61,1)+1,(FIND("″",E61,1)-FIND("′",E61,1))-1)</f>
        <v>54</v>
      </c>
      <c r="M61" s="1" t="str">
        <f aca="false">MID(F61,1,FIND("°",F61,1)-1)</f>
        <v>34</v>
      </c>
      <c r="N61" s="1" t="str">
        <f aca="false">MID(F61,FIND("°",F61,1)+1,(FIND("′",F61,1)-FIND("°",F61,1))-1)</f>
        <v>59</v>
      </c>
      <c r="O61" s="1" t="str">
        <f aca="false">MID(F61,FIND("′",F61,1)+1,(FIND("″",F61,1)-FIND("′",F61,1))-1)</f>
        <v>47</v>
      </c>
      <c r="P61" s="2" t="n">
        <f aca="false">((((L61/60)+K61)/60)+J61)*IF(C61="S",-1, 1)</f>
        <v>-8.515</v>
      </c>
      <c r="Q61" s="2" t="n">
        <f aca="false">((((O61/60)+N61)/60)+M61)*IF(D61="W",-1, 1)</f>
        <v>-34.9963888888889</v>
      </c>
      <c r="R61" s="16" t="s">
        <v>151</v>
      </c>
    </row>
    <row r="62" customFormat="false" ht="15" hidden="false" customHeight="false" outlineLevel="0" collapsed="false">
      <c r="A62" s="1" t="n">
        <v>61</v>
      </c>
      <c r="B62" s="1" t="s">
        <v>18</v>
      </c>
      <c r="C62" s="1" t="s">
        <v>27</v>
      </c>
      <c r="D62" s="1" t="s">
        <v>20</v>
      </c>
      <c r="E62" s="7" t="s">
        <v>74</v>
      </c>
      <c r="F62" s="7" t="s">
        <v>152</v>
      </c>
      <c r="G62" s="1" t="s">
        <v>150</v>
      </c>
      <c r="H62" s="1" t="s">
        <v>24</v>
      </c>
      <c r="I62" s="7" t="s">
        <v>154</v>
      </c>
      <c r="J62" s="1" t="str">
        <f aca="false">MID(E62,1,FIND("°",E62,1)-1)</f>
        <v>08</v>
      </c>
      <c r="K62" s="1" t="str">
        <f aca="false">MID(E62,FIND("°",E62,1)+1,(FIND("′",E62,1)-FIND("°",E62,1))-1)</f>
        <v>44</v>
      </c>
      <c r="L62" s="1" t="str">
        <f aca="false">MID(E62,FIND("′",E62,1)+1,(FIND("″",E62,1)-FIND("′",E62,1))-1)</f>
        <v>23</v>
      </c>
      <c r="M62" s="1" t="str">
        <f aca="false">MID(F62,1,FIND("°",F62,1)-1)</f>
        <v>35</v>
      </c>
      <c r="N62" s="1" t="str">
        <f aca="false">MID(F62,FIND("°",F62,1)+1,(FIND("′",F62,1)-FIND("°",F62,1))-1)</f>
        <v>07</v>
      </c>
      <c r="O62" s="1" t="str">
        <f aca="false">MID(F62,FIND("′",F62,1)+1,(FIND("″",F62,1)-FIND("′",F62,1))-1)</f>
        <v>29</v>
      </c>
      <c r="P62" s="2" t="n">
        <f aca="false">((((L62/60)+K62)/60)+J62)*IF(C62="S",-1, 1)</f>
        <v>-8.73972222222222</v>
      </c>
      <c r="Q62" s="2" t="n">
        <f aca="false">((((O62/60)+N62)/60)+M62)*IF(D62="W",-1, 1)</f>
        <v>-35.1247222222222</v>
      </c>
      <c r="R62" s="16" t="s">
        <v>151</v>
      </c>
    </row>
    <row r="63" customFormat="false" ht="15" hidden="false" customHeight="false" outlineLevel="0" collapsed="false">
      <c r="A63" s="1" t="n">
        <v>62</v>
      </c>
      <c r="B63" s="1" t="s">
        <v>18</v>
      </c>
      <c r="C63" s="1" t="s">
        <v>27</v>
      </c>
      <c r="D63" s="1" t="s">
        <v>20</v>
      </c>
      <c r="E63" s="7" t="s">
        <v>155</v>
      </c>
      <c r="F63" s="7" t="s">
        <v>75</v>
      </c>
      <c r="G63" s="1" t="s">
        <v>150</v>
      </c>
      <c r="H63" s="1" t="s">
        <v>24</v>
      </c>
      <c r="I63" s="7" t="s">
        <v>154</v>
      </c>
      <c r="J63" s="1" t="str">
        <f aca="false">MID(E63,1,FIND("°",E63,1)-1)</f>
        <v>08</v>
      </c>
      <c r="K63" s="1" t="str">
        <f aca="false">MID(E63,FIND("°",E63,1)+1,(FIND("′",E63,1)-FIND("°",E63,1))-1)</f>
        <v>44</v>
      </c>
      <c r="L63" s="1" t="str">
        <f aca="false">MID(E63,FIND("′",E63,1)+1,(FIND("″",E63,1)-FIND("′",E63,1))-1)</f>
        <v>41</v>
      </c>
      <c r="M63" s="1" t="str">
        <f aca="false">MID(F63,1,FIND("°",F63,1)-1)</f>
        <v>35</v>
      </c>
      <c r="N63" s="1" t="str">
        <f aca="false">MID(F63,FIND("°",F63,1)+1,(FIND("′",F63,1)-FIND("°",F63,1))-1)</f>
        <v>02</v>
      </c>
      <c r="O63" s="1" t="str">
        <f aca="false">MID(F63,FIND("′",F63,1)+1,(FIND("″",F63,1)-FIND("′",F63,1))-1)</f>
        <v>28</v>
      </c>
      <c r="P63" s="2" t="n">
        <f aca="false">((((L63/60)+K63)/60)+J63)*IF(C63="S",-1, 1)</f>
        <v>-8.74472222222222</v>
      </c>
      <c r="Q63" s="2" t="n">
        <f aca="false">((((O63/60)+N63)/60)+M63)*IF(D63="W",-1, 1)</f>
        <v>-35.0411111111111</v>
      </c>
      <c r="R63" s="16" t="s">
        <v>151</v>
      </c>
    </row>
    <row r="64" customFormat="false" ht="15" hidden="false" customHeight="false" outlineLevel="0" collapsed="false">
      <c r="A64" s="1" t="n">
        <v>63</v>
      </c>
      <c r="B64" s="1" t="s">
        <v>44</v>
      </c>
      <c r="C64" s="1" t="s">
        <v>27</v>
      </c>
      <c r="D64" s="1" t="s">
        <v>20</v>
      </c>
      <c r="E64" s="7" t="s">
        <v>112</v>
      </c>
      <c r="F64" s="7" t="s">
        <v>113</v>
      </c>
      <c r="G64" s="1" t="s">
        <v>150</v>
      </c>
      <c r="H64" s="1" t="s">
        <v>24</v>
      </c>
      <c r="I64" s="15" t="s">
        <v>72</v>
      </c>
      <c r="J64" s="1" t="str">
        <f aca="false">MID(E64,1,FIND("°",E64,1)-1)</f>
        <v>8</v>
      </c>
      <c r="K64" s="1" t="str">
        <f aca="false">MID(E64,FIND("°",E64,1)+1,(FIND("′",E64,1)-FIND("°",E64,1))-1)</f>
        <v>30</v>
      </c>
      <c r="L64" s="1" t="str">
        <f aca="false">MID(E64,FIND("′",E64,1)+1,(FIND("″",E64,1)-FIND("′",E64,1))-1)</f>
        <v>54</v>
      </c>
      <c r="M64" s="1" t="str">
        <f aca="false">MID(F64,1,FIND("°",F64,1)-1)</f>
        <v>34</v>
      </c>
      <c r="N64" s="1" t="str">
        <f aca="false">MID(F64,FIND("°",F64,1)+1,(FIND("′",F64,1)-FIND("°",F64,1))-1)</f>
        <v>59</v>
      </c>
      <c r="O64" s="1" t="str">
        <f aca="false">MID(F64,FIND("′",F64,1)+1,(FIND("″",F64,1)-FIND("′",F64,1))-1)</f>
        <v>47</v>
      </c>
      <c r="P64" s="2" t="n">
        <f aca="false">((((L64/60)+K64)/60)+J64)*IF(C64="S",-1, 1)</f>
        <v>-8.515</v>
      </c>
      <c r="Q64" s="2" t="n">
        <f aca="false">((((O64/60)+N64)/60)+M64)*IF(D64="W",-1, 1)</f>
        <v>-34.9963888888889</v>
      </c>
      <c r="R64" s="16" t="s">
        <v>151</v>
      </c>
    </row>
    <row r="65" customFormat="false" ht="15" hidden="false" customHeight="false" outlineLevel="0" collapsed="false">
      <c r="A65" s="1" t="n">
        <v>64</v>
      </c>
      <c r="B65" s="1" t="s">
        <v>44</v>
      </c>
      <c r="C65" s="1" t="s">
        <v>27</v>
      </c>
      <c r="D65" s="1" t="s">
        <v>20</v>
      </c>
      <c r="E65" s="7" t="s">
        <v>74</v>
      </c>
      <c r="F65" s="7" t="s">
        <v>152</v>
      </c>
      <c r="G65" s="1" t="s">
        <v>150</v>
      </c>
      <c r="H65" s="1" t="s">
        <v>24</v>
      </c>
      <c r="I65" s="7" t="s">
        <v>154</v>
      </c>
      <c r="J65" s="1" t="str">
        <f aca="false">MID(E65,1,FIND("°",E65,1)-1)</f>
        <v>08</v>
      </c>
      <c r="K65" s="1" t="str">
        <f aca="false">MID(E65,FIND("°",E65,1)+1,(FIND("′",E65,1)-FIND("°",E65,1))-1)</f>
        <v>44</v>
      </c>
      <c r="L65" s="1" t="str">
        <f aca="false">MID(E65,FIND("′",E65,1)+1,(FIND("″",E65,1)-FIND("′",E65,1))-1)</f>
        <v>23</v>
      </c>
      <c r="M65" s="1" t="str">
        <f aca="false">MID(F65,1,FIND("°",F65,1)-1)</f>
        <v>35</v>
      </c>
      <c r="N65" s="1" t="str">
        <f aca="false">MID(F65,FIND("°",F65,1)+1,(FIND("′",F65,1)-FIND("°",F65,1))-1)</f>
        <v>07</v>
      </c>
      <c r="O65" s="1" t="str">
        <f aca="false">MID(F65,FIND("′",F65,1)+1,(FIND("″",F65,1)-FIND("′",F65,1))-1)</f>
        <v>29</v>
      </c>
      <c r="P65" s="2" t="n">
        <f aca="false">((((L65/60)+K65)/60)+J65)*IF(C65="S",-1, 1)</f>
        <v>-8.73972222222222</v>
      </c>
      <c r="Q65" s="2" t="n">
        <f aca="false">((((O65/60)+N65)/60)+M65)*IF(D65="W",-1, 1)</f>
        <v>-35.1247222222222</v>
      </c>
      <c r="R65" s="16" t="s">
        <v>151</v>
      </c>
    </row>
    <row r="66" customFormat="false" ht="15" hidden="false" customHeight="false" outlineLevel="0" collapsed="false">
      <c r="A66" s="1" t="n">
        <v>65</v>
      </c>
      <c r="B66" s="1" t="s">
        <v>44</v>
      </c>
      <c r="C66" s="1" t="s">
        <v>27</v>
      </c>
      <c r="D66" s="1" t="s">
        <v>20</v>
      </c>
      <c r="E66" s="7" t="s">
        <v>155</v>
      </c>
      <c r="F66" s="7" t="s">
        <v>75</v>
      </c>
      <c r="G66" s="1" t="s">
        <v>150</v>
      </c>
      <c r="H66" s="1" t="s">
        <v>24</v>
      </c>
      <c r="I66" s="7" t="s">
        <v>154</v>
      </c>
      <c r="J66" s="1" t="str">
        <f aca="false">MID(E66,1,FIND("°",E66,1)-1)</f>
        <v>08</v>
      </c>
      <c r="K66" s="1" t="str">
        <f aca="false">MID(E66,FIND("°",E66,1)+1,(FIND("′",E66,1)-FIND("°",E66,1))-1)</f>
        <v>44</v>
      </c>
      <c r="L66" s="1" t="str">
        <f aca="false">MID(E66,FIND("′",E66,1)+1,(FIND("″",E66,1)-FIND("′",E66,1))-1)</f>
        <v>41</v>
      </c>
      <c r="M66" s="1" t="str">
        <f aca="false">MID(F66,1,FIND("°",F66,1)-1)</f>
        <v>35</v>
      </c>
      <c r="N66" s="1" t="str">
        <f aca="false">MID(F66,FIND("°",F66,1)+1,(FIND("′",F66,1)-FIND("°",F66,1))-1)</f>
        <v>02</v>
      </c>
      <c r="O66" s="1" t="str">
        <f aca="false">MID(F66,FIND("′",F66,1)+1,(FIND("″",F66,1)-FIND("′",F66,1))-1)</f>
        <v>28</v>
      </c>
      <c r="P66" s="2" t="n">
        <f aca="false">((((L66/60)+K66)/60)+J66)*IF(C66="S",-1, 1)</f>
        <v>-8.74472222222222</v>
      </c>
      <c r="Q66" s="2" t="n">
        <f aca="false">((((O66/60)+N66)/60)+M66)*IF(D66="W",-1, 1)</f>
        <v>-35.0411111111111</v>
      </c>
      <c r="R66" s="16" t="s">
        <v>151</v>
      </c>
    </row>
    <row r="67" customFormat="false" ht="15" hidden="false" customHeight="false" outlineLevel="0" collapsed="false">
      <c r="A67" s="1" t="n">
        <v>66</v>
      </c>
      <c r="B67" s="1" t="s">
        <v>56</v>
      </c>
      <c r="C67" s="1" t="s">
        <v>27</v>
      </c>
      <c r="D67" s="1" t="s">
        <v>20</v>
      </c>
      <c r="E67" s="7" t="s">
        <v>156</v>
      </c>
      <c r="F67" s="2" t="s">
        <v>157</v>
      </c>
      <c r="G67" s="1" t="s">
        <v>158</v>
      </c>
      <c r="H67" s="1" t="s">
        <v>24</v>
      </c>
      <c r="I67" s="7" t="s">
        <v>149</v>
      </c>
      <c r="J67" s="1" t="str">
        <f aca="false">MID(E67,1,FIND("°",E67,1)-1)</f>
        <v>03</v>
      </c>
      <c r="K67" s="1" t="str">
        <f aca="false">MID(E67,FIND("°",E67,1)+1,(FIND("′",E67,1)-FIND("°",E67,1))-1)</f>
        <v>52</v>
      </c>
      <c r="L67" s="1" t="e">
        <f aca="false">MID(E67,FIND("′",E67,1)+1,(FIND("″",E67,1)-FIND("′",E67,1))-1)</f>
        <v>#VALUE!</v>
      </c>
      <c r="M67" s="1" t="str">
        <f aca="false">MID(F67,1,FIND("°",F67,1)-1)</f>
        <v>33</v>
      </c>
      <c r="N67" s="1" t="str">
        <f aca="false">MID(F67,FIND("°",F67,1)+1,(FIND("′",F67,1)-FIND("°",F67,1))-1)</f>
        <v>48</v>
      </c>
      <c r="O67" s="1" t="e">
        <f aca="false">MID(F67,FIND("′",F67,1)+1,(FIND("″",F67,1)-FIND("′",F67,1))-1)</f>
        <v>#VALUE!</v>
      </c>
      <c r="P67" s="2" t="e">
        <f aca="false">((((L67/60)+K67)/60)+J67)*IF(C67="S",-1, 1)</f>
        <v>#VALUE!</v>
      </c>
      <c r="Q67" s="2" t="e">
        <f aca="false">((((O67/60)+N67)/60)+M67)*IF(D67="W",-1, 1)</f>
        <v>#VALUE!</v>
      </c>
      <c r="R67" s="16" t="s">
        <v>159</v>
      </c>
    </row>
    <row r="68" customFormat="false" ht="15" hidden="false" customHeight="false" outlineLevel="0" collapsed="false">
      <c r="A68" s="1" t="n">
        <v>67</v>
      </c>
      <c r="B68" s="1" t="s">
        <v>56</v>
      </c>
      <c r="C68" s="1" t="s">
        <v>27</v>
      </c>
      <c r="D68" s="1" t="s">
        <v>20</v>
      </c>
      <c r="E68" s="7" t="s">
        <v>160</v>
      </c>
      <c r="F68" s="2" t="s">
        <v>161</v>
      </c>
      <c r="G68" s="1" t="s">
        <v>158</v>
      </c>
      <c r="H68" s="1" t="s">
        <v>24</v>
      </c>
      <c r="I68" s="7" t="s">
        <v>162</v>
      </c>
      <c r="J68" s="1" t="str">
        <f aca="false">MID(E68,1,FIND("°",E68,1)-1)</f>
        <v>03</v>
      </c>
      <c r="K68" s="1" t="str">
        <f aca="false">MID(E68,FIND("°",E68,1)+1,(FIND("′",E68,1)-FIND("°",E68,1))-1)</f>
        <v>51</v>
      </c>
      <c r="L68" s="1" t="e">
        <f aca="false">MID(E68,FIND("′",E68,1)+1,(FIND("″",E68,1)-FIND("′",E68,1))-1)</f>
        <v>#VALUE!</v>
      </c>
      <c r="M68" s="1" t="str">
        <f aca="false">MID(F68,1,FIND("°",F68,1)-1)</f>
        <v>32</v>
      </c>
      <c r="N68" s="1" t="str">
        <f aca="false">MID(F68,FIND("°",F68,1)+1,(FIND("′",F68,1)-FIND("°",F68,1))-1)</f>
        <v>25</v>
      </c>
      <c r="O68" s="1" t="e">
        <f aca="false">MID(F68,FIND("′",F68,1)+1,(FIND("″",F68,1)-FIND("′",F68,1))-1)</f>
        <v>#VALUE!</v>
      </c>
      <c r="P68" s="2" t="e">
        <f aca="false">((((L68/60)+K68)/60)+J68)*IF(C68="S",-1, 1)</f>
        <v>#VALUE!</v>
      </c>
      <c r="Q68" s="2" t="e">
        <f aca="false">((((O68/60)+N68)/60)+M68)*IF(D68="W",-1, 1)</f>
        <v>#VALUE!</v>
      </c>
      <c r="R68" s="16" t="s">
        <v>159</v>
      </c>
    </row>
    <row r="69" customFormat="false" ht="15" hidden="false" customHeight="false" outlineLevel="0" collapsed="false">
      <c r="A69" s="1" t="n">
        <v>68</v>
      </c>
      <c r="B69" s="1" t="s">
        <v>56</v>
      </c>
      <c r="C69" s="1" t="s">
        <v>27</v>
      </c>
      <c r="D69" s="1" t="s">
        <v>20</v>
      </c>
      <c r="E69" s="7" t="s">
        <v>163</v>
      </c>
      <c r="F69" s="2" t="s">
        <v>164</v>
      </c>
      <c r="G69" s="1" t="s">
        <v>158</v>
      </c>
      <c r="H69" s="1" t="s">
        <v>24</v>
      </c>
      <c r="I69" s="7" t="s">
        <v>165</v>
      </c>
      <c r="J69" s="1" t="str">
        <f aca="false">MID(E69,1,FIND("°",E69,1)-1)</f>
        <v>20</v>
      </c>
      <c r="K69" s="1" t="str">
        <f aca="false">MID(E69,FIND("°",E69,1)+1,(FIND("′",E69,1)-FIND("°",E69,1))-1)</f>
        <v>28</v>
      </c>
      <c r="L69" s="1" t="e">
        <f aca="false">MID(E69,FIND("′",E69,1)+1,(FIND("″",E69,1)-FIND("′",E69,1))-1)</f>
        <v>#VALUE!</v>
      </c>
      <c r="M69" s="1" t="str">
        <f aca="false">MID(F69,1,FIND("°",F69,1)-1)</f>
        <v>29</v>
      </c>
      <c r="N69" s="1" t="str">
        <f aca="false">MID(F69,FIND("°",F69,1)+1,(FIND("′",F69,1)-FIND("°",F69,1))-1)</f>
        <v>21</v>
      </c>
      <c r="O69" s="1" t="e">
        <f aca="false">MID(F69,FIND("′",F69,1)+1,(FIND("″",F69,1)-FIND("′",F69,1))-1)</f>
        <v>#VALUE!</v>
      </c>
      <c r="P69" s="2" t="e">
        <f aca="false">((((L69/60)+K69)/60)+J69)*IF(C69="S",-1, 1)</f>
        <v>#VALUE!</v>
      </c>
      <c r="Q69" s="2" t="e">
        <f aca="false">((((O69/60)+N69)/60)+M69)*IF(D69="W",-1, 1)</f>
        <v>#VALUE!</v>
      </c>
      <c r="R69" s="16" t="s">
        <v>159</v>
      </c>
    </row>
    <row r="70" customFormat="false" ht="15" hidden="false" customHeight="false" outlineLevel="0" collapsed="false">
      <c r="A70" s="1" t="n">
        <v>69</v>
      </c>
      <c r="B70" s="1" t="s">
        <v>18</v>
      </c>
      <c r="C70" s="1" t="s">
        <v>27</v>
      </c>
      <c r="D70" s="1" t="s">
        <v>20</v>
      </c>
      <c r="E70" s="7" t="s">
        <v>160</v>
      </c>
      <c r="F70" s="2" t="s">
        <v>157</v>
      </c>
      <c r="G70" s="1" t="s">
        <v>166</v>
      </c>
      <c r="H70" s="1" t="s">
        <v>24</v>
      </c>
      <c r="I70" s="7" t="s">
        <v>149</v>
      </c>
      <c r="J70" s="1" t="str">
        <f aca="false">MID(E70,1,FIND("°",E70,1)-1)</f>
        <v>03</v>
      </c>
      <c r="K70" s="1" t="str">
        <f aca="false">MID(E70,FIND("°",E70,1)+1,(FIND("′",E70,1)-FIND("°",E70,1))-1)</f>
        <v>51</v>
      </c>
      <c r="L70" s="1" t="e">
        <f aca="false">MID(E70,FIND("′",E70,1)+1,(FIND("″",E70,1)-FIND("′",E70,1))-1)</f>
        <v>#VALUE!</v>
      </c>
      <c r="M70" s="1" t="str">
        <f aca="false">MID(F70,1,FIND("°",F70,1)-1)</f>
        <v>33</v>
      </c>
      <c r="N70" s="1" t="str">
        <f aca="false">MID(F70,FIND("°",F70,1)+1,(FIND("′",F70,1)-FIND("°",F70,1))-1)</f>
        <v>48</v>
      </c>
      <c r="O70" s="1" t="e">
        <f aca="false">MID(F70,FIND("′",F70,1)+1,(FIND("″",F70,1)-FIND("′",F70,1))-1)</f>
        <v>#VALUE!</v>
      </c>
      <c r="P70" s="2" t="e">
        <f aca="false">((((L70/60)+K70)/60)+J70)*IF(C70="S",-1, 1)</f>
        <v>#VALUE!</v>
      </c>
      <c r="Q70" s="2" t="e">
        <f aca="false">((((O70/60)+N70)/60)+M70)*IF(D70="W",-1, 1)</f>
        <v>#VALUE!</v>
      </c>
      <c r="R70" s="16" t="s">
        <v>167</v>
      </c>
    </row>
    <row r="71" customFormat="false" ht="15" hidden="false" customHeight="false" outlineLevel="0" collapsed="false">
      <c r="A71" s="1" t="n">
        <v>70</v>
      </c>
      <c r="B71" s="1" t="s">
        <v>44</v>
      </c>
      <c r="C71" s="1" t="s">
        <v>27</v>
      </c>
      <c r="D71" s="1" t="s">
        <v>20</v>
      </c>
      <c r="E71" s="7" t="s">
        <v>160</v>
      </c>
      <c r="F71" s="2" t="s">
        <v>157</v>
      </c>
      <c r="G71" s="1" t="s">
        <v>166</v>
      </c>
      <c r="H71" s="1" t="s">
        <v>24</v>
      </c>
      <c r="I71" s="7" t="s">
        <v>149</v>
      </c>
      <c r="J71" s="1" t="str">
        <f aca="false">MID(E71,1,FIND("°",E71,1)-1)</f>
        <v>03</v>
      </c>
      <c r="K71" s="1" t="str">
        <f aca="false">MID(E71,FIND("°",E71,1)+1,(FIND("′",E71,1)-FIND("°",E71,1))-1)</f>
        <v>51</v>
      </c>
      <c r="L71" s="1" t="e">
        <f aca="false">MID(E71,FIND("′",E71,1)+1,(FIND("″",E71,1)-FIND("′",E71,1))-1)</f>
        <v>#VALUE!</v>
      </c>
      <c r="M71" s="1" t="str">
        <f aca="false">MID(F71,1,FIND("°",F71,1)-1)</f>
        <v>33</v>
      </c>
      <c r="N71" s="1" t="str">
        <f aca="false">MID(F71,FIND("°",F71,1)+1,(FIND("′",F71,1)-FIND("°",F71,1))-1)</f>
        <v>48</v>
      </c>
      <c r="O71" s="1" t="e">
        <f aca="false">MID(F71,FIND("′",F71,1)+1,(FIND("″",F71,1)-FIND("′",F71,1))-1)</f>
        <v>#VALUE!</v>
      </c>
      <c r="P71" s="2" t="e">
        <f aca="false">((((L71/60)+K71)/60)+J71)*IF(C71="S",-1, 1)</f>
        <v>#VALUE!</v>
      </c>
      <c r="Q71" s="2" t="e">
        <f aca="false">((((O71/60)+N71)/60)+M71)*IF(D71="W",-1, 1)</f>
        <v>#VALUE!</v>
      </c>
      <c r="R71" s="16" t="s">
        <v>167</v>
      </c>
    </row>
    <row r="72" customFormat="false" ht="15" hidden="false" customHeight="false" outlineLevel="0" collapsed="false">
      <c r="A72" s="1" t="n">
        <v>71</v>
      </c>
      <c r="B72" s="1" t="s">
        <v>56</v>
      </c>
      <c r="C72" s="1" t="s">
        <v>27</v>
      </c>
      <c r="D72" s="1" t="s">
        <v>20</v>
      </c>
      <c r="E72" s="7" t="s">
        <v>160</v>
      </c>
      <c r="F72" s="2" t="s">
        <v>157</v>
      </c>
      <c r="G72" s="1" t="s">
        <v>166</v>
      </c>
      <c r="H72" s="1" t="s">
        <v>24</v>
      </c>
      <c r="I72" s="7" t="s">
        <v>149</v>
      </c>
      <c r="J72" s="1" t="str">
        <f aca="false">MID(E72,1,FIND("°",E72,1)-1)</f>
        <v>03</v>
      </c>
      <c r="K72" s="1" t="str">
        <f aca="false">MID(E72,FIND("°",E72,1)+1,(FIND("′",E72,1)-FIND("°",E72,1))-1)</f>
        <v>51</v>
      </c>
      <c r="L72" s="1" t="e">
        <f aca="false">MID(E72,FIND("′",E72,1)+1,(FIND("″",E72,1)-FIND("′",E72,1))-1)</f>
        <v>#VALUE!</v>
      </c>
      <c r="M72" s="1" t="str">
        <f aca="false">MID(F72,1,FIND("°",F72,1)-1)</f>
        <v>33</v>
      </c>
      <c r="N72" s="1" t="str">
        <f aca="false">MID(F72,FIND("°",F72,1)+1,(FIND("′",F72,1)-FIND("°",F72,1))-1)</f>
        <v>48</v>
      </c>
      <c r="O72" s="1" t="e">
        <f aca="false">MID(F72,FIND("′",F72,1)+1,(FIND("″",F72,1)-FIND("′",F72,1))-1)</f>
        <v>#VALUE!</v>
      </c>
      <c r="P72" s="2" t="e">
        <f aca="false">((((L72/60)+K72)/60)+J72)*IF(C72="S",-1, 1)</f>
        <v>#VALUE!</v>
      </c>
      <c r="Q72" s="2" t="e">
        <f aca="false">((((O72/60)+N72)/60)+M72)*IF(D72="W",-1, 1)</f>
        <v>#VALUE!</v>
      </c>
      <c r="R72" s="16" t="s">
        <v>167</v>
      </c>
    </row>
    <row r="73" customFormat="false" ht="15" hidden="false" customHeight="false" outlineLevel="0" collapsed="false">
      <c r="A73" s="1" t="n">
        <v>72</v>
      </c>
      <c r="B73" s="1" t="s">
        <v>56</v>
      </c>
      <c r="C73" s="1" t="s">
        <v>27</v>
      </c>
      <c r="D73" s="1" t="s">
        <v>20</v>
      </c>
      <c r="E73" s="7" t="s">
        <v>168</v>
      </c>
      <c r="F73" s="7" t="s">
        <v>169</v>
      </c>
      <c r="G73" s="7" t="s">
        <v>170</v>
      </c>
      <c r="H73" s="1" t="s">
        <v>24</v>
      </c>
      <c r="I73" s="7" t="s">
        <v>171</v>
      </c>
      <c r="J73" s="1" t="str">
        <f aca="false">MID(E73,1,FIND("°",E73,1)-1)</f>
        <v>8</v>
      </c>
      <c r="K73" s="1" t="str">
        <f aca="false">MID(E73,FIND("°",E73,1)+1,(FIND("′",E73,1)-FIND("°",E73,1))-1)</f>
        <v>45</v>
      </c>
      <c r="L73" s="1" t="e">
        <f aca="false">MID(E73,FIND("′",E73,1)+1,(FIND("″",E73,1)-FIND("′",E73,1))-1)</f>
        <v>#VALUE!</v>
      </c>
      <c r="M73" s="1" t="str">
        <f aca="false">MID(F73,1,FIND("°",F73,1)-1)</f>
        <v>34</v>
      </c>
      <c r="N73" s="1" t="str">
        <f aca="false">MID(F73,FIND("°",F73,1)+1,(FIND("′",F73,1)-FIND("°",F73,1))-1)</f>
        <v>57</v>
      </c>
      <c r="O73" s="1" t="e">
        <f aca="false">MID(F73,FIND("′",F73,1)+1,(FIND("″",F73,1)-FIND("′",F73,1))-1)</f>
        <v>#VALUE!</v>
      </c>
      <c r="P73" s="2" t="e">
        <f aca="false">((((L73/60)+K73)/60)+J73)*IF(C73="S",-1, 1)</f>
        <v>#VALUE!</v>
      </c>
      <c r="Q73" s="2" t="e">
        <f aca="false">((((O73/60)+N73)/60)+M73)*IF(D73="W",-1, 1)</f>
        <v>#VALUE!</v>
      </c>
      <c r="R73" s="16" t="s">
        <v>172</v>
      </c>
    </row>
    <row r="74" customFormat="false" ht="15" hidden="false" customHeight="false" outlineLevel="0" collapsed="false">
      <c r="A74" s="1" t="n">
        <v>73</v>
      </c>
      <c r="B74" s="1" t="s">
        <v>56</v>
      </c>
      <c r="C74" s="1" t="s">
        <v>19</v>
      </c>
      <c r="D74" s="1" t="s">
        <v>20</v>
      </c>
      <c r="E74" s="7" t="s">
        <v>173</v>
      </c>
      <c r="F74" s="7" t="s">
        <v>174</v>
      </c>
      <c r="G74" s="7" t="s">
        <v>175</v>
      </c>
      <c r="H74" s="1" t="s">
        <v>24</v>
      </c>
      <c r="I74" s="7" t="s">
        <v>91</v>
      </c>
      <c r="J74" s="1" t="str">
        <f aca="false">MID(E74,1,FIND("°",E74,1)-1)</f>
        <v>00</v>
      </c>
      <c r="K74" s="1" t="str">
        <f aca="false">MID(E74,FIND("°",E74,1)+1,(FIND("′",E74,1)-FIND("°",E74,1))-1)</f>
        <v>55</v>
      </c>
      <c r="L74" s="1" t="str">
        <f aca="false">MID(E74,FIND("′",E74,1)+1,(FIND("″",E74,1)-FIND("′",E74,1))-1)</f>
        <v>01</v>
      </c>
      <c r="M74" s="1" t="str">
        <f aca="false">MID(F74,1,FIND("°",F74,1)-1)</f>
        <v>29</v>
      </c>
      <c r="N74" s="1" t="str">
        <f aca="false">MID(F74,FIND("°",F74,1)+1,(FIND("′",F74,1)-FIND("°",F74,1))-1)</f>
        <v>20</v>
      </c>
      <c r="O74" s="1" t="str">
        <f aca="false">MID(F74,FIND("′",F74,1)+1,(FIND("″",F74,1)-FIND("′",F74,1))-1)</f>
        <v>44</v>
      </c>
      <c r="P74" s="2" t="n">
        <f aca="false">((((L74/60)+K74)/60)+J74)*IF(C74="S",-1, 1)</f>
        <v>0.916944444444445</v>
      </c>
      <c r="Q74" s="2" t="n">
        <f aca="false">((((O74/60)+N74)/60)+M74)*IF(D74="W",-1, 1)</f>
        <v>-29.3455555555556</v>
      </c>
      <c r="R74" s="16" t="s">
        <v>176</v>
      </c>
    </row>
    <row r="75" customFormat="false" ht="15" hidden="false" customHeight="false" outlineLevel="0" collapsed="false">
      <c r="A75" s="1" t="n">
        <v>74</v>
      </c>
      <c r="B75" s="1" t="s">
        <v>56</v>
      </c>
      <c r="C75" s="1" t="s">
        <v>27</v>
      </c>
      <c r="D75" s="1" t="s">
        <v>20</v>
      </c>
      <c r="E75" s="7" t="s">
        <v>177</v>
      </c>
      <c r="F75" s="7" t="s">
        <v>178</v>
      </c>
      <c r="G75" s="7" t="s">
        <v>179</v>
      </c>
      <c r="H75" s="1" t="s">
        <v>24</v>
      </c>
      <c r="I75" s="7" t="s">
        <v>41</v>
      </c>
      <c r="J75" s="1" t="str">
        <f aca="false">MID(E75,1,FIND("°",E75,1)-1)</f>
        <v>04</v>
      </c>
      <c r="K75" s="1" t="str">
        <f aca="false">MID(E75,FIND("°",E75,1)+1,(FIND("′",E75,1)-FIND("°",E75,1))-1)</f>
        <v>37</v>
      </c>
      <c r="L75" s="1" t="str">
        <f aca="false">MID(E75,FIND("′",E75,1)+1,(FIND("″",E75,1)-FIND("′",E75,1))-1)</f>
        <v>48,0</v>
      </c>
      <c r="M75" s="1" t="str">
        <f aca="false">MID(F75,1,FIND("°",F75,1)-1)</f>
        <v>37</v>
      </c>
      <c r="N75" s="1" t="str">
        <f aca="false">MID(F75,FIND("°",F75,1)+1,(FIND("′",F75,1)-FIND("°",F75,1))-1)</f>
        <v>30</v>
      </c>
      <c r="O75" s="1" t="str">
        <f aca="false">MID(F75,FIND("′",F75,1)+1,(FIND("″",F75,1)-FIND("′",F75,1))-1)</f>
        <v>22,9</v>
      </c>
      <c r="P75" s="2" t="n">
        <f aca="false">((((L75/60)+K75)/60)+J75)*IF(C75="S",-1, 1)</f>
        <v>-4.63</v>
      </c>
      <c r="Q75" s="2" t="n">
        <f aca="false">((((O75/60)+N75)/60)+M75)*IF(D75="W",-1, 1)</f>
        <v>-37.5063611111111</v>
      </c>
      <c r="R75" s="16" t="s">
        <v>180</v>
      </c>
    </row>
    <row r="76" customFormat="false" ht="15" hidden="false" customHeight="false" outlineLevel="0" collapsed="false">
      <c r="A76" s="1" t="n">
        <v>75</v>
      </c>
      <c r="B76" s="1" t="s">
        <v>44</v>
      </c>
      <c r="C76" s="1" t="s">
        <v>27</v>
      </c>
      <c r="D76" s="1" t="s">
        <v>20</v>
      </c>
      <c r="E76" s="7" t="s">
        <v>173</v>
      </c>
      <c r="F76" s="7" t="s">
        <v>174</v>
      </c>
      <c r="G76" s="7" t="s">
        <v>181</v>
      </c>
      <c r="H76" s="1" t="s">
        <v>24</v>
      </c>
      <c r="I76" s="15" t="s">
        <v>91</v>
      </c>
      <c r="J76" s="1" t="str">
        <f aca="false">MID(E76,1,FIND("°",E76,1)-1)</f>
        <v>00</v>
      </c>
      <c r="K76" s="1" t="str">
        <f aca="false">MID(E76,FIND("°",E76,1)+1,(FIND("′",E76,1)-FIND("°",E76,1))-1)</f>
        <v>55</v>
      </c>
      <c r="L76" s="1" t="str">
        <f aca="false">MID(E76,FIND("′",E76,1)+1,(FIND("″",E76,1)-FIND("′",E76,1))-1)</f>
        <v>01</v>
      </c>
      <c r="M76" s="1" t="str">
        <f aca="false">MID(F76,1,FIND("°",F76,1)-1)</f>
        <v>29</v>
      </c>
      <c r="N76" s="1" t="str">
        <f aca="false">MID(F76,FIND("°",F76,1)+1,(FIND("′",F76,1)-FIND("°",F76,1))-1)</f>
        <v>20</v>
      </c>
      <c r="O76" s="1" t="str">
        <f aca="false">MID(F76,FIND("′",F76,1)+1,(FIND("″",F76,1)-FIND("′",F76,1))-1)</f>
        <v>44</v>
      </c>
      <c r="P76" s="2" t="n">
        <f aca="false">((((L76/60)+K76)/60)+J76)*IF(C76="S",-1, 1)</f>
        <v>-0.916944444444445</v>
      </c>
      <c r="Q76" s="2" t="n">
        <f aca="false">((((O76/60)+N76)/60)+M76)*IF(D76="W",-1, 1)</f>
        <v>-29.3455555555556</v>
      </c>
      <c r="R76" s="16" t="s">
        <v>182</v>
      </c>
    </row>
    <row r="77" customFormat="false" ht="15" hidden="false" customHeight="false" outlineLevel="0" collapsed="false">
      <c r="A77" s="1" t="n">
        <v>76</v>
      </c>
      <c r="B77" s="1" t="s">
        <v>18</v>
      </c>
      <c r="C77" s="1" t="s">
        <v>27</v>
      </c>
      <c r="D77" s="1" t="s">
        <v>20</v>
      </c>
      <c r="E77" s="7" t="s">
        <v>173</v>
      </c>
      <c r="F77" s="7" t="s">
        <v>174</v>
      </c>
      <c r="G77" s="7" t="s">
        <v>181</v>
      </c>
      <c r="H77" s="1" t="s">
        <v>24</v>
      </c>
      <c r="I77" s="15" t="s">
        <v>91</v>
      </c>
      <c r="J77" s="1" t="str">
        <f aca="false">MID(E77,1,FIND("°",E77,1)-1)</f>
        <v>00</v>
      </c>
      <c r="K77" s="1" t="str">
        <f aca="false">MID(E77,FIND("°",E77,1)+1,(FIND("′",E77,1)-FIND("°",E77,1))-1)</f>
        <v>55</v>
      </c>
      <c r="L77" s="1" t="str">
        <f aca="false">MID(E77,FIND("′",E77,1)+1,(FIND("″",E77,1)-FIND("′",E77,1))-1)</f>
        <v>01</v>
      </c>
      <c r="M77" s="1" t="str">
        <f aca="false">MID(F77,1,FIND("°",F77,1)-1)</f>
        <v>29</v>
      </c>
      <c r="N77" s="1" t="str">
        <f aca="false">MID(F77,FIND("°",F77,1)+1,(FIND("′",F77,1)-FIND("°",F77,1))-1)</f>
        <v>20</v>
      </c>
      <c r="O77" s="1" t="str">
        <f aca="false">MID(F77,FIND("′",F77,1)+1,(FIND("″",F77,1)-FIND("′",F77,1))-1)</f>
        <v>44</v>
      </c>
      <c r="P77" s="2" t="n">
        <f aca="false">((((L77/60)+K77)/60)+J77)*IF(C77="S",-1, 1)</f>
        <v>-0.916944444444445</v>
      </c>
      <c r="Q77" s="2" t="n">
        <f aca="false">((((O77/60)+N77)/60)+M77)*IF(D77="W",-1, 1)</f>
        <v>-29.3455555555556</v>
      </c>
      <c r="R77" s="16" t="s">
        <v>182</v>
      </c>
    </row>
    <row r="78" customFormat="false" ht="15" hidden="false" customHeight="false" outlineLevel="0" collapsed="false">
      <c r="A78" s="1" t="n">
        <v>77</v>
      </c>
      <c r="B78" s="1" t="s">
        <v>44</v>
      </c>
      <c r="C78" s="1" t="s">
        <v>27</v>
      </c>
      <c r="D78" s="1" t="s">
        <v>20</v>
      </c>
      <c r="E78" s="7" t="s">
        <v>147</v>
      </c>
      <c r="F78" s="2" t="s">
        <v>183</v>
      </c>
      <c r="G78" s="7" t="s">
        <v>184</v>
      </c>
      <c r="H78" s="1" t="s">
        <v>24</v>
      </c>
      <c r="I78" s="1" t="s">
        <v>185</v>
      </c>
      <c r="J78" s="1" t="str">
        <f aca="false">MID(E78,1,FIND("°",E78,1)-1)</f>
        <v>03</v>
      </c>
      <c r="K78" s="1" t="str">
        <f aca="false">MID(E78,FIND("°",E78,1)+1,(FIND("′",E78,1)-FIND("°",E78,1))-1)</f>
        <v>45</v>
      </c>
      <c r="L78" s="1" t="e">
        <f aca="false">MID(E78,FIND("′",E78,1)+1,(FIND("″",E78,1)-FIND("′",E78,1))-1)</f>
        <v>#VALUE!</v>
      </c>
      <c r="M78" s="1" t="str">
        <f aca="false">MID(F78,1,FIND("°",F78,1)-1)</f>
        <v> 38</v>
      </c>
      <c r="N78" s="1" t="str">
        <f aca="false">MID(F78,FIND("°",F78,1)+1,(FIND("′",F78,1)-FIND("°",F78,1))-1)</f>
        <v>13</v>
      </c>
      <c r="O78" s="1" t="e">
        <f aca="false">MID(F78,FIND("′",F78,1)+1,(FIND("″",F78,1)-FIND("′",F78,1))-1)</f>
        <v>#VALUE!</v>
      </c>
      <c r="P78" s="2" t="e">
        <f aca="false">((((L78/60)+K78)/60)+J78)*IF(C78="S",-1, 1)</f>
        <v>#VALUE!</v>
      </c>
      <c r="Q78" s="2" t="e">
        <f aca="false">((((O78/60)+N78)/60)+M78)*IF(D78="W",-1, 1)</f>
        <v>#VALUE!</v>
      </c>
      <c r="R78" s="16" t="s">
        <v>186</v>
      </c>
    </row>
    <row r="79" customFormat="false" ht="15" hidden="false" customHeight="false" outlineLevel="0" collapsed="false">
      <c r="A79" s="1" t="n">
        <v>78</v>
      </c>
      <c r="B79" s="1" t="s">
        <v>44</v>
      </c>
      <c r="C79" s="1" t="s">
        <v>27</v>
      </c>
      <c r="D79" s="1" t="s">
        <v>20</v>
      </c>
      <c r="E79" s="7" t="s">
        <v>147</v>
      </c>
      <c r="F79" s="2" t="s">
        <v>183</v>
      </c>
      <c r="G79" s="7" t="s">
        <v>187</v>
      </c>
      <c r="H79" s="1" t="s">
        <v>24</v>
      </c>
      <c r="I79" s="1" t="s">
        <v>188</v>
      </c>
      <c r="J79" s="1" t="str">
        <f aca="false">MID(E79,1,FIND("°",E79,1)-1)</f>
        <v>03</v>
      </c>
      <c r="K79" s="1" t="str">
        <f aca="false">MID(E79,FIND("°",E79,1)+1,(FIND("′",E79,1)-FIND("°",E79,1))-1)</f>
        <v>45</v>
      </c>
      <c r="L79" s="1" t="e">
        <f aca="false">MID(E79,FIND("′",E79,1)+1,(FIND("″",E79,1)-FIND("′",E79,1))-1)</f>
        <v>#VALUE!</v>
      </c>
      <c r="M79" s="1" t="str">
        <f aca="false">MID(F79,1,FIND("°",F79,1)-1)</f>
        <v> 38</v>
      </c>
      <c r="N79" s="1" t="str">
        <f aca="false">MID(F79,FIND("°",F79,1)+1,(FIND("′",F79,1)-FIND("°",F79,1))-1)</f>
        <v>13</v>
      </c>
      <c r="O79" s="1" t="e">
        <f aca="false">MID(F79,FIND("′",F79,1)+1,(FIND("″",F79,1)-FIND("′",F79,1))-1)</f>
        <v>#VALUE!</v>
      </c>
      <c r="P79" s="2" t="e">
        <f aca="false">((((L79/60)+K79)/60)+J79)*IF(C79="S",-1, 1)</f>
        <v>#VALUE!</v>
      </c>
      <c r="Q79" s="2" t="e">
        <f aca="false">((((O79/60)+N79)/60)+M79)*IF(D79="W",-1, 1)</f>
        <v>#VALUE!</v>
      </c>
      <c r="R79" s="16" t="s">
        <v>189</v>
      </c>
    </row>
    <row r="80" customFormat="false" ht="15" hidden="false" customHeight="false" outlineLevel="0" collapsed="false">
      <c r="A80" s="1" t="n">
        <v>79</v>
      </c>
      <c r="B80" s="1" t="s">
        <v>44</v>
      </c>
      <c r="C80" s="1" t="s">
        <v>27</v>
      </c>
      <c r="D80" s="1" t="s">
        <v>20</v>
      </c>
      <c r="E80" s="7" t="s">
        <v>190</v>
      </c>
      <c r="F80" s="2" t="s">
        <v>191</v>
      </c>
      <c r="G80" s="7" t="s">
        <v>187</v>
      </c>
      <c r="H80" s="1" t="s">
        <v>24</v>
      </c>
      <c r="I80" s="1" t="s">
        <v>188</v>
      </c>
      <c r="J80" s="1" t="str">
        <f aca="false">MID(E80,1,FIND("°",E80,1)-1)</f>
        <v>03</v>
      </c>
      <c r="K80" s="1" t="str">
        <f aca="false">MID(E80,FIND("°",E80,1)+1,(FIND("′",E80,1)-FIND("°",E80,1))-1)</f>
        <v>38</v>
      </c>
      <c r="L80" s="1" t="e">
        <f aca="false">MID(E80,FIND("′",E80,1)+1,(FIND("″",E80,1)-FIND("′",E80,1))-1)</f>
        <v>#VALUE!</v>
      </c>
      <c r="M80" s="1" t="str">
        <f aca="false">MID(F80,1,FIND("°",F80,1)-1)</f>
        <v>38</v>
      </c>
      <c r="N80" s="1" t="str">
        <f aca="false">MID(F80,FIND("°",F80,1)+1,(FIND("′",F80,1)-FIND("°",F80,1))-1)</f>
        <v>13</v>
      </c>
      <c r="O80" s="1" t="e">
        <f aca="false">MID(F80,FIND("′",F80,1)+1,(FIND("″",F80,1)-FIND("′",F80,1))-1)</f>
        <v>#VALUE!</v>
      </c>
      <c r="P80" s="2" t="e">
        <f aca="false">((((L80/60)+K80)/60)+J80)*IF(C80="S",-1, 1)</f>
        <v>#VALUE!</v>
      </c>
      <c r="Q80" s="2" t="e">
        <f aca="false">((((O80/60)+N80)/60)+M80)*IF(D80="W",-1, 1)</f>
        <v>#VALUE!</v>
      </c>
      <c r="R80" s="16" t="s">
        <v>189</v>
      </c>
    </row>
    <row r="81" customFormat="false" ht="15" hidden="false" customHeight="false" outlineLevel="0" collapsed="false">
      <c r="A81" s="1" t="n">
        <v>80</v>
      </c>
      <c r="B81" s="1" t="s">
        <v>44</v>
      </c>
      <c r="C81" s="1" t="s">
        <v>27</v>
      </c>
      <c r="D81" s="1" t="s">
        <v>20</v>
      </c>
      <c r="E81" s="7" t="s">
        <v>192</v>
      </c>
      <c r="F81" s="2" t="s">
        <v>193</v>
      </c>
      <c r="G81" s="7" t="s">
        <v>187</v>
      </c>
      <c r="H81" s="1" t="s">
        <v>24</v>
      </c>
      <c r="I81" s="1" t="s">
        <v>188</v>
      </c>
      <c r="J81" s="1" t="str">
        <f aca="false">MID(E81,1,FIND("°",E81,1)-1)</f>
        <v>03</v>
      </c>
      <c r="K81" s="1" t="str">
        <f aca="false">MID(E81,FIND("°",E81,1)+1,(FIND("′",E81,1)-FIND("°",E81,1))-1)</f>
        <v>31</v>
      </c>
      <c r="L81" s="1" t="e">
        <f aca="false">MID(E81,FIND("′",E81,1)+1,(FIND("″",E81,1)-FIND("′",E81,1))-1)</f>
        <v>#VALUE!</v>
      </c>
      <c r="M81" s="1" t="str">
        <f aca="false">MID(F81,1,FIND("°",F81,1)-1)</f>
        <v> 38</v>
      </c>
      <c r="N81" s="1" t="str">
        <f aca="false">MID(F81,FIND("°",F81,1)+1,(FIND("′",F81,1)-FIND("°",F81,1))-1)</f>
        <v>12</v>
      </c>
      <c r="O81" s="1" t="e">
        <f aca="false">MID(F81,FIND("′",F81,1)+1,(FIND("″",F81,1)-FIND("′",F81,1))-1)</f>
        <v>#VALUE!</v>
      </c>
      <c r="P81" s="2" t="e">
        <f aca="false">((((L81/60)+K81)/60)+J81)*IF(C81="S",-1, 1)</f>
        <v>#VALUE!</v>
      </c>
      <c r="Q81" s="2" t="e">
        <f aca="false">((((O81/60)+N81)/60)+M81)*IF(D81="W",-1, 1)</f>
        <v>#VALUE!</v>
      </c>
      <c r="R81" s="16" t="s">
        <v>189</v>
      </c>
    </row>
    <row r="82" customFormat="false" ht="15" hidden="false" customHeight="false" outlineLevel="0" collapsed="false">
      <c r="A82" s="1" t="n">
        <v>81</v>
      </c>
      <c r="B82" s="1" t="s">
        <v>18</v>
      </c>
      <c r="C82" s="1" t="s">
        <v>27</v>
      </c>
      <c r="D82" s="1" t="s">
        <v>20</v>
      </c>
      <c r="E82" s="7" t="s">
        <v>147</v>
      </c>
      <c r="F82" s="2" t="s">
        <v>183</v>
      </c>
      <c r="G82" s="7" t="s">
        <v>187</v>
      </c>
      <c r="H82" s="1" t="s">
        <v>24</v>
      </c>
      <c r="I82" s="1" t="s">
        <v>188</v>
      </c>
      <c r="J82" s="1" t="str">
        <f aca="false">MID(E82,1,FIND("°",E82,1)-1)</f>
        <v>03</v>
      </c>
      <c r="K82" s="1" t="str">
        <f aca="false">MID(E82,FIND("°",E82,1)+1,(FIND("′",E82,1)-FIND("°",E82,1))-1)</f>
        <v>45</v>
      </c>
      <c r="L82" s="1" t="e">
        <f aca="false">MID(E82,FIND("′",E82,1)+1,(FIND("″",E82,1)-FIND("′",E82,1))-1)</f>
        <v>#VALUE!</v>
      </c>
      <c r="M82" s="1" t="str">
        <f aca="false">MID(F82,1,FIND("°",F82,1)-1)</f>
        <v> 38</v>
      </c>
      <c r="N82" s="1" t="str">
        <f aca="false">MID(F82,FIND("°",F82,1)+1,(FIND("′",F82,1)-FIND("°",F82,1))-1)</f>
        <v>13</v>
      </c>
      <c r="O82" s="1" t="e">
        <f aca="false">MID(F82,FIND("′",F82,1)+1,(FIND("″",F82,1)-FIND("′",F82,1))-1)</f>
        <v>#VALUE!</v>
      </c>
      <c r="P82" s="2" t="e">
        <f aca="false">((((L82/60)+K82)/60)+J82)*IF(C82="S",-1, 1)</f>
        <v>#VALUE!</v>
      </c>
      <c r="Q82" s="2" t="e">
        <f aca="false">((((O82/60)+N82)/60)+M82)*IF(D82="W",-1, 1)</f>
        <v>#VALUE!</v>
      </c>
      <c r="R82" s="16" t="s">
        <v>189</v>
      </c>
    </row>
    <row r="83" customFormat="false" ht="15" hidden="false" customHeight="false" outlineLevel="0" collapsed="false">
      <c r="A83" s="1" t="n">
        <v>82</v>
      </c>
      <c r="B83" s="1" t="s">
        <v>18</v>
      </c>
      <c r="C83" s="1" t="s">
        <v>27</v>
      </c>
      <c r="D83" s="1" t="s">
        <v>20</v>
      </c>
      <c r="E83" s="7" t="s">
        <v>190</v>
      </c>
      <c r="F83" s="2" t="s">
        <v>191</v>
      </c>
      <c r="G83" s="7" t="s">
        <v>187</v>
      </c>
      <c r="H83" s="1" t="s">
        <v>24</v>
      </c>
      <c r="I83" s="1" t="s">
        <v>188</v>
      </c>
      <c r="J83" s="1" t="str">
        <f aca="false">MID(E83,1,FIND("°",E83,1)-1)</f>
        <v>03</v>
      </c>
      <c r="K83" s="1" t="str">
        <f aca="false">MID(E83,FIND("°",E83,1)+1,(FIND("′",E83,1)-FIND("°",E83,1))-1)</f>
        <v>38</v>
      </c>
      <c r="L83" s="1" t="e">
        <f aca="false">MID(E83,FIND("′",E83,1)+1,(FIND("″",E83,1)-FIND("′",E83,1))-1)</f>
        <v>#VALUE!</v>
      </c>
      <c r="M83" s="1" t="str">
        <f aca="false">MID(F83,1,FIND("°",F83,1)-1)</f>
        <v>38</v>
      </c>
      <c r="N83" s="1" t="str">
        <f aca="false">MID(F83,FIND("°",F83,1)+1,(FIND("′",F83,1)-FIND("°",F83,1))-1)</f>
        <v>13</v>
      </c>
      <c r="O83" s="1" t="e">
        <f aca="false">MID(F83,FIND("′",F83,1)+1,(FIND("″",F83,1)-FIND("′",F83,1))-1)</f>
        <v>#VALUE!</v>
      </c>
      <c r="P83" s="2" t="e">
        <f aca="false">((((L83/60)+K83)/60)+J83)*IF(C83="S",-1, 1)</f>
        <v>#VALUE!</v>
      </c>
      <c r="Q83" s="2" t="e">
        <f aca="false">((((O83/60)+N83)/60)+M83)*IF(D83="W",-1, 1)</f>
        <v>#VALUE!</v>
      </c>
      <c r="R83" s="16" t="s">
        <v>189</v>
      </c>
    </row>
    <row r="84" customFormat="false" ht="15" hidden="false" customHeight="false" outlineLevel="0" collapsed="false">
      <c r="A84" s="1" t="n">
        <v>83</v>
      </c>
      <c r="B84" s="1" t="s">
        <v>18</v>
      </c>
      <c r="C84" s="1" t="s">
        <v>27</v>
      </c>
      <c r="D84" s="1" t="s">
        <v>20</v>
      </c>
      <c r="E84" s="7" t="s">
        <v>192</v>
      </c>
      <c r="F84" s="2" t="s">
        <v>193</v>
      </c>
      <c r="G84" s="7" t="s">
        <v>187</v>
      </c>
      <c r="H84" s="1" t="s">
        <v>24</v>
      </c>
      <c r="I84" s="1" t="s">
        <v>188</v>
      </c>
      <c r="J84" s="1" t="str">
        <f aca="false">MID(E84,1,FIND("°",E84,1)-1)</f>
        <v>03</v>
      </c>
      <c r="K84" s="1" t="str">
        <f aca="false">MID(E84,FIND("°",E84,1)+1,(FIND("′",E84,1)-FIND("°",E84,1))-1)</f>
        <v>31</v>
      </c>
      <c r="L84" s="1" t="e">
        <f aca="false">MID(E84,FIND("′",E84,1)+1,(FIND("″",E84,1)-FIND("′",E84,1))-1)</f>
        <v>#VALUE!</v>
      </c>
      <c r="M84" s="1" t="str">
        <f aca="false">MID(F84,1,FIND("°",F84,1)-1)</f>
        <v> 38</v>
      </c>
      <c r="N84" s="1" t="str">
        <f aca="false">MID(F84,FIND("°",F84,1)+1,(FIND("′",F84,1)-FIND("°",F84,1))-1)</f>
        <v>12</v>
      </c>
      <c r="O84" s="1" t="e">
        <f aca="false">MID(F84,FIND("′",F84,1)+1,(FIND("″",F84,1)-FIND("′",F84,1))-1)</f>
        <v>#VALUE!</v>
      </c>
      <c r="P84" s="2" t="e">
        <f aca="false">((((L84/60)+K84)/60)+J84)*IF(C84="S",-1, 1)</f>
        <v>#VALUE!</v>
      </c>
      <c r="Q84" s="2" t="e">
        <f aca="false">((((O84/60)+N84)/60)+M84)*IF(D84="W",-1, 1)</f>
        <v>#VALUE!</v>
      </c>
      <c r="R84" s="16" t="s">
        <v>189</v>
      </c>
    </row>
    <row r="85" customFormat="false" ht="15" hidden="false" customHeight="false" outlineLevel="0" collapsed="false">
      <c r="A85" s="1" t="n">
        <v>84</v>
      </c>
      <c r="B85" s="1" t="s">
        <v>18</v>
      </c>
      <c r="C85" s="1" t="s">
        <v>19</v>
      </c>
      <c r="D85" s="1" t="s">
        <v>20</v>
      </c>
      <c r="E85" s="7" t="s">
        <v>194</v>
      </c>
      <c r="F85" s="7" t="s">
        <v>195</v>
      </c>
      <c r="G85" s="7" t="s">
        <v>196</v>
      </c>
      <c r="H85" s="1" t="s">
        <v>24</v>
      </c>
      <c r="I85" s="7" t="s">
        <v>197</v>
      </c>
      <c r="J85" s="1" t="str">
        <f aca="false">MID(E85,1,FIND("°",E85,1)-1)</f>
        <v>24</v>
      </c>
      <c r="K85" s="1" t="str">
        <f aca="false">MID(E85,FIND("°",E85,1)+1,(FIND("′",E85,1)-FIND("°",E85,1))-1)</f>
        <v>49</v>
      </c>
      <c r="L85" s="1" t="str">
        <f aca="false">MID(E85,FIND("′",E85,1)+1,(FIND("″",E85,1)-FIND("′",E85,1))-1)</f>
        <v>13</v>
      </c>
      <c r="M85" s="1" t="str">
        <f aca="false">MID(F85,1,FIND("°",F85,1)-1)</f>
        <v>80</v>
      </c>
      <c r="N85" s="1" t="str">
        <f aca="false">MID(F85,FIND("°",F85,1)+1,(FIND("′",F85,1)-FIND("°",F85,1))-1)</f>
        <v>48</v>
      </c>
      <c r="O85" s="1" t="str">
        <f aca="false">MID(F85,FIND("′",F85,1)+1,(FIND("″",F85,1)-FIND("′",F85,1))-1)</f>
        <v>48</v>
      </c>
      <c r="P85" s="2" t="n">
        <f aca="false">((((L85/60)+K85)/60)+J85)*IF(C85="S",-1, 1)</f>
        <v>24.8202777777778</v>
      </c>
      <c r="Q85" s="2" t="n">
        <f aca="false">((((O85/60)+N85)/60)+M85)*IF(D85="W",-1, 1)</f>
        <v>-80.8133333333333</v>
      </c>
      <c r="R85" s="9" t="s">
        <v>198</v>
      </c>
    </row>
    <row r="86" customFormat="false" ht="15" hidden="false" customHeight="false" outlineLevel="0" collapsed="false">
      <c r="A86" s="1" t="n">
        <v>85</v>
      </c>
      <c r="B86" s="1" t="s">
        <v>18</v>
      </c>
      <c r="C86" s="1" t="s">
        <v>19</v>
      </c>
      <c r="D86" s="1" t="s">
        <v>20</v>
      </c>
      <c r="E86" s="7" t="s">
        <v>199</v>
      </c>
      <c r="F86" s="7" t="s">
        <v>200</v>
      </c>
      <c r="G86" s="7" t="s">
        <v>196</v>
      </c>
      <c r="H86" s="1" t="s">
        <v>24</v>
      </c>
      <c r="I86" s="7" t="s">
        <v>201</v>
      </c>
      <c r="J86" s="1" t="str">
        <f aca="false">MID(E86,1,FIND("°",E86,1)-1)</f>
        <v>24</v>
      </c>
      <c r="K86" s="1" t="str">
        <f aca="false">MID(E86,FIND("°",E86,1)+1,(FIND("′",E86,1)-FIND("°",E86,1))-1)</f>
        <v>50</v>
      </c>
      <c r="L86" s="1" t="str">
        <f aca="false">MID(E86,FIND("′",E86,1)+1,(FIND("″",E86,1)-FIND("′",E86,1))-1)</f>
        <v>55</v>
      </c>
      <c r="M86" s="1" t="str">
        <f aca="false">MID(F86,1,FIND("°",F86,1)-1)</f>
        <v>80</v>
      </c>
      <c r="N86" s="1" t="str">
        <f aca="false">MID(F86,FIND("°",F86,1)+1,(FIND("′",F86,1)-FIND("°",F86,1))-1)</f>
        <v>48</v>
      </c>
      <c r="O86" s="1" t="str">
        <f aca="false">MID(F86,FIND("′",F86,1)+1,(FIND("″",F86,1)-FIND("′",F86,1))-1)</f>
        <v>03</v>
      </c>
      <c r="P86" s="2" t="n">
        <f aca="false">((((L86/60)+K86)/60)+J86)*IF(C86="S",-1, 1)</f>
        <v>24.8486111111111</v>
      </c>
      <c r="Q86" s="2" t="n">
        <f aca="false">((((O86/60)+N86)/60)+M86)*IF(D86="W",-1, 1)</f>
        <v>-80.8008333333333</v>
      </c>
      <c r="R86" s="9" t="s">
        <v>198</v>
      </c>
    </row>
    <row r="87" customFormat="false" ht="15" hidden="false" customHeight="false" outlineLevel="0" collapsed="false">
      <c r="A87" s="1" t="n">
        <v>86</v>
      </c>
      <c r="B87" s="1" t="s">
        <v>18</v>
      </c>
      <c r="C87" s="1" t="s">
        <v>27</v>
      </c>
      <c r="D87" s="1" t="s">
        <v>20</v>
      </c>
      <c r="E87" s="7" t="s">
        <v>202</v>
      </c>
      <c r="F87" s="2" t="s">
        <v>203</v>
      </c>
      <c r="G87" s="7" t="s">
        <v>204</v>
      </c>
      <c r="H87" s="1" t="s">
        <v>24</v>
      </c>
      <c r="I87" s="1" t="s">
        <v>205</v>
      </c>
      <c r="J87" s="1" t="str">
        <f aca="false">MID(E87,1,FIND("°",E87,1)-1)</f>
        <v>05</v>
      </c>
      <c r="K87" s="1" t="str">
        <f aca="false">MID(E87,FIND("°",E87,1)+1,(FIND("′",E87,1)-FIND("°",E87,1))-1)</f>
        <v>13</v>
      </c>
      <c r="L87" s="1" t="e">
        <f aca="false">MID(E87,FIND("′",E87,1)+1,(FIND("″",E87,1)-FIND("′",E87,1))-1)</f>
        <v>#VALUE!</v>
      </c>
      <c r="M87" s="1" t="str">
        <f aca="false">MID(F87,1,FIND("°",F87,1)-1)</f>
        <v>35</v>
      </c>
      <c r="N87" s="1" t="str">
        <f aca="false">MID(F87,FIND("°",F87,1)+1,(FIND("′",F87,1)-FIND("°",F87,1))-1)</f>
        <v>10</v>
      </c>
      <c r="O87" s="1" t="e">
        <f aca="false">MID(F87,FIND("′",F87,1)+1,(FIND("″",F87,1)-FIND("′",F87,1))-1)</f>
        <v>#VALUE!</v>
      </c>
      <c r="P87" s="2" t="e">
        <f aca="false">((((L87/60)+K87)/60)+J87)*IF(C87="S",-1, 1)</f>
        <v>#VALUE!</v>
      </c>
      <c r="Q87" s="2" t="e">
        <f aca="false">((((O87/60)+N87)/60)+M87)*IF(D87="W",-1, 1)</f>
        <v>#VALUE!</v>
      </c>
      <c r="R87" s="16" t="s">
        <v>206</v>
      </c>
    </row>
    <row r="88" customFormat="false" ht="15" hidden="false" customHeight="false" outlineLevel="0" collapsed="false">
      <c r="A88" s="1" t="n">
        <v>87</v>
      </c>
      <c r="B88" s="1" t="s">
        <v>18</v>
      </c>
      <c r="C88" s="1" t="s">
        <v>19</v>
      </c>
      <c r="D88" s="1" t="s">
        <v>20</v>
      </c>
      <c r="E88" s="7" t="s">
        <v>207</v>
      </c>
      <c r="F88" s="2" t="s">
        <v>208</v>
      </c>
      <c r="G88" s="7" t="s">
        <v>209</v>
      </c>
      <c r="H88" s="1" t="s">
        <v>24</v>
      </c>
      <c r="I88" s="7" t="s">
        <v>210</v>
      </c>
      <c r="J88" s="1" t="str">
        <f aca="false">MID(E88,1,FIND("°",E88,1)-1)</f>
        <v>24</v>
      </c>
      <c r="K88" s="1" t="e">
        <f aca="false">MID(E88,FIND("°",E88,1)+1,(FIND("′",E88,1)-FIND("°",E88,1))-1)</f>
        <v>#VALUE!</v>
      </c>
      <c r="L88" s="1" t="e">
        <f aca="false">MID(E88,FIND("′",E88,1)+1,(FIND("″",E88,1)-FIND("′",E88,1))-1)</f>
        <v>#VALUE!</v>
      </c>
      <c r="M88" s="1" t="str">
        <f aca="false">MID(F88,1,FIND("°",F88,1)-1)</f>
        <v>80</v>
      </c>
      <c r="N88" s="1" t="e">
        <f aca="false">MID(F88,FIND("°",F88,1)+1,(FIND("′",F88,1)-FIND("°",F88,1))-1)</f>
        <v>#VALUE!</v>
      </c>
      <c r="O88" s="1" t="e">
        <f aca="false">MID(F88,FIND("′",F88,1)+1,(FIND("″",F88,1)-FIND("′",F88,1))-1)</f>
        <v>#VALUE!</v>
      </c>
      <c r="P88" s="2" t="e">
        <f aca="false">((((L88/60)+K88)/60)+J88)*IF(C88="S",-1, 1)</f>
        <v>#VALUE!</v>
      </c>
      <c r="Q88" s="2" t="e">
        <f aca="false">((((O88/60)+N88)/60)+M88)*IF(D88="W",-1, 1)</f>
        <v>#VALUE!</v>
      </c>
      <c r="R88" s="16" t="s">
        <v>211</v>
      </c>
    </row>
    <row r="89" customFormat="false" ht="15" hidden="false" customHeight="false" outlineLevel="0" collapsed="false">
      <c r="A89" s="1" t="n">
        <v>88</v>
      </c>
      <c r="B89" s="1" t="s">
        <v>18</v>
      </c>
      <c r="C89" s="1" t="s">
        <v>19</v>
      </c>
      <c r="D89" s="1" t="s">
        <v>20</v>
      </c>
      <c r="E89" s="7" t="s">
        <v>212</v>
      </c>
      <c r="F89" s="2" t="s">
        <v>213</v>
      </c>
      <c r="G89" s="7" t="s">
        <v>214</v>
      </c>
      <c r="H89" s="1" t="s">
        <v>24</v>
      </c>
      <c r="I89" s="7" t="s">
        <v>210</v>
      </c>
      <c r="J89" s="1" t="str">
        <f aca="false">MID(E89,1,FIND("°",E89,1)-1)</f>
        <v>24</v>
      </c>
      <c r="K89" s="1" t="str">
        <f aca="false">MID(E89,FIND("°",E89,1)+1,(FIND("′",E89,1)-FIND("°",E89,1))-1)</f>
        <v>78</v>
      </c>
      <c r="L89" s="1" t="e">
        <f aca="false">MID(E89,FIND("′",E89,1)+1,(FIND("″",E89,1)-FIND("′",E89,1))-1)</f>
        <v>#VALUE!</v>
      </c>
      <c r="M89" s="1" t="str">
        <f aca="false">MID(F89,1,FIND("°",F89,1)-1)</f>
        <v> 80</v>
      </c>
      <c r="N89" s="1" t="str">
        <f aca="false">MID(F89,FIND("°",F89,1)+1,(FIND("′",F89,1)-FIND("°",F89,1))-1)</f>
        <v>92</v>
      </c>
      <c r="O89" s="1" t="e">
        <f aca="false">MID(F89,FIND("′",F89,1)+1,(FIND("″",F89,1)-FIND("′",F89,1))-1)</f>
        <v>#VALUE!</v>
      </c>
      <c r="P89" s="2" t="e">
        <f aca="false">((((L89/60)+K89)/60)+J89)*IF(C89="S",-1, 1)</f>
        <v>#VALUE!</v>
      </c>
      <c r="Q89" s="2" t="e">
        <f aca="false">((((O89/60)+N89)/60)+M89)*IF(D89="W",-1, 1)</f>
        <v>#VALUE!</v>
      </c>
      <c r="R89" s="16" t="s">
        <v>215</v>
      </c>
    </row>
    <row r="90" customFormat="false" ht="15" hidden="false" customHeight="false" outlineLevel="0" collapsed="false">
      <c r="A90" s="1" t="n">
        <v>89</v>
      </c>
      <c r="B90" s="1" t="s">
        <v>18</v>
      </c>
      <c r="C90" s="1" t="s">
        <v>19</v>
      </c>
      <c r="D90" s="1" t="s">
        <v>20</v>
      </c>
      <c r="E90" s="7" t="s">
        <v>216</v>
      </c>
      <c r="F90" s="2" t="s">
        <v>217</v>
      </c>
      <c r="G90" s="7" t="s">
        <v>218</v>
      </c>
      <c r="H90" s="1" t="s">
        <v>24</v>
      </c>
      <c r="I90" s="7" t="s">
        <v>219</v>
      </c>
      <c r="J90" s="1" t="str">
        <f aca="false">MID(E90,1,FIND("°",E90,1)-1)</f>
        <v>19</v>
      </c>
      <c r="K90" s="1" t="str">
        <f aca="false">MID(E90,FIND("°",E90,1)+1,(FIND("′",E90,1)-FIND("°",E90,1))-1)</f>
        <v>27</v>
      </c>
      <c r="L90" s="1" t="str">
        <f aca="false">MID(E90,FIND("′",E90,1)+1,(FIND("″",E90,1)-FIND("′",E90,1))-1)</f>
        <v>00</v>
      </c>
      <c r="M90" s="1" t="str">
        <f aca="false">MID(F90,1,FIND("°",F90,1)-1)</f>
        <v> 87</v>
      </c>
      <c r="N90" s="1" t="str">
        <f aca="false">MID(F90,FIND("°",F90,1)+1,(FIND("′",F90,1)-FIND("°",F90,1))-1)</f>
        <v>17</v>
      </c>
      <c r="O90" s="1" t="str">
        <f aca="false">MID(F90,FIND("′",F90,1)+1,(FIND("″",F90,1)-FIND("′",F90,1))-1)</f>
        <v>24</v>
      </c>
      <c r="P90" s="2" t="n">
        <f aca="false">((((L90/60)+K90)/60)+J90)*IF(C90="S",-1, 1)</f>
        <v>19.45</v>
      </c>
      <c r="Q90" s="2" t="n">
        <f aca="false">((((O90/60)+N90)/60)+M90)*IF(D90="W",-1, 1)</f>
        <v>-87.29</v>
      </c>
      <c r="R90" s="16" t="s">
        <v>220</v>
      </c>
    </row>
    <row r="91" customFormat="false" ht="15" hidden="false" customHeight="false" outlineLevel="0" collapsed="false">
      <c r="A91" s="1" t="n">
        <v>90</v>
      </c>
      <c r="B91" s="1" t="s">
        <v>18</v>
      </c>
      <c r="C91" s="1" t="s">
        <v>19</v>
      </c>
      <c r="D91" s="1" t="s">
        <v>20</v>
      </c>
      <c r="E91" s="7" t="s">
        <v>221</v>
      </c>
      <c r="F91" s="2" t="s">
        <v>222</v>
      </c>
      <c r="G91" s="7" t="s">
        <v>223</v>
      </c>
      <c r="H91" s="1" t="s">
        <v>24</v>
      </c>
      <c r="I91" s="7" t="s">
        <v>224</v>
      </c>
      <c r="J91" s="1" t="str">
        <f aca="false">MID(E91,1,FIND("°",E91,1)-1)</f>
        <v>25</v>
      </c>
      <c r="K91" s="1" t="str">
        <f aca="false">MID(E91,FIND("°",E91,1)+1,(FIND("′",E91,1)-FIND("°",E91,1))-1)</f>
        <v>01</v>
      </c>
      <c r="L91" s="1" t="str">
        <f aca="false">MID(E91,FIND("′",E91,1)+1,(FIND("″",E91,1)-FIND("′",E91,1))-1)</f>
        <v>46</v>
      </c>
      <c r="M91" s="1" t="str">
        <f aca="false">MID(F91,1,FIND("°",F91,1)-1)</f>
        <v> 80</v>
      </c>
      <c r="N91" s="1" t="str">
        <f aca="false">MID(F91,FIND("°",F91,1)+1,(FIND("′",F91,1)-FIND("°",F91,1))-1)</f>
        <v>23</v>
      </c>
      <c r="O91" s="1" t="str">
        <f aca="false">MID(F91,FIND("′",F91,1)+1,(FIND("″",F91,1)-FIND("′",F91,1))-1)</f>
        <v>53</v>
      </c>
      <c r="P91" s="2" t="n">
        <f aca="false">((((L91/60)+K91)/60)+J91)*IF(C91="S",-1, 1)</f>
        <v>25.0294444444444</v>
      </c>
      <c r="Q91" s="2" t="n">
        <f aca="false">((((O91/60)+N91)/60)+M91)*IF(D91="W",-1, 1)</f>
        <v>-80.3980555555556</v>
      </c>
      <c r="R91" s="16" t="s">
        <v>225</v>
      </c>
    </row>
    <row r="92" customFormat="false" ht="15" hidden="false" customHeight="false" outlineLevel="0" collapsed="false">
      <c r="A92" s="1" t="n">
        <v>91</v>
      </c>
      <c r="B92" s="1" t="s">
        <v>18</v>
      </c>
      <c r="C92" s="1" t="s">
        <v>19</v>
      </c>
      <c r="D92" s="1" t="s">
        <v>20</v>
      </c>
      <c r="E92" s="7" t="s">
        <v>226</v>
      </c>
      <c r="F92" s="2" t="s">
        <v>227</v>
      </c>
      <c r="G92" s="1" t="s">
        <v>228</v>
      </c>
      <c r="H92" s="1" t="s">
        <v>24</v>
      </c>
      <c r="I92" s="7" t="s">
        <v>229</v>
      </c>
      <c r="J92" s="1" t="str">
        <f aca="false">MID(E92,1,FIND("°",E92,1)-1)</f>
        <v>25</v>
      </c>
      <c r="K92" s="1" t="str">
        <f aca="false">MID(E92,FIND("°",E92,1)+1,(FIND("′",E92,1)-FIND("°",E92,1))-1)</f>
        <v>35</v>
      </c>
      <c r="L92" s="1" t="str">
        <f aca="false">MID(E92,FIND("′",E92,1)+1,(FIND("″",E92,1)-FIND("′",E92,1))-1)</f>
        <v>28</v>
      </c>
      <c r="M92" s="1" t="str">
        <f aca="false">MID(F92,1,FIND("°",F92,1)-1)</f>
        <v>80</v>
      </c>
      <c r="N92" s="1" t="str">
        <f aca="false">MID(F92,FIND("°",F92,1)+1,(FIND("′",F92,1)-FIND("°",F92,1))-1)</f>
        <v>05</v>
      </c>
      <c r="O92" s="1" t="str">
        <f aca="false">MID(F92,FIND("′",F92,1)+1,(FIND("″",F92,1)-FIND("′",F92,1))-1)</f>
        <v>49</v>
      </c>
      <c r="P92" s="2" t="n">
        <f aca="false">((((L92/60)+K92)/60)+J92)*IF(C92="S",-1, 1)</f>
        <v>25.5911111111111</v>
      </c>
      <c r="Q92" s="2" t="n">
        <f aca="false">((((O92/60)+N92)/60)+M92)*IF(D92="W",-1, 1)</f>
        <v>-80.0969444444445</v>
      </c>
      <c r="R92" s="16" t="s">
        <v>230</v>
      </c>
    </row>
    <row r="93" customFormat="false" ht="15" hidden="false" customHeight="false" outlineLevel="0" collapsed="false">
      <c r="A93" s="1" t="n">
        <v>92</v>
      </c>
      <c r="B93" s="1" t="s">
        <v>18</v>
      </c>
      <c r="C93" s="1" t="s">
        <v>19</v>
      </c>
      <c r="D93" s="1" t="s">
        <v>20</v>
      </c>
      <c r="E93" s="7" t="s">
        <v>231</v>
      </c>
      <c r="F93" s="2" t="s">
        <v>232</v>
      </c>
      <c r="G93" s="7" t="s">
        <v>233</v>
      </c>
      <c r="H93" s="1" t="s">
        <v>24</v>
      </c>
      <c r="I93" s="1" t="s">
        <v>234</v>
      </c>
      <c r="J93" s="1" t="str">
        <f aca="false">MID(E93,1,FIND("°",E93,1)-1)</f>
        <v>24</v>
      </c>
      <c r="K93" s="1" t="str">
        <f aca="false">MID(E93,FIND("°",E93,1)+1,(FIND("′",E93,1)-FIND("°",E93,1))-1)</f>
        <v>50</v>
      </c>
      <c r="L93" s="1" t="str">
        <f aca="false">MID(E93,FIND("′",E93,1)+1,(FIND("″",E93,1)-FIND("′",E93,1))-1)</f>
        <v>30</v>
      </c>
      <c r="M93" s="1" t="str">
        <f aca="false">MID(F93,1,FIND("°",F93,1)-1)</f>
        <v>80</v>
      </c>
      <c r="N93" s="1" t="str">
        <f aca="false">MID(F93,FIND("°",F93,1)+1,(FIND("′",F93,1)-FIND("°",F93,1))-1)</f>
        <v>47</v>
      </c>
      <c r="O93" s="1" t="str">
        <f aca="false">MID(F93,FIND("′",F93,1)+1,(FIND("″",F93,1)-FIND("′",F93,1))-1)</f>
        <v>48</v>
      </c>
      <c r="P93" s="2" t="n">
        <f aca="false">((((L93/60)+K93)/60)+J93)*IF(C93="S",-1, 1)</f>
        <v>24.8416666666667</v>
      </c>
      <c r="Q93" s="2" t="n">
        <f aca="false">((((O93/60)+N93)/60)+M93)*IF(D93="W",-1, 1)</f>
        <v>-80.7966666666667</v>
      </c>
      <c r="R93" s="16" t="s">
        <v>235</v>
      </c>
    </row>
    <row r="94" customFormat="false" ht="15" hidden="false" customHeight="false" outlineLevel="0" collapsed="false">
      <c r="A94" s="1" t="n">
        <v>93</v>
      </c>
      <c r="B94" s="1" t="s">
        <v>18</v>
      </c>
      <c r="C94" s="1" t="s">
        <v>19</v>
      </c>
      <c r="D94" s="1" t="s">
        <v>20</v>
      </c>
      <c r="E94" s="7" t="s">
        <v>236</v>
      </c>
      <c r="F94" s="2" t="s">
        <v>237</v>
      </c>
      <c r="G94" s="7" t="s">
        <v>238</v>
      </c>
      <c r="H94" s="1" t="s">
        <v>24</v>
      </c>
      <c r="I94" s="7" t="s">
        <v>239</v>
      </c>
      <c r="J94" s="1" t="str">
        <f aca="false">MID(E94,1,FIND("°",E94,1)-1)</f>
        <v>20</v>
      </c>
      <c r="K94" s="1" t="str">
        <f aca="false">MID(E94,FIND("°",E94,1)+1,(FIND("′",E94,1)-FIND("°",E94,1))-1)</f>
        <v>51</v>
      </c>
      <c r="L94" s="1" t="str">
        <f aca="false">MID(E94,FIND("′",E94,1)+1,(FIND("″",E94,1)-FIND("′",E94,1))-1)</f>
        <v>00</v>
      </c>
      <c r="M94" s="1" t="str">
        <f aca="false">MID(F94,1,FIND("°",F94,1)-1)</f>
        <v>86</v>
      </c>
      <c r="N94" s="1" t="str">
        <f aca="false">MID(F94,FIND("°",F94,1)+1,(FIND("′",F94,1)-FIND("°",F94,1))-1)</f>
        <v>55</v>
      </c>
      <c r="O94" s="1" t="str">
        <f aca="false">MID(F94,FIND("′",F94,1)+1,(FIND("″",F94,1)-FIND("′",F94,1))-1)</f>
        <v>00</v>
      </c>
      <c r="P94" s="2" t="n">
        <f aca="false">((((L94/60)+K94)/60)+J94)*IF(C94="S",-1, 1)</f>
        <v>20.85</v>
      </c>
      <c r="Q94" s="2" t="n">
        <f aca="false">((((O94/60)+N94)/60)+M94)*IF(D94="W",-1, 1)</f>
        <v>-86.9166666666667</v>
      </c>
      <c r="R94" s="16" t="s">
        <v>240</v>
      </c>
    </row>
    <row r="95" customFormat="false" ht="15" hidden="false" customHeight="false" outlineLevel="0" collapsed="false">
      <c r="A95" s="1" t="n">
        <v>94</v>
      </c>
      <c r="B95" s="1" t="s">
        <v>18</v>
      </c>
      <c r="C95" s="1" t="s">
        <v>27</v>
      </c>
      <c r="D95" s="1" t="s">
        <v>20</v>
      </c>
      <c r="E95" s="7" t="s">
        <v>241</v>
      </c>
      <c r="F95" s="2" t="s">
        <v>242</v>
      </c>
      <c r="G95" s="7" t="s">
        <v>243</v>
      </c>
      <c r="H95" s="1" t="s">
        <v>24</v>
      </c>
      <c r="I95" s="7" t="s">
        <v>244</v>
      </c>
      <c r="J95" s="1" t="str">
        <f aca="false">MID(E95,1,FIND("°",E95,1)-1)</f>
        <v>25</v>
      </c>
      <c r="K95" s="1" t="str">
        <f aca="false">MID(E95,FIND("°",E95,1)+1,(FIND("′",E95,1)-FIND("°",E95,1))-1)</f>
        <v>36</v>
      </c>
      <c r="L95" s="1" t="str">
        <f aca="false">MID(E95,FIND("′",E95,1)+1,(FIND("″",E95,1)-FIND("′",E95,1))-1)</f>
        <v>11</v>
      </c>
      <c r="M95" s="1" t="str">
        <f aca="false">MID(F95,1,FIND("°",F95,1)-1)</f>
        <v>81</v>
      </c>
      <c r="N95" s="1" t="str">
        <f aca="false">MID(F95,FIND("°",F95,1)+1,(FIND("′",F95,1)-FIND("°",F95,1))-1)</f>
        <v>24</v>
      </c>
      <c r="O95" s="1" t="str">
        <f aca="false">MID(F95,FIND("′",F95,1)+1,(FIND("″",F95,1)-FIND("′",F95,1))-1)</f>
        <v>10</v>
      </c>
      <c r="P95" s="2" t="n">
        <f aca="false">((((L95/60)+K95)/60)+J95)*IF(C95="S",-1, 1)</f>
        <v>-25.6030555555556</v>
      </c>
      <c r="Q95" s="2" t="n">
        <f aca="false">((((O95/60)+N95)/60)+M95)*IF(D95="W",-1, 1)</f>
        <v>-81.4027777777778</v>
      </c>
      <c r="R95" s="16" t="s">
        <v>245</v>
      </c>
    </row>
    <row r="96" customFormat="false" ht="15" hidden="false" customHeight="false" outlineLevel="0" collapsed="false">
      <c r="A96" s="1" t="n">
        <v>95</v>
      </c>
      <c r="B96" s="1" t="s">
        <v>18</v>
      </c>
      <c r="C96" s="1" t="s">
        <v>19</v>
      </c>
      <c r="D96" s="1" t="s">
        <v>20</v>
      </c>
      <c r="E96" s="7" t="s">
        <v>21</v>
      </c>
      <c r="F96" s="2" t="s">
        <v>246</v>
      </c>
      <c r="G96" s="7" t="s">
        <v>247</v>
      </c>
      <c r="H96" s="1" t="s">
        <v>24</v>
      </c>
      <c r="I96" s="7" t="s">
        <v>248</v>
      </c>
      <c r="J96" s="1" t="str">
        <f aca="false">MID(E96,1,FIND("°",E96,1)-1)</f>
        <v>04</v>
      </c>
      <c r="K96" s="1" t="str">
        <f aca="false">MID(E96,FIND("°",E96,1)+1,(FIND("′",E96,1)-FIND("°",E96,1))-1)</f>
        <v>26</v>
      </c>
      <c r="L96" s="1" t="e">
        <f aca="false">MID(E96,FIND("′",E96,1)+1,(FIND("″",E96,1)-FIND("′",E96,1))-1)</f>
        <v>#VALUE!</v>
      </c>
      <c r="M96" s="1" t="str">
        <f aca="false">MID(F96,1,FIND("°",F96,1)-1)</f>
        <v> 51</v>
      </c>
      <c r="N96" s="1" t="str">
        <f aca="false">MID(F96,FIND("°",F96,1)+1,(FIND("′",F96,1)-FIND("°",F96,1))-1)</f>
        <v>32</v>
      </c>
      <c r="O96" s="1" t="e">
        <f aca="false">MID(F96,FIND("′",F96,1)+1,(FIND("″",F96,1)-FIND("′",F96,1))-1)</f>
        <v>#VALUE!</v>
      </c>
      <c r="P96" s="2" t="e">
        <f aca="false">((((L96/60)+K96)/60)+J96)*IF(C96="S",-1, 1)</f>
        <v>#VALUE!</v>
      </c>
      <c r="Q96" s="2" t="e">
        <f aca="false">((((O96/60)+N96)/60)+M96)*IF(D96="W",-1, 1)</f>
        <v>#VALUE!</v>
      </c>
      <c r="R96" s="16" t="s">
        <v>249</v>
      </c>
    </row>
    <row r="97" customFormat="false" ht="15" hidden="false" customHeight="false" outlineLevel="0" collapsed="false">
      <c r="A97" s="1" t="n">
        <v>96</v>
      </c>
      <c r="B97" s="1" t="s">
        <v>18</v>
      </c>
      <c r="C97" s="1" t="s">
        <v>27</v>
      </c>
      <c r="D97" s="1" t="s">
        <v>20</v>
      </c>
      <c r="E97" s="7" t="s">
        <v>250</v>
      </c>
      <c r="F97" s="2" t="s">
        <v>251</v>
      </c>
      <c r="G97" s="7" t="s">
        <v>247</v>
      </c>
      <c r="H97" s="1" t="s">
        <v>24</v>
      </c>
      <c r="I97" s="7" t="s">
        <v>252</v>
      </c>
      <c r="J97" s="1" t="str">
        <f aca="false">MID(E97,1,FIND("°",E97,1)-1)</f>
        <v>21</v>
      </c>
      <c r="K97" s="1" t="str">
        <f aca="false">MID(E97,FIND("°",E97,1)+1,(FIND("′",E97,1)-FIND("°",E97,1))-1)</f>
        <v>17</v>
      </c>
      <c r="L97" s="1" t="e">
        <f aca="false">MID(E97,FIND("′",E97,1)+1,(FIND("″",E97,1)-FIND("′",E97,1))-1)</f>
        <v>#VALUE!</v>
      </c>
      <c r="M97" s="1" t="str">
        <f aca="false">MID(F97,1,FIND("°",F97,1)-1)</f>
        <v>40</v>
      </c>
      <c r="N97" s="1" t="str">
        <f aca="false">MID(F97,FIND("°",F97,1)+1,(FIND("′",F97,1)-FIND("°",F97,1))-1)</f>
        <v>56</v>
      </c>
      <c r="O97" s="1" t="e">
        <f aca="false">MID(F97,FIND("′",F97,1)+1,(FIND("″",F97,1)-FIND("′",F97,1))-1)</f>
        <v>#VALUE!</v>
      </c>
      <c r="P97" s="2" t="e">
        <f aca="false">((((L97/60)+K97)/60)+J97)*IF(C97="S",-1, 1)</f>
        <v>#VALUE!</v>
      </c>
      <c r="Q97" s="2" t="e">
        <f aca="false">((((O97/60)+N97)/60)+M97)*IF(D97="W",-1, 1)</f>
        <v>#VALUE!</v>
      </c>
      <c r="R97" s="16" t="s">
        <v>249</v>
      </c>
    </row>
    <row r="98" customFormat="false" ht="15" hidden="false" customHeight="false" outlineLevel="0" collapsed="false">
      <c r="A98" s="1" t="n">
        <v>97</v>
      </c>
      <c r="B98" s="1" t="s">
        <v>44</v>
      </c>
      <c r="C98" s="1" t="s">
        <v>19</v>
      </c>
      <c r="D98" s="1" t="s">
        <v>20</v>
      </c>
      <c r="E98" s="7" t="s">
        <v>21</v>
      </c>
      <c r="F98" s="2" t="s">
        <v>246</v>
      </c>
      <c r="G98" s="7" t="s">
        <v>247</v>
      </c>
      <c r="H98" s="1" t="s">
        <v>24</v>
      </c>
      <c r="I98" s="7" t="s">
        <v>248</v>
      </c>
      <c r="J98" s="1" t="str">
        <f aca="false">MID(E98,1,FIND("°",E98,1)-1)</f>
        <v>04</v>
      </c>
      <c r="K98" s="1" t="str">
        <f aca="false">MID(E98,FIND("°",E98,1)+1,(FIND("′",E98,1)-FIND("°",E98,1))-1)</f>
        <v>26</v>
      </c>
      <c r="L98" s="1" t="e">
        <f aca="false">MID(E98,FIND("′",E98,1)+1,(FIND("″",E98,1)-FIND("′",E98,1))-1)</f>
        <v>#VALUE!</v>
      </c>
      <c r="M98" s="1" t="str">
        <f aca="false">MID(F98,1,FIND("°",F98,1)-1)</f>
        <v> 51</v>
      </c>
      <c r="N98" s="1" t="str">
        <f aca="false">MID(F98,FIND("°",F98,1)+1,(FIND("′",F98,1)-FIND("°",F98,1))-1)</f>
        <v>32</v>
      </c>
      <c r="O98" s="1" t="e">
        <f aca="false">MID(F98,FIND("′",F98,1)+1,(FIND("″",F98,1)-FIND("′",F98,1))-1)</f>
        <v>#VALUE!</v>
      </c>
      <c r="P98" s="2" t="e">
        <f aca="false">((((L98/60)+K98)/60)+J98)*IF(C98="S",-1, 1)</f>
        <v>#VALUE!</v>
      </c>
      <c r="Q98" s="2" t="e">
        <f aca="false">((((O98/60)+N98)/60)+M98)*IF(D98="W",-1, 1)</f>
        <v>#VALUE!</v>
      </c>
      <c r="R98" s="16" t="s">
        <v>249</v>
      </c>
    </row>
    <row r="99" customFormat="false" ht="15" hidden="false" customHeight="false" outlineLevel="0" collapsed="false">
      <c r="A99" s="1" t="n">
        <v>98</v>
      </c>
      <c r="B99" s="1" t="s">
        <v>44</v>
      </c>
      <c r="C99" s="1" t="s">
        <v>27</v>
      </c>
      <c r="D99" s="1" t="s">
        <v>20</v>
      </c>
      <c r="E99" s="7" t="s">
        <v>250</v>
      </c>
      <c r="F99" s="2" t="s">
        <v>251</v>
      </c>
      <c r="G99" s="7" t="s">
        <v>247</v>
      </c>
      <c r="H99" s="1" t="s">
        <v>24</v>
      </c>
      <c r="I99" s="7" t="s">
        <v>252</v>
      </c>
      <c r="J99" s="1" t="str">
        <f aca="false">MID(E99,1,FIND("°",E99,1)-1)</f>
        <v>21</v>
      </c>
      <c r="K99" s="1" t="str">
        <f aca="false">MID(E99,FIND("°",E99,1)+1,(FIND("′",E99,1)-FIND("°",E99,1))-1)</f>
        <v>17</v>
      </c>
      <c r="L99" s="1" t="e">
        <f aca="false">MID(E99,FIND("′",E99,1)+1,(FIND("″",E99,1)-FIND("′",E99,1))-1)</f>
        <v>#VALUE!</v>
      </c>
      <c r="M99" s="1" t="str">
        <f aca="false">MID(F99,1,FIND("°",F99,1)-1)</f>
        <v>40</v>
      </c>
      <c r="N99" s="1" t="str">
        <f aca="false">MID(F99,FIND("°",F99,1)+1,(FIND("′",F99,1)-FIND("°",F99,1))-1)</f>
        <v>56</v>
      </c>
      <c r="O99" s="1" t="e">
        <f aca="false">MID(F99,FIND("′",F99,1)+1,(FIND("″",F99,1)-FIND("′",F99,1))-1)</f>
        <v>#VALUE!</v>
      </c>
      <c r="P99" s="2" t="e">
        <f aca="false">((((L99/60)+K99)/60)+J99)*IF(C99="S",-1, 1)</f>
        <v>#VALUE!</v>
      </c>
      <c r="Q99" s="2" t="e">
        <f aca="false">((((O99/60)+N99)/60)+M99)*IF(D99="W",-1, 1)</f>
        <v>#VALUE!</v>
      </c>
      <c r="R99" s="16" t="s">
        <v>249</v>
      </c>
    </row>
    <row r="100" customFormat="false" ht="15" hidden="false" customHeight="false" outlineLevel="0" collapsed="false">
      <c r="A100" s="1" t="n">
        <v>99</v>
      </c>
      <c r="B100" s="1" t="s">
        <v>18</v>
      </c>
      <c r="C100" s="1" t="s">
        <v>27</v>
      </c>
      <c r="D100" s="1" t="s">
        <v>20</v>
      </c>
      <c r="E100" s="7" t="s">
        <v>236</v>
      </c>
      <c r="F100" s="2" t="s">
        <v>237</v>
      </c>
      <c r="G100" s="7" t="s">
        <v>253</v>
      </c>
      <c r="H100" s="1" t="s">
        <v>24</v>
      </c>
      <c r="I100" s="7" t="s">
        <v>254</v>
      </c>
      <c r="J100" s="1" t="str">
        <f aca="false">MID(E100,1,FIND("°",E100,1)-1)</f>
        <v>20</v>
      </c>
      <c r="K100" s="1" t="str">
        <f aca="false">MID(E100,FIND("°",E100,1)+1,(FIND("′",E100,1)-FIND("°",E100,1))-1)</f>
        <v>51</v>
      </c>
      <c r="L100" s="1" t="str">
        <f aca="false">MID(E100,FIND("′",E100,1)+1,(FIND("″",E100,1)-FIND("′",E100,1))-1)</f>
        <v>00</v>
      </c>
      <c r="M100" s="1" t="str">
        <f aca="false">MID(F100,1,FIND("°",F100,1)-1)</f>
        <v>86</v>
      </c>
      <c r="N100" s="1" t="str">
        <f aca="false">MID(F100,FIND("°",F100,1)+1,(FIND("′",F100,1)-FIND("°",F100,1))-1)</f>
        <v>55</v>
      </c>
      <c r="O100" s="1" t="str">
        <f aca="false">MID(F100,FIND("′",F100,1)+1,(FIND("″",F100,1)-FIND("′",F100,1))-1)</f>
        <v>00</v>
      </c>
      <c r="P100" s="2" t="n">
        <f aca="false">((((L100/60)+K100)/60)+J100)*IF(C100="S",-1, 1)</f>
        <v>-20.85</v>
      </c>
      <c r="Q100" s="2" t="n">
        <f aca="false">((((O100/60)+N100)/60)+M100)*IF(D100="W",-1, 1)</f>
        <v>-86.9166666666667</v>
      </c>
      <c r="R100" s="16" t="s">
        <v>255</v>
      </c>
    </row>
    <row r="101" customFormat="false" ht="15" hidden="false" customHeight="false" outlineLevel="0" collapsed="false">
      <c r="A101" s="1" t="n">
        <v>100</v>
      </c>
      <c r="B101" s="1" t="s">
        <v>18</v>
      </c>
      <c r="C101" s="1" t="s">
        <v>27</v>
      </c>
      <c r="D101" s="1" t="s">
        <v>20</v>
      </c>
      <c r="E101" s="7" t="s">
        <v>256</v>
      </c>
      <c r="F101" s="7" t="s">
        <v>257</v>
      </c>
      <c r="G101" s="7" t="s">
        <v>258</v>
      </c>
      <c r="H101" s="1" t="s">
        <v>24</v>
      </c>
      <c r="I101" s="7" t="s">
        <v>259</v>
      </c>
      <c r="J101" s="1" t="str">
        <f aca="false">MID(E101,1,FIND("°",E101,1)-1)</f>
        <v>2</v>
      </c>
      <c r="K101" s="1" t="str">
        <f aca="false">MID(E101,FIND("°",E101,1)+1,(FIND("′",E101,1)-FIND("°",E101,1))-1)</f>
        <v>46</v>
      </c>
      <c r="L101" s="1" t="e">
        <f aca="false">MID(E101,FIND("′",E101,1)+1,(FIND("″",E101,1)-FIND("′",E101,1))-1)</f>
        <v>#VALUE!</v>
      </c>
      <c r="M101" s="1" t="str">
        <f aca="false">MID(F101,1,FIND("°",F101,1)-1)</f>
        <v>40</v>
      </c>
      <c r="N101" s="1" t="str">
        <f aca="false">MID(F101,FIND("°",F101,1)+1,(FIND("′",F101,1)-FIND("°",F101,1))-1)</f>
        <v>05</v>
      </c>
      <c r="O101" s="1" t="e">
        <f aca="false">MID(F101,FIND("′",F101,1)+1,(FIND("″",F101,1)-FIND("′",F101,1))-1)</f>
        <v>#VALUE!</v>
      </c>
      <c r="P101" s="2" t="e">
        <f aca="false">((((L101/60)+K101)/60)+J101)*IF(C101="S",-1, 1)</f>
        <v>#VALUE!</v>
      </c>
      <c r="Q101" s="2" t="e">
        <f aca="false">((((O101/60)+N101)/60)+M101)*IF(D101="W",-1, 1)</f>
        <v>#VALUE!</v>
      </c>
      <c r="R101" s="16" t="s">
        <v>260</v>
      </c>
    </row>
    <row r="102" customFormat="false" ht="15" hidden="false" customHeight="true" outlineLevel="0" collapsed="false">
      <c r="A102" s="1" t="n">
        <v>101</v>
      </c>
      <c r="B102" s="1" t="s">
        <v>18</v>
      </c>
      <c r="C102" s="1" t="s">
        <v>27</v>
      </c>
      <c r="D102" s="1" t="s">
        <v>20</v>
      </c>
      <c r="E102" s="10" t="s">
        <v>261</v>
      </c>
      <c r="F102" s="2" t="s">
        <v>262</v>
      </c>
      <c r="G102" s="7" t="s">
        <v>258</v>
      </c>
      <c r="H102" s="1" t="s">
        <v>24</v>
      </c>
      <c r="I102" s="7" t="s">
        <v>263</v>
      </c>
      <c r="J102" s="1" t="str">
        <f aca="false">MID(E102,1,FIND("°",E102,1)-1)</f>
        <v>3</v>
      </c>
      <c r="K102" s="1" t="str">
        <f aca="false">MID(E102,FIND("°",E102,1)+1,(FIND("′",E102,1)-FIND("°",E102,1))-1)</f>
        <v>14</v>
      </c>
      <c r="L102" s="1" t="str">
        <f aca="false">MID(E102,FIND("′",E102,1)+1,(FIND("″",E102,1)-FIND("′",E102,1))-1)</f>
        <v>30</v>
      </c>
      <c r="M102" s="1" t="str">
        <f aca="false">MID(F102,1,FIND("°",F102,1)-1)</f>
        <v>39</v>
      </c>
      <c r="N102" s="1" t="str">
        <f aca="false">MID(F102,FIND("°",F102,1)+1,(FIND("′",F102,1)-FIND("°",F102,1))-1)</f>
        <v>13</v>
      </c>
      <c r="O102" s="1" t="str">
        <f aca="false">MID(F102,FIND("′",F102,1)+1,(FIND("″",F102,1)-FIND("′",F102,1))-1)</f>
        <v>30</v>
      </c>
      <c r="P102" s="2" t="n">
        <f aca="false">((((L102/60)+K102)/60)+J102)*IF(C102="S",-1, 1)</f>
        <v>-3.24166666666667</v>
      </c>
      <c r="Q102" s="2" t="n">
        <f aca="false">((((O102/60)+N102)/60)+M102)*IF(D102="W",-1, 1)</f>
        <v>-39.225</v>
      </c>
      <c r="R102" s="16" t="s">
        <v>260</v>
      </c>
    </row>
    <row r="103" customFormat="false" ht="15" hidden="false" customHeight="false" outlineLevel="0" collapsed="false">
      <c r="A103" s="1" t="n">
        <v>102</v>
      </c>
      <c r="B103" s="1" t="s">
        <v>18</v>
      </c>
      <c r="C103" s="1" t="s">
        <v>19</v>
      </c>
      <c r="D103" s="1" t="s">
        <v>20</v>
      </c>
      <c r="E103" s="7" t="s">
        <v>264</v>
      </c>
      <c r="F103" s="7" t="s">
        <v>265</v>
      </c>
      <c r="G103" s="7" t="s">
        <v>258</v>
      </c>
      <c r="H103" s="1" t="s">
        <v>24</v>
      </c>
      <c r="I103" s="7" t="s">
        <v>266</v>
      </c>
      <c r="J103" s="1" t="str">
        <f aca="false">MID(E103,1,FIND("°",E103,1)-1)</f>
        <v>03</v>
      </c>
      <c r="K103" s="1" t="str">
        <f aca="false">MID(E103,FIND("°",E103,1)+1,(FIND("′",E103,1)-FIND("°",E103,1))-1)</f>
        <v>18</v>
      </c>
      <c r="L103" s="1" t="str">
        <f aca="false">MID(E103,FIND("′",E103,1)+1,(FIND("″",E103,1)-FIND("′",E103,1))-1)</f>
        <v>00</v>
      </c>
      <c r="M103" s="1" t="str">
        <f aca="false">MID(F103,1,FIND("°",F103,1)-1)</f>
        <v>50</v>
      </c>
      <c r="N103" s="1" t="str">
        <f aca="false">MID(F103,FIND("°",F103,1)+1,(FIND("′",F103,1)-FIND("°",F103,1))-1)</f>
        <v>35</v>
      </c>
      <c r="O103" s="1" t="str">
        <f aca="false">MID(F103,FIND("′",F103,1)+1,(FIND("″",F103,1)-FIND("′",F103,1))-1)</f>
        <v>24</v>
      </c>
      <c r="P103" s="2" t="n">
        <f aca="false">((((L103/60)+K103)/60)+J103)*IF(C103="S",-1, 1)</f>
        <v>3.3</v>
      </c>
      <c r="Q103" s="2" t="n">
        <f aca="false">((((O103/60)+N103)/60)+M103)*IF(D103="W",-1, 1)</f>
        <v>-50.59</v>
      </c>
      <c r="R103" s="16" t="s">
        <v>260</v>
      </c>
    </row>
    <row r="104" customFormat="false" ht="15" hidden="false" customHeight="false" outlineLevel="0" collapsed="false">
      <c r="A104" s="1" t="n">
        <v>103</v>
      </c>
      <c r="B104" s="1" t="s">
        <v>18</v>
      </c>
      <c r="C104" s="1" t="s">
        <v>19</v>
      </c>
      <c r="D104" s="1" t="s">
        <v>20</v>
      </c>
      <c r="E104" s="7" t="s">
        <v>267</v>
      </c>
      <c r="F104" s="7" t="s">
        <v>268</v>
      </c>
      <c r="G104" s="7" t="s">
        <v>258</v>
      </c>
      <c r="H104" s="1" t="s">
        <v>24</v>
      </c>
      <c r="I104" s="7" t="s">
        <v>269</v>
      </c>
      <c r="J104" s="1" t="str">
        <f aca="false">MID(E104,1,FIND("°",E104,1)-1)</f>
        <v>05</v>
      </c>
      <c r="K104" s="1" t="str">
        <f aca="false">MID(E104,FIND("°",E104,1)+1,(FIND("′",E104,1)-FIND("°",E104,1))-1)</f>
        <v>40</v>
      </c>
      <c r="L104" s="1" t="str">
        <f aca="false">MID(E104,FIND("′",E104,1)+1,(FIND("″",E104,1)-FIND("′",E104,1))-1)</f>
        <v>48</v>
      </c>
      <c r="M104" s="1" t="str">
        <f aca="false">MID(F104,1,FIND("°",F104,1)-1)</f>
        <v>46</v>
      </c>
      <c r="N104" s="1" t="str">
        <f aca="false">MID(F104,FIND("°",F104,1)+1,(FIND("′",F104,1)-FIND("°",F104,1))-1)</f>
        <v>38</v>
      </c>
      <c r="O104" s="1" t="str">
        <f aca="false">MID(F104,FIND("′",F104,1)+1,(FIND("″",F104,1)-FIND("′",F104,1))-1)</f>
        <v>24</v>
      </c>
      <c r="P104" s="2" t="n">
        <f aca="false">((((L104/60)+K104)/60)+J104)*IF(C104="S",-1, 1)</f>
        <v>5.68</v>
      </c>
      <c r="Q104" s="2" t="n">
        <f aca="false">((((O104/60)+N104)/60)+M104)*IF(D104="W",-1, 1)</f>
        <v>-46.64</v>
      </c>
      <c r="R104" s="16" t="s">
        <v>260</v>
      </c>
    </row>
    <row r="105" customFormat="false" ht="15" hidden="false" customHeight="false" outlineLevel="0" collapsed="false">
      <c r="A105" s="1" t="n">
        <v>104</v>
      </c>
      <c r="B105" s="1" t="s">
        <v>18</v>
      </c>
      <c r="C105" s="1" t="s">
        <v>27</v>
      </c>
      <c r="D105" s="1" t="s">
        <v>20</v>
      </c>
      <c r="E105" s="7" t="s">
        <v>270</v>
      </c>
      <c r="F105" s="7" t="s">
        <v>271</v>
      </c>
      <c r="G105" s="7" t="s">
        <v>258</v>
      </c>
      <c r="H105" s="1" t="s">
        <v>24</v>
      </c>
      <c r="I105" s="7" t="s">
        <v>272</v>
      </c>
      <c r="J105" s="1" t="str">
        <f aca="false">MID(E105,1,FIND("°",E105,1)-1)</f>
        <v>01</v>
      </c>
      <c r="K105" s="1" t="str">
        <f aca="false">MID(E105,FIND("°",E105,1)+1,(FIND("′",E105,1)-FIND("°",E105,1))-1)</f>
        <v>13</v>
      </c>
      <c r="L105" s="1" t="str">
        <f aca="false">MID(E105,FIND("′",E105,1)+1,(FIND("″",E105,1)-FIND("′",E105,1))-1)</f>
        <v>12</v>
      </c>
      <c r="M105" s="1" t="str">
        <f aca="false">MID(F105,1,FIND("°",F105,1)-1)</f>
        <v>44</v>
      </c>
      <c r="N105" s="1" t="str">
        <f aca="false">MID(F105,FIND("°",F105,1)+1,(FIND("′",F105,1)-FIND("°",F105,1))-1)</f>
        <v>38</v>
      </c>
      <c r="O105" s="1" t="str">
        <f aca="false">MID(F105,FIND("′",F105,1)+1,(FIND("″",F105,1)-FIND("′",F105,1))-1)</f>
        <v>24</v>
      </c>
      <c r="P105" s="2" t="n">
        <f aca="false">((((L105/60)+K105)/60)+J105)*IF(C105="S",-1, 1)</f>
        <v>-1.22</v>
      </c>
      <c r="Q105" s="2" t="n">
        <f aca="false">((((O105/60)+N105)/60)+M105)*IF(D105="W",-1, 1)</f>
        <v>-44.64</v>
      </c>
      <c r="R105" s="16" t="s">
        <v>260</v>
      </c>
    </row>
    <row r="106" customFormat="false" ht="15" hidden="false" customHeight="false" outlineLevel="0" collapsed="false">
      <c r="A106" s="1" t="n">
        <v>105</v>
      </c>
      <c r="B106" s="1" t="s">
        <v>18</v>
      </c>
      <c r="C106" s="1" t="s">
        <v>19</v>
      </c>
      <c r="D106" s="1" t="s">
        <v>20</v>
      </c>
      <c r="E106" s="7" t="s">
        <v>273</v>
      </c>
      <c r="F106" s="7" t="s">
        <v>274</v>
      </c>
      <c r="G106" s="7" t="s">
        <v>258</v>
      </c>
      <c r="H106" s="1" t="s">
        <v>24</v>
      </c>
      <c r="I106" s="7" t="s">
        <v>275</v>
      </c>
      <c r="J106" s="1" t="str">
        <f aca="false">MID(E106,1,FIND("°",E106,1)-1)</f>
        <v>01</v>
      </c>
      <c r="K106" s="1" t="str">
        <f aca="false">MID(E106,FIND("°",E106,1)+1,(FIND("′",E106,1)-FIND("°",E106,1))-1)</f>
        <v>58</v>
      </c>
      <c r="L106" s="1" t="str">
        <f aca="false">MID(E106,FIND("′",E106,1)+1,(FIND("″",E106,1)-FIND("′",E106,1))-1)</f>
        <v>12</v>
      </c>
      <c r="M106" s="1" t="str">
        <f aca="false">MID(F106,1,FIND("°",F106,1)-1)</f>
        <v>40</v>
      </c>
      <c r="N106" s="1" t="str">
        <f aca="false">MID(F106,FIND("°",F106,1)+1,(FIND("′",F106,1)-FIND("°",F106,1))-1)</f>
        <v>35</v>
      </c>
      <c r="O106" s="1" t="str">
        <f aca="false">MID(F106,FIND("′",F106,1)+1,(FIND("″",F106,1)-FIND("′",F106,1))-1)</f>
        <v>24</v>
      </c>
      <c r="P106" s="2" t="n">
        <f aca="false">((((L106/60)+K106)/60)+J106)*IF(C106="S",-1, 1)</f>
        <v>1.97</v>
      </c>
      <c r="Q106" s="2" t="n">
        <f aca="false">((((O106/60)+N106)/60)+M106)*IF(D106="W",-1, 1)</f>
        <v>-40.59</v>
      </c>
      <c r="R106" s="16" t="s">
        <v>260</v>
      </c>
    </row>
    <row r="107" customFormat="false" ht="15" hidden="false" customHeight="false" outlineLevel="0" collapsed="false">
      <c r="A107" s="1" t="n">
        <v>106</v>
      </c>
      <c r="B107" s="1" t="s">
        <v>18</v>
      </c>
      <c r="C107" s="1" t="s">
        <v>27</v>
      </c>
      <c r="D107" s="1" t="s">
        <v>20</v>
      </c>
      <c r="E107" s="2" t="s">
        <v>276</v>
      </c>
      <c r="F107" s="7" t="s">
        <v>277</v>
      </c>
      <c r="G107" s="7" t="s">
        <v>258</v>
      </c>
      <c r="H107" s="1" t="s">
        <v>24</v>
      </c>
      <c r="I107" s="7" t="s">
        <v>278</v>
      </c>
      <c r="J107" s="1" t="str">
        <f aca="false">MID(E107,1,FIND("°",E107,1)-1)</f>
        <v>03</v>
      </c>
      <c r="K107" s="1" t="str">
        <f aca="false">MID(E107,FIND("°",E107,1)+1,(FIND("′",E107,1)-FIND("°",E107,1))-1)</f>
        <v>30</v>
      </c>
      <c r="L107" s="1" t="str">
        <f aca="false">MID(E107,FIND("′",E107,1)+1,(FIND("″",E107,1)-FIND("′",E107,1))-1)</f>
        <v>00</v>
      </c>
      <c r="M107" s="1" t="str">
        <f aca="false">MID(F107,1,FIND("°",F107,1)-1)</f>
        <v>38</v>
      </c>
      <c r="N107" s="1" t="str">
        <f aca="false">MID(F107,FIND("°",F107,1)+1,(FIND("′",F107,1)-FIND("°",F107,1))-1)</f>
        <v>44</v>
      </c>
      <c r="O107" s="1" t="str">
        <f aca="false">MID(F107,FIND("′",F107,1)+1,(FIND("″",F107,1)-FIND("′",F107,1))-1)</f>
        <v>24</v>
      </c>
      <c r="P107" s="2" t="n">
        <f aca="false">((((L107/60)+K107)/60)+J107)*IF(C107="S",-1, 1)</f>
        <v>-3.5</v>
      </c>
      <c r="Q107" s="2" t="n">
        <f aca="false">((((O107/60)+N107)/60)+M107)*IF(D107="W",-1, 1)</f>
        <v>-38.74</v>
      </c>
      <c r="R107" s="16" t="s">
        <v>260</v>
      </c>
    </row>
    <row r="108" customFormat="false" ht="15" hidden="false" customHeight="false" outlineLevel="0" collapsed="false">
      <c r="A108" s="1" t="n">
        <v>107</v>
      </c>
      <c r="B108" s="1" t="s">
        <v>18</v>
      </c>
      <c r="C108" s="1" t="s">
        <v>27</v>
      </c>
      <c r="D108" s="1" t="s">
        <v>20</v>
      </c>
      <c r="E108" s="7" t="s">
        <v>279</v>
      </c>
      <c r="F108" s="7" t="s">
        <v>280</v>
      </c>
      <c r="G108" s="7" t="s">
        <v>258</v>
      </c>
      <c r="H108" s="1" t="s">
        <v>24</v>
      </c>
      <c r="I108" s="7" t="s">
        <v>281</v>
      </c>
      <c r="J108" s="1" t="str">
        <f aca="false">MID(E108,1,FIND("°",E108,1)-1)</f>
        <v>00</v>
      </c>
      <c r="K108" s="1" t="str">
        <f aca="false">MID(E108,FIND("°",E108,1)+1,(FIND("′",E108,1)-FIND("°",E108,1))-1)</f>
        <v>38</v>
      </c>
      <c r="L108" s="1" t="str">
        <f aca="false">MID(E108,FIND("′",E108,1)+1,(FIND("″",E108,1)-FIND("′",E108,1))-1)</f>
        <v>24</v>
      </c>
      <c r="M108" s="1" t="str">
        <f aca="false">MID(F108,1,FIND("°",F108,1)-1)</f>
        <v>35</v>
      </c>
      <c r="N108" s="1" t="str">
        <f aca="false">MID(F108,FIND("°",F108,1)+1,(FIND("′",F108,1)-FIND("°",F108,1))-1)</f>
        <v>00</v>
      </c>
      <c r="O108" s="1" t="str">
        <f aca="false">MID(F108,FIND("′",F108,1)+1,(FIND("″",F108,1)-FIND("′",F108,1))-1)</f>
        <v>00</v>
      </c>
      <c r="P108" s="2" t="n">
        <f aca="false">((((L108/60)+K108)/60)+J108)*IF(C108="S",-1, 1)</f>
        <v>-0.64</v>
      </c>
      <c r="Q108" s="2" t="n">
        <f aca="false">((((O108/60)+N108)/60)+M108)*IF(D108="W",-1, 1)</f>
        <v>-35</v>
      </c>
      <c r="R108" s="16" t="s">
        <v>260</v>
      </c>
    </row>
    <row r="109" customFormat="false" ht="15" hidden="false" customHeight="false" outlineLevel="0" collapsed="false">
      <c r="A109" s="1" t="n">
        <v>108</v>
      </c>
      <c r="B109" s="1" t="s">
        <v>18</v>
      </c>
      <c r="C109" s="1" t="s">
        <v>27</v>
      </c>
      <c r="D109" s="1" t="s">
        <v>20</v>
      </c>
      <c r="E109" s="7" t="s">
        <v>282</v>
      </c>
      <c r="F109" s="7" t="s">
        <v>283</v>
      </c>
      <c r="G109" s="7" t="s">
        <v>258</v>
      </c>
      <c r="H109" s="1" t="s">
        <v>24</v>
      </c>
      <c r="I109" s="7" t="s">
        <v>284</v>
      </c>
      <c r="J109" s="1" t="str">
        <f aca="false">MID(E109,1,FIND("°",E109,1)-1)</f>
        <v>05</v>
      </c>
      <c r="K109" s="1" t="str">
        <f aca="false">MID(E109,FIND("°",E109,1)+1,(FIND("′",E109,1)-FIND("°",E109,1))-1)</f>
        <v>01</v>
      </c>
      <c r="L109" s="1" t="str">
        <f aca="false">MID(E109,FIND("′",E109,1)+1,(FIND("″",E109,1)-FIND("′",E109,1))-1)</f>
        <v>12</v>
      </c>
      <c r="M109" s="1" t="str">
        <f aca="false">MID(F109,1,FIND("°",F109,1)-1)</f>
        <v>35</v>
      </c>
      <c r="N109" s="1" t="str">
        <f aca="false">MID(F109,FIND("°",F109,1)+1,(FIND("′",F109,1)-FIND("°",F109,1))-1)</f>
        <v>25</v>
      </c>
      <c r="O109" s="1" t="str">
        <f aca="false">MID(F109,FIND("′",F109,1)+1,(FIND("″",F109,1)-FIND("′",F109,1))-1)</f>
        <v>48</v>
      </c>
      <c r="P109" s="2" t="n">
        <f aca="false">((((L109/60)+K109)/60)+J109)*IF(C109="S",-1, 1)</f>
        <v>-5.02</v>
      </c>
      <c r="Q109" s="2" t="n">
        <f aca="false">((((O109/60)+N109)/60)+M109)*IF(D109="W",-1, 1)</f>
        <v>-35.43</v>
      </c>
      <c r="R109" s="16" t="s">
        <v>260</v>
      </c>
    </row>
    <row r="110" customFormat="false" ht="15" hidden="false" customHeight="false" outlineLevel="0" collapsed="false">
      <c r="A110" s="1" t="n">
        <v>109</v>
      </c>
      <c r="B110" s="1" t="s">
        <v>18</v>
      </c>
      <c r="C110" s="1" t="s">
        <v>27</v>
      </c>
      <c r="D110" s="1" t="s">
        <v>20</v>
      </c>
      <c r="E110" s="7" t="s">
        <v>285</v>
      </c>
      <c r="F110" s="7" t="s">
        <v>286</v>
      </c>
      <c r="G110" s="7" t="s">
        <v>258</v>
      </c>
      <c r="H110" s="1" t="s">
        <v>24</v>
      </c>
      <c r="I110" s="7" t="s">
        <v>287</v>
      </c>
      <c r="J110" s="1" t="str">
        <f aca="false">MID(E110,1,FIND("°",E110,1)-1)</f>
        <v>02</v>
      </c>
      <c r="K110" s="1" t="str">
        <f aca="false">MID(E110,FIND("°",E110,1)+1,(FIND("′",E110,1)-FIND("°",E110,1))-1)</f>
        <v>54</v>
      </c>
      <c r="L110" s="1" t="str">
        <f aca="false">MID(E110,FIND("′",E110,1)+1,(FIND("″",E110,1)-FIND("′",E110,1))-1)</f>
        <v>00</v>
      </c>
      <c r="M110" s="1" t="str">
        <f aca="false">MID(F110,1,FIND("°",F110,1)-1)</f>
        <v>31</v>
      </c>
      <c r="N110" s="1" t="str">
        <f aca="false">MID(F110,FIND("°",F110,1)+1,(FIND("′",F110,1)-FIND("°",F110,1))-1)</f>
        <v>38</v>
      </c>
      <c r="O110" s="1" t="str">
        <f aca="false">MID(F110,FIND("′",F110,1)+1,(FIND("″",F110,1)-FIND("′",F110,1))-1)</f>
        <v>24</v>
      </c>
      <c r="P110" s="2" t="n">
        <f aca="false">((((L110/60)+K110)/60)+J110)*IF(C110="S",-1, 1)</f>
        <v>-2.9</v>
      </c>
      <c r="Q110" s="2" t="n">
        <f aca="false">((((O110/60)+N110)/60)+M110)*IF(D110="W",-1, 1)</f>
        <v>-31.64</v>
      </c>
      <c r="R110" s="16" t="s">
        <v>260</v>
      </c>
    </row>
    <row r="111" customFormat="false" ht="15" hidden="false" customHeight="false" outlineLevel="0" collapsed="false">
      <c r="A111" s="1" t="n">
        <v>110</v>
      </c>
      <c r="B111" s="1" t="s">
        <v>18</v>
      </c>
      <c r="C111" s="1" t="s">
        <v>27</v>
      </c>
      <c r="D111" s="1" t="s">
        <v>20</v>
      </c>
      <c r="E111" s="7" t="s">
        <v>288</v>
      </c>
      <c r="F111" s="7" t="s">
        <v>289</v>
      </c>
      <c r="G111" s="7" t="s">
        <v>258</v>
      </c>
      <c r="H111" s="1" t="s">
        <v>24</v>
      </c>
      <c r="I111" s="7" t="s">
        <v>290</v>
      </c>
      <c r="J111" s="1" t="str">
        <f aca="false">MID(E111,1,FIND("°",E111,1)-1)</f>
        <v>09</v>
      </c>
      <c r="K111" s="1" t="str">
        <f aca="false">MID(E111,FIND("°",E111,1)+1,(FIND("′",E111,1)-FIND("°",E111,1))-1)</f>
        <v>44</v>
      </c>
      <c r="L111" s="1" t="str">
        <f aca="false">MID(E111,FIND("′",E111,1)+1,(FIND("″",E111,1)-FIND("′",E111,1))-1)</f>
        <v>24</v>
      </c>
      <c r="M111" s="1" t="str">
        <f aca="false">MID(F111,1,FIND("°",F111,1)-1)</f>
        <v>35</v>
      </c>
      <c r="N111" s="1" t="str">
        <f aca="false">MID(F111,FIND("°",F111,1)+1,(FIND("′",F111,1)-FIND("°",F111,1))-1)</f>
        <v>34</v>
      </c>
      <c r="O111" s="1" t="str">
        <f aca="false">MID(F111,FIND("′",F111,1)+1,(FIND("″",F111,1)-FIND("′",F111,1))-1)</f>
        <v>12</v>
      </c>
      <c r="P111" s="2" t="n">
        <f aca="false">((((L111/60)+K111)/60)+J111)*IF(C111="S",-1, 1)</f>
        <v>-9.74</v>
      </c>
      <c r="Q111" s="2" t="n">
        <f aca="false">((((O111/60)+N111)/60)+M111)*IF(D111="W",-1, 1)</f>
        <v>-35.57</v>
      </c>
      <c r="R111" s="16" t="s">
        <v>260</v>
      </c>
    </row>
    <row r="112" customFormat="false" ht="15" hidden="false" customHeight="false" outlineLevel="0" collapsed="false">
      <c r="A112" s="1" t="n">
        <v>111</v>
      </c>
      <c r="B112" s="1" t="s">
        <v>18</v>
      </c>
      <c r="C112" s="1" t="s">
        <v>27</v>
      </c>
      <c r="D112" s="1" t="s">
        <v>20</v>
      </c>
      <c r="E112" s="7" t="s">
        <v>291</v>
      </c>
      <c r="F112" s="7" t="s">
        <v>292</v>
      </c>
      <c r="G112" s="7" t="s">
        <v>258</v>
      </c>
      <c r="H112" s="1" t="s">
        <v>24</v>
      </c>
      <c r="I112" s="7" t="s">
        <v>293</v>
      </c>
      <c r="J112" s="1" t="str">
        <f aca="false">MID(E112,1,FIND("°",E112,1)-1)</f>
        <v>09</v>
      </c>
      <c r="K112" s="1" t="str">
        <f aca="false">MID(E112,FIND("°",E112,1)+1,(FIND("′",E112,1)-FIND("°",E112,1))-1)</f>
        <v>42</v>
      </c>
      <c r="L112" s="1" t="str">
        <f aca="false">MID(E112,FIND("′",E112,1)+1,(FIND("″",E112,1)-FIND("′",E112,1))-1)</f>
        <v>00</v>
      </c>
      <c r="M112" s="1" t="str">
        <f aca="false">MID(F112,1,FIND("°",F112,1)-1)</f>
        <v>31</v>
      </c>
      <c r="N112" s="1" t="str">
        <f aca="false">MID(F112,FIND("°",F112,1)+1,(FIND("′",F112,1)-FIND("°",F112,1))-1)</f>
        <v>02</v>
      </c>
      <c r="O112" s="1" t="str">
        <f aca="false">MID(F112,FIND("′",F112,1)+1,(FIND("″",F112,1)-FIND("′",F112,1))-1)</f>
        <v>24</v>
      </c>
      <c r="P112" s="2" t="n">
        <f aca="false">((((L112/60)+K112)/60)+J112)*IF(C112="S",-1, 1)</f>
        <v>-9.7</v>
      </c>
      <c r="Q112" s="2" t="n">
        <f aca="false">((((O112/60)+N112)/60)+M112)*IF(D112="W",-1, 1)</f>
        <v>-31.04</v>
      </c>
      <c r="R112" s="16" t="s">
        <v>260</v>
      </c>
    </row>
    <row r="113" customFormat="false" ht="15" hidden="false" customHeight="false" outlineLevel="0" collapsed="false">
      <c r="A113" s="1" t="n">
        <v>112</v>
      </c>
      <c r="B113" s="1" t="s">
        <v>18</v>
      </c>
      <c r="C113" s="1" t="s">
        <v>27</v>
      </c>
      <c r="D113" s="1" t="s">
        <v>20</v>
      </c>
      <c r="E113" s="7" t="s">
        <v>294</v>
      </c>
      <c r="F113" s="7" t="s">
        <v>295</v>
      </c>
      <c r="G113" s="7" t="s">
        <v>258</v>
      </c>
      <c r="H113" s="1" t="s">
        <v>24</v>
      </c>
      <c r="I113" s="7" t="s">
        <v>296</v>
      </c>
      <c r="J113" s="1" t="str">
        <f aca="false">MID(E113,1,FIND("°",E113,1)-1)</f>
        <v>18</v>
      </c>
      <c r="K113" s="1" t="str">
        <f aca="false">MID(E113,FIND("°",E113,1)+1,(FIND("′",E113,1)-FIND("°",E113,1))-1)</f>
        <v>42</v>
      </c>
      <c r="L113" s="1" t="str">
        <f aca="false">MID(E113,FIND("′",E113,1)+1,(FIND("″",E113,1)-FIND("′",E113,1))-1)</f>
        <v>00</v>
      </c>
      <c r="M113" s="1" t="str">
        <f aca="false">MID(F113,1,FIND("°",F113,1)-1)</f>
        <v>38</v>
      </c>
      <c r="N113" s="1" t="str">
        <f aca="false">MID(F113,FIND("°",F113,1)+1,(FIND("′",F113,1)-FIND("°",F113,1))-1)</f>
        <v>46</v>
      </c>
      <c r="O113" s="1" t="str">
        <f aca="false">MID(F113,FIND("′",F113,1)+1,(FIND("″",F113,1)-FIND("′",F113,1))-1)</f>
        <v>12</v>
      </c>
      <c r="P113" s="2" t="n">
        <f aca="false">((((L113/60)+K113)/60)+J113)*IF(C113="S",-1, 1)</f>
        <v>-18.7</v>
      </c>
      <c r="Q113" s="2" t="n">
        <f aca="false">((((O113/60)+N113)/60)+M113)*IF(D113="W",-1, 1)</f>
        <v>-38.77</v>
      </c>
      <c r="R113" s="16" t="s">
        <v>260</v>
      </c>
    </row>
    <row r="114" customFormat="false" ht="15" hidden="false" customHeight="false" outlineLevel="0" collapsed="false">
      <c r="A114" s="1" t="n">
        <v>113</v>
      </c>
      <c r="B114" s="1" t="s">
        <v>18</v>
      </c>
      <c r="C114" s="1" t="s">
        <v>27</v>
      </c>
      <c r="D114" s="1" t="s">
        <v>20</v>
      </c>
      <c r="E114" s="7" t="s">
        <v>297</v>
      </c>
      <c r="F114" s="7" t="s">
        <v>298</v>
      </c>
      <c r="G114" s="7" t="s">
        <v>258</v>
      </c>
      <c r="H114" s="1" t="s">
        <v>24</v>
      </c>
      <c r="I114" s="7" t="s">
        <v>299</v>
      </c>
      <c r="J114" s="1" t="str">
        <f aca="false">MID(E114,1,FIND("°",E114,1)-1)</f>
        <v>18</v>
      </c>
      <c r="K114" s="1" t="str">
        <f aca="false">MID(E114,FIND("°",E114,1)+1,(FIND("′",E114,1)-FIND("°",E114,1))-1)</f>
        <v>18</v>
      </c>
      <c r="L114" s="1" t="str">
        <f aca="false">MID(E114,FIND("′",E114,1)+1,(FIND("″",E114,1)-FIND("′",E114,1))-1)</f>
        <v>00</v>
      </c>
      <c r="M114" s="1" t="str">
        <f aca="false">MID(F114,1,FIND("°",F114,1)-1)</f>
        <v>33</v>
      </c>
      <c r="N114" s="1" t="str">
        <f aca="false">MID(F114,FIND("°",F114,1)+1,(FIND("′",F114,1)-FIND("°",F114,1))-1)</f>
        <v>54</v>
      </c>
      <c r="O114" s="1" t="str">
        <f aca="false">MID(F114,FIND("′",F114,1)+1,(FIND("″",F114,1)-FIND("′",F114,1))-1)</f>
        <v>36</v>
      </c>
      <c r="P114" s="2" t="n">
        <f aca="false">((((L114/60)+K114)/60)+J114)*IF(C114="S",-1, 1)</f>
        <v>-18.3</v>
      </c>
      <c r="Q114" s="2" t="n">
        <f aca="false">((((O114/60)+N114)/60)+M114)*IF(D114="W",-1, 1)</f>
        <v>-33.91</v>
      </c>
      <c r="R114" s="16" t="s">
        <v>260</v>
      </c>
    </row>
    <row r="115" customFormat="false" ht="15" hidden="false" customHeight="false" outlineLevel="0" collapsed="false">
      <c r="A115" s="1" t="n">
        <v>114</v>
      </c>
      <c r="B115" s="1" t="s">
        <v>18</v>
      </c>
      <c r="C115" s="1" t="s">
        <v>19</v>
      </c>
      <c r="D115" s="1" t="s">
        <v>20</v>
      </c>
      <c r="E115" s="7" t="s">
        <v>300</v>
      </c>
      <c r="F115" s="7" t="s">
        <v>301</v>
      </c>
      <c r="G115" s="7" t="s">
        <v>258</v>
      </c>
      <c r="H115" s="1" t="s">
        <v>24</v>
      </c>
      <c r="I115" s="7" t="s">
        <v>302</v>
      </c>
      <c r="J115" s="1" t="str">
        <f aca="false">MID(E115,1,FIND("°",E115,1)-1)</f>
        <v>21</v>
      </c>
      <c r="K115" s="1" t="str">
        <f aca="false">MID(E115,FIND("°",E115,1)+1,(FIND("′",E115,1)-FIND("°",E115,1))-1)</f>
        <v>31</v>
      </c>
      <c r="L115" s="1" t="str">
        <f aca="false">MID(E115,FIND("′",E115,1)+1,(FIND("″",E115,1)-FIND("′",E115,1))-1)</f>
        <v>12</v>
      </c>
      <c r="M115" s="1" t="str">
        <f aca="false">MID(F115,1,FIND("°",F115,1)-1)</f>
        <v>80</v>
      </c>
      <c r="N115" s="1" t="str">
        <f aca="false">MID(F115,FIND("°",F115,1)+1,(FIND("′",F115,1)-FIND("°",F115,1))-1)</f>
        <v>39</v>
      </c>
      <c r="O115" s="1" t="str">
        <f aca="false">MID(F115,FIND("′",F115,1)+1,(FIND("″",F115,1)-FIND("′",F115,1))-1)</f>
        <v>00</v>
      </c>
      <c r="P115" s="2" t="n">
        <f aca="false">((((L115/60)+K115)/60)+J115)*IF(C115="S",-1, 1)</f>
        <v>21.52</v>
      </c>
      <c r="Q115" s="2" t="n">
        <f aca="false">((((O115/60)+N115)/60)+M115)*IF(D115="W",-1, 1)</f>
        <v>-80.65</v>
      </c>
      <c r="R115" s="16" t="s">
        <v>260</v>
      </c>
    </row>
    <row r="116" customFormat="false" ht="15" hidden="false" customHeight="false" outlineLevel="0" collapsed="false">
      <c r="A116" s="1" t="n">
        <v>115</v>
      </c>
      <c r="B116" s="1" t="s">
        <v>18</v>
      </c>
      <c r="C116" s="1" t="s">
        <v>19</v>
      </c>
      <c r="D116" s="1" t="s">
        <v>20</v>
      </c>
      <c r="E116" s="7" t="s">
        <v>303</v>
      </c>
      <c r="F116" s="7" t="s">
        <v>304</v>
      </c>
      <c r="G116" s="7" t="s">
        <v>258</v>
      </c>
      <c r="H116" s="1" t="s">
        <v>24</v>
      </c>
      <c r="I116" s="7" t="s">
        <v>302</v>
      </c>
      <c r="J116" s="1" t="str">
        <f aca="false">MID(E116,1,FIND("°",E116,1)-1)</f>
        <v>21</v>
      </c>
      <c r="K116" s="1" t="str">
        <f aca="false">MID(E116,FIND("°",E116,1)+1,(FIND("′",E116,1)-FIND("°",E116,1))-1)</f>
        <v>24</v>
      </c>
      <c r="L116" s="1" t="str">
        <f aca="false">MID(E116,FIND("′",E116,1)+1,(FIND("″",E116,1)-FIND("′",E116,1))-1)</f>
        <v>36</v>
      </c>
      <c r="M116" s="1" t="str">
        <f aca="false">MID(F116,1,FIND("°",F116,1)-1)</f>
        <v>, 82</v>
      </c>
      <c r="N116" s="1" t="str">
        <f aca="false">MID(F116,FIND("°",F116,1)+1,(FIND("′",F116,1)-FIND("°",F116,1))-1)</f>
        <v>19</v>
      </c>
      <c r="O116" s="1" t="str">
        <f aca="false">MID(F116,FIND("′",F116,1)+1,(FIND("″",F116,1)-FIND("′",F116,1))-1)</f>
        <v>12</v>
      </c>
      <c r="P116" s="2" t="n">
        <f aca="false">((((L116/60)+K116)/60)+J116)*IF(C116="S",-1, 1)</f>
        <v>21.41</v>
      </c>
      <c r="Q116" s="2" t="e">
        <f aca="false">((((O116/60)+N116)/60)+M116)*IF(D116="W",-1, 1)</f>
        <v>#VALUE!</v>
      </c>
      <c r="R116" s="16" t="s">
        <v>260</v>
      </c>
    </row>
    <row r="117" customFormat="false" ht="15" hidden="false" customHeight="false" outlineLevel="0" collapsed="false">
      <c r="A117" s="1" t="n">
        <v>116</v>
      </c>
      <c r="B117" s="1" t="s">
        <v>18</v>
      </c>
      <c r="C117" s="1" t="s">
        <v>19</v>
      </c>
      <c r="D117" s="1" t="s">
        <v>20</v>
      </c>
      <c r="E117" s="7" t="s">
        <v>305</v>
      </c>
      <c r="F117" s="7" t="s">
        <v>306</v>
      </c>
      <c r="G117" s="7" t="s">
        <v>258</v>
      </c>
      <c r="H117" s="1" t="s">
        <v>24</v>
      </c>
      <c r="I117" s="7" t="s">
        <v>302</v>
      </c>
      <c r="J117" s="1" t="str">
        <f aca="false">MID(E117,1,FIND("°",E117,1)-1)</f>
        <v>21</v>
      </c>
      <c r="K117" s="1" t="str">
        <f aca="false">MID(E117,FIND("°",E117,1)+1,(FIND("′",E117,1)-FIND("°",E117,1))-1)</f>
        <v>10</v>
      </c>
      <c r="L117" s="1" t="str">
        <f aca="false">MID(E117,FIND("′",E117,1)+1,(FIND("″",E117,1)-FIND("′",E117,1))-1)</f>
        <v>48</v>
      </c>
      <c r="M117" s="1" t="str">
        <f aca="false">MID(F117,1,FIND("°",F117,1)-1)</f>
        <v>84</v>
      </c>
      <c r="N117" s="1" t="str">
        <f aca="false">MID(F117,FIND("°",F117,1)+1,(FIND("′",F117,1)-FIND("°",F117,1))-1)</f>
        <v>51</v>
      </c>
      <c r="O117" s="1" t="str">
        <f aca="false">MID(F117,FIND("′",F117,1)+1,(FIND("″",F117,1)-FIND("′",F117,1))-1)</f>
        <v>36</v>
      </c>
      <c r="P117" s="2" t="n">
        <f aca="false">((((L117/60)+K117)/60)+J117)*IF(C117="S",-1, 1)</f>
        <v>21.18</v>
      </c>
      <c r="Q117" s="2" t="n">
        <f aca="false">((((O117/60)+N117)/60)+M117)*IF(D117="W",-1, 1)</f>
        <v>-84.86</v>
      </c>
      <c r="R117" s="16" t="s">
        <v>260</v>
      </c>
    </row>
    <row r="118" customFormat="false" ht="15" hidden="false" customHeight="false" outlineLevel="0" collapsed="false">
      <c r="A118" s="1" t="n">
        <v>117</v>
      </c>
      <c r="B118" s="1" t="s">
        <v>18</v>
      </c>
      <c r="C118" s="1" t="s">
        <v>19</v>
      </c>
      <c r="D118" s="1" t="s">
        <v>20</v>
      </c>
      <c r="E118" s="7" t="s">
        <v>307</v>
      </c>
      <c r="F118" s="7" t="s">
        <v>308</v>
      </c>
      <c r="G118" s="7" t="s">
        <v>258</v>
      </c>
      <c r="H118" s="1" t="s">
        <v>24</v>
      </c>
      <c r="I118" s="7" t="s">
        <v>302</v>
      </c>
      <c r="J118" s="1" t="str">
        <f aca="false">MID(E118,1,FIND("°",E118,1)-1)</f>
        <v>20</v>
      </c>
      <c r="K118" s="1" t="str">
        <f aca="false">MID(E118,FIND("°",E118,1)+1,(FIND("′",E118,1)-FIND("°",E118,1))-1)</f>
        <v>00</v>
      </c>
      <c r="L118" s="1" t="str">
        <f aca="false">MID(E118,FIND("′",E118,1)+1,(FIND("″",E118,1)-FIND("′",E118,1))-1)</f>
        <v>00</v>
      </c>
      <c r="M118" s="1" t="str">
        <f aca="false">MID(F118,1,FIND("°",F118,1)-1)</f>
        <v>84</v>
      </c>
      <c r="N118" s="1" t="str">
        <f aca="false">MID(F118,FIND("°",F118,1)+1,(FIND("′",F118,1)-FIND("°",F118,1))-1)</f>
        <v>53</v>
      </c>
      <c r="O118" s="1" t="str">
        <f aca="false">MID(F118,FIND("′",F118,1)+1,(FIND("″",F118,1)-FIND("′",F118,1))-1)</f>
        <v>24</v>
      </c>
      <c r="P118" s="2" t="n">
        <f aca="false">((((L118/60)+K118)/60)+J118)*IF(C118="S",-1, 1)</f>
        <v>20</v>
      </c>
      <c r="Q118" s="2" t="n">
        <f aca="false">((((O118/60)+N118)/60)+M118)*IF(D118="W",-1, 1)</f>
        <v>-84.89</v>
      </c>
      <c r="R118" s="16" t="s">
        <v>260</v>
      </c>
    </row>
    <row r="119" customFormat="false" ht="15" hidden="false" customHeight="false" outlineLevel="0" collapsed="false">
      <c r="A119" s="1" t="n">
        <v>118</v>
      </c>
      <c r="B119" s="1" t="s">
        <v>18</v>
      </c>
      <c r="C119" s="1" t="s">
        <v>19</v>
      </c>
      <c r="D119" s="1" t="s">
        <v>20</v>
      </c>
      <c r="E119" s="7" t="s">
        <v>309</v>
      </c>
      <c r="F119" s="7" t="s">
        <v>310</v>
      </c>
      <c r="G119" s="7" t="s">
        <v>258</v>
      </c>
      <c r="H119" s="1" t="s">
        <v>24</v>
      </c>
      <c r="I119" s="7" t="s">
        <v>302</v>
      </c>
      <c r="J119" s="1" t="str">
        <f aca="false">MID(E119,1,FIND("°",E119,1)-1)</f>
        <v>19</v>
      </c>
      <c r="K119" s="1" t="str">
        <f aca="false">MID(E119,FIND("°",E119,1)+1,(FIND("′",E119,1)-FIND("°",E119,1))-1)</f>
        <v>16</v>
      </c>
      <c r="L119" s="1" t="str">
        <f aca="false">MID(E119,FIND("′",E119,1)+1,(FIND("″",E119,1)-FIND("′",E119,1))-1)</f>
        <v>12</v>
      </c>
      <c r="M119" s="1" t="str">
        <f aca="false">MID(F119,1,FIND("°",F119,1)-1)</f>
        <v>82</v>
      </c>
      <c r="N119" s="1" t="str">
        <f aca="false">MID(F119,FIND("°",F119,1)+1,(FIND("′",F119,1)-FIND("°",F119,1))-1)</f>
        <v>25</v>
      </c>
      <c r="O119" s="1" t="str">
        <f aca="false">MID(F119,FIND("′",F119,1)+1,(FIND("″",F119,1)-FIND("′",F119,1))-1)</f>
        <v>12</v>
      </c>
      <c r="P119" s="2" t="n">
        <f aca="false">((((L119/60)+K119)/60)+J119)*IF(C119="S",-1, 1)</f>
        <v>19.27</v>
      </c>
      <c r="Q119" s="2" t="n">
        <f aca="false">((((O119/60)+N119)/60)+M119)*IF(D119="W",-1, 1)</f>
        <v>-82.42</v>
      </c>
      <c r="R119" s="16" t="s">
        <v>260</v>
      </c>
    </row>
    <row r="120" customFormat="false" ht="15" hidden="false" customHeight="false" outlineLevel="0" collapsed="false">
      <c r="A120" s="1" t="n">
        <v>119</v>
      </c>
      <c r="B120" s="1" t="s">
        <v>18</v>
      </c>
      <c r="C120" s="1" t="s">
        <v>19</v>
      </c>
      <c r="D120" s="1" t="s">
        <v>20</v>
      </c>
      <c r="E120" s="7" t="s">
        <v>311</v>
      </c>
      <c r="F120" s="7" t="s">
        <v>312</v>
      </c>
      <c r="G120" s="7" t="s">
        <v>258</v>
      </c>
      <c r="H120" s="1" t="s">
        <v>24</v>
      </c>
      <c r="I120" s="7" t="s">
        <v>302</v>
      </c>
      <c r="J120" s="1" t="str">
        <f aca="false">MID(E120,1,FIND("°",E120,1)-1)</f>
        <v>20</v>
      </c>
      <c r="K120" s="1" t="str">
        <f aca="false">MID(E120,FIND("°",E120,1)+1,(FIND("′",E120,1)-FIND("°",E120,1))-1)</f>
        <v>10</v>
      </c>
      <c r="L120" s="1" t="str">
        <f aca="false">MID(E120,FIND("′",E120,1)+1,(FIND("″",E120,1)-FIND("′",E120,1))-1)</f>
        <v>12</v>
      </c>
      <c r="M120" s="1" t="str">
        <f aca="false">MID(F120,1,FIND("°",F120,1)-1)</f>
        <v>79</v>
      </c>
      <c r="N120" s="1" t="str">
        <f aca="false">MID(F120,FIND("°",F120,1)+1,(FIND("′",F120,1)-FIND("°",F120,1))-1)</f>
        <v>54</v>
      </c>
      <c r="O120" s="1" t="str">
        <f aca="false">MID(F120,FIND("′",F120,1)+1,(FIND("″",F120,1)-FIND("′",F120,1))-1)</f>
        <v>00</v>
      </c>
      <c r="P120" s="2" t="n">
        <f aca="false">((((L120/60)+K120)/60)+J120)*IF(C120="S",-1, 1)</f>
        <v>20.17</v>
      </c>
      <c r="Q120" s="2" t="n">
        <f aca="false">((((O120/60)+N120)/60)+M120)*IF(D120="W",-1, 1)</f>
        <v>-79.9</v>
      </c>
      <c r="R120" s="16" t="s">
        <v>260</v>
      </c>
    </row>
    <row r="121" customFormat="false" ht="15" hidden="false" customHeight="false" outlineLevel="0" collapsed="false">
      <c r="A121" s="1" t="n">
        <v>120</v>
      </c>
      <c r="B121" s="1" t="s">
        <v>18</v>
      </c>
      <c r="C121" s="1" t="s">
        <v>27</v>
      </c>
      <c r="D121" s="1" t="s">
        <v>20</v>
      </c>
      <c r="E121" s="7" t="s">
        <v>313</v>
      </c>
      <c r="F121" s="7" t="s">
        <v>314</v>
      </c>
      <c r="G121" s="7" t="s">
        <v>258</v>
      </c>
      <c r="H121" s="1" t="s">
        <v>24</v>
      </c>
      <c r="I121" s="1" t="s">
        <v>315</v>
      </c>
      <c r="J121" s="1" t="str">
        <f aca="false">MID(E121,1,FIND("°",E121,1)-1)</f>
        <v>21</v>
      </c>
      <c r="K121" s="1" t="str">
        <f aca="false">MID(E121,FIND("°",E121,1)+1,(FIND("′",E121,1)-FIND("°",E121,1))-1)</f>
        <v>34</v>
      </c>
      <c r="L121" s="1" t="e">
        <f aca="false">MID(E121,FIND("′",E121,1)+1,(FIND("″",E121,1)-FIND("′",E121,1))-1)</f>
        <v>#VALUE!</v>
      </c>
      <c r="M121" s="1" t="str">
        <f aca="false">MID(F121,1,FIND("°",F121,1)-1)</f>
        <v>83</v>
      </c>
      <c r="N121" s="1" t="str">
        <f aca="false">MID(F121,FIND("°",F121,1)+1,(FIND("′",F121,1)-FIND("°",F121,1))-1)</f>
        <v>31</v>
      </c>
      <c r="O121" s="1" t="e">
        <f aca="false">MID(F121,FIND("′",F121,1)+1,(FIND("″",F121,1)-FIND("′",F121,1))-1)</f>
        <v>#VALUE!</v>
      </c>
      <c r="P121" s="2" t="e">
        <f aca="false">((((L121/60)+K121)/60)+J121)*IF(C121="S",-1, 1)</f>
        <v>#VALUE!</v>
      </c>
      <c r="Q121" s="2" t="e">
        <f aca="false">((((O121/60)+N121)/60)+M121)*IF(D121="W",-1, 1)</f>
        <v>#VALUE!</v>
      </c>
      <c r="R121" s="16" t="s">
        <v>260</v>
      </c>
    </row>
    <row r="122" customFormat="false" ht="15" hidden="false" customHeight="false" outlineLevel="0" collapsed="false">
      <c r="A122" s="1" t="n">
        <v>121</v>
      </c>
      <c r="B122" s="1" t="s">
        <v>44</v>
      </c>
      <c r="C122" s="1" t="s">
        <v>27</v>
      </c>
      <c r="D122" s="1" t="s">
        <v>20</v>
      </c>
      <c r="E122" s="7" t="s">
        <v>316</v>
      </c>
      <c r="F122" s="7" t="s">
        <v>317</v>
      </c>
      <c r="G122" s="7" t="s">
        <v>258</v>
      </c>
      <c r="H122" s="1" t="s">
        <v>24</v>
      </c>
      <c r="I122" s="1" t="s">
        <v>315</v>
      </c>
      <c r="J122" s="1" t="str">
        <f aca="false">MID(E122,1,FIND("°",E122,1)-1)</f>
        <v>3</v>
      </c>
      <c r="K122" s="1" t="str">
        <f aca="false">MID(E122,FIND("°",E122,1)+1,(FIND("′",E122,1)-FIND("°",E122,1))-1)</f>
        <v>32,981</v>
      </c>
      <c r="L122" s="1" t="e">
        <f aca="false">MID(E122,FIND("′",E122,1)+1,(FIND("″",E122,1)-FIND("′",E122,1))-1)</f>
        <v>#VALUE!</v>
      </c>
      <c r="M122" s="1" t="str">
        <f aca="false">MID(F122,1,FIND("°",F122,1)-1)</f>
        <v>38</v>
      </c>
      <c r="N122" s="1" t="str">
        <f aca="false">MID(F122,FIND("°",F122,1)+1,(FIND("′",F122,1)-FIND("°",F122,1))-1)</f>
        <v>48.669</v>
      </c>
      <c r="O122" s="1" t="e">
        <f aca="false">MID(F122,FIND("′",F122,1)+1,(FIND("″",F122,1)-FIND("′",F122,1))-1)</f>
        <v>#VALUE!</v>
      </c>
      <c r="P122" s="2" t="e">
        <f aca="false">((((L122/60)+K122)/60)+J122)*IF(C122="S",-1, 1)</f>
        <v>#VALUE!</v>
      </c>
      <c r="Q122" s="2" t="e">
        <f aca="false">((((O122/60)+N122)/60)+M122)*IF(D122="W",-1, 1)</f>
        <v>#VALUE!</v>
      </c>
      <c r="R122" s="16" t="s">
        <v>260</v>
      </c>
    </row>
    <row r="123" customFormat="false" ht="15" hidden="false" customHeight="false" outlineLevel="0" collapsed="false">
      <c r="A123" s="1" t="n">
        <v>122</v>
      </c>
      <c r="B123" s="1" t="s">
        <v>44</v>
      </c>
      <c r="C123" s="1" t="s">
        <v>27</v>
      </c>
      <c r="D123" s="1" t="s">
        <v>20</v>
      </c>
      <c r="E123" s="7" t="s">
        <v>318</v>
      </c>
      <c r="F123" s="7" t="s">
        <v>40</v>
      </c>
      <c r="G123" s="7" t="s">
        <v>319</v>
      </c>
      <c r="H123" s="1" t="s">
        <v>24</v>
      </c>
      <c r="I123" s="1" t="s">
        <v>41</v>
      </c>
      <c r="J123" s="1" t="str">
        <f aca="false">MID(E123,1,FIND("°",E123,1)-1)</f>
        <v>02</v>
      </c>
      <c r="K123" s="1" t="str">
        <f aca="false">MID(E123,FIND("°",E123,1)+1,(FIND("′",E123,1)-FIND("°",E123,1))-1)</f>
        <v>53</v>
      </c>
      <c r="L123" s="1" t="str">
        <f aca="false">MID(E123,FIND("′",E123,1)+1,(FIND("″",E123,1)-FIND("′",E123,1))-1)</f>
        <v>22</v>
      </c>
      <c r="M123" s="1" t="str">
        <f aca="false">MID(F123,1,FIND("°",F123,1)-1)</f>
        <v>41</v>
      </c>
      <c r="N123" s="1" t="str">
        <f aca="false">MID(F123,FIND("°",F123,1)+1,(FIND("′",F123,1)-FIND("°",F123,1))-1)</f>
        <v>13</v>
      </c>
      <c r="O123" s="1" t="str">
        <f aca="false">MID(F123,FIND("′",F123,1)+1,(FIND("″",F123,1)-FIND("′",F123,1))-1)</f>
        <v>46</v>
      </c>
      <c r="P123" s="2" t="n">
        <f aca="false">((((L123/60)+K123)/60)+J123)*IF(C123="S",-1, 1)</f>
        <v>-2.88944444444444</v>
      </c>
      <c r="Q123" s="2" t="n">
        <f aca="false">((((O123/60)+N123)/60)+M123)*IF(D123="W",-1, 1)</f>
        <v>-41.2294444444445</v>
      </c>
      <c r="R123" s="16" t="s">
        <v>320</v>
      </c>
    </row>
    <row r="124" customFormat="false" ht="15" hidden="false" customHeight="false" outlineLevel="0" collapsed="false">
      <c r="A124" s="1" t="n">
        <v>123</v>
      </c>
      <c r="B124" s="1" t="s">
        <v>44</v>
      </c>
      <c r="C124" s="1" t="s">
        <v>27</v>
      </c>
      <c r="D124" s="1" t="s">
        <v>20</v>
      </c>
      <c r="E124" s="7" t="s">
        <v>321</v>
      </c>
      <c r="F124" s="7" t="s">
        <v>43</v>
      </c>
      <c r="G124" s="7" t="s">
        <v>319</v>
      </c>
      <c r="H124" s="1" t="s">
        <v>24</v>
      </c>
      <c r="I124" s="1" t="s">
        <v>41</v>
      </c>
      <c r="J124" s="1" t="str">
        <f aca="false">MID(E124,1,FIND("°",E124,1)-1)</f>
        <v>04</v>
      </c>
      <c r="K124" s="1" t="str">
        <f aca="false">MID(E124,FIND("°",E124,1)+1,(FIND("′",E124,1)-FIND("°",E124,1))-1)</f>
        <v>06</v>
      </c>
      <c r="L124" s="1" t="str">
        <f aca="false">MID(E124,FIND("′",E124,1)+1,(FIND("″",E124,1)-FIND("′",E124,1))-1)</f>
        <v>06</v>
      </c>
      <c r="M124" s="1" t="str">
        <f aca="false">MID(F124,1,FIND("°",F124,1)-1)</f>
        <v>38</v>
      </c>
      <c r="N124" s="1" t="str">
        <f aca="false">MID(F124,FIND("°",F124,1)+1,(FIND("′",F124,1)-FIND("°",F124,1))-1)</f>
        <v>08</v>
      </c>
      <c r="O124" s="1" t="str">
        <f aca="false">MID(F124,FIND("′",F124,1)+1,(FIND("″",F124,1)-FIND("′",F124,1))-1)</f>
        <v>56</v>
      </c>
      <c r="P124" s="2" t="n">
        <f aca="false">((((L124/60)+K124)/60)+J124)*IF(C124="S",-1, 1)</f>
        <v>-4.10166666666667</v>
      </c>
      <c r="Q124" s="2" t="n">
        <f aca="false">((((O124/60)+N124)/60)+M124)*IF(D124="W",-1, 1)</f>
        <v>-38.1488888888889</v>
      </c>
      <c r="R124" s="16" t="s">
        <v>320</v>
      </c>
    </row>
    <row r="125" customFormat="false" ht="15" hidden="false" customHeight="false" outlineLevel="0" collapsed="false">
      <c r="A125" s="1" t="n">
        <v>124</v>
      </c>
      <c r="B125" s="1" t="s">
        <v>44</v>
      </c>
      <c r="C125" s="1" t="s">
        <v>27</v>
      </c>
      <c r="D125" s="1" t="s">
        <v>20</v>
      </c>
      <c r="E125" s="7" t="s">
        <v>322</v>
      </c>
      <c r="F125" s="7" t="s">
        <v>323</v>
      </c>
      <c r="G125" s="7" t="s">
        <v>319</v>
      </c>
      <c r="H125" s="1" t="s">
        <v>24</v>
      </c>
      <c r="I125" s="1" t="s">
        <v>324</v>
      </c>
      <c r="J125" s="1" t="str">
        <f aca="false">MID(E125,1,FIND("°",E125,1)-1)</f>
        <v>04</v>
      </c>
      <c r="K125" s="1" t="str">
        <f aca="false">MID(E125,FIND("°",E125,1)+1,(FIND("′",E125,1)-FIND("°",E125,1))-1)</f>
        <v>53</v>
      </c>
      <c r="L125" s="1" t="str">
        <f aca="false">MID(E125,FIND("′",E125,1)+1,(FIND("″",E125,1)-FIND("′",E125,1))-1)</f>
        <v>26</v>
      </c>
      <c r="M125" s="1" t="str">
        <f aca="false">MID(F125,1,FIND("°",F125,1)-1)</f>
        <v>37</v>
      </c>
      <c r="N125" s="1" t="str">
        <f aca="false">MID(F125,FIND("°",F125,1)+1,(FIND("′",F125,1)-FIND("°",F125,1))-1)</f>
        <v>14</v>
      </c>
      <c r="O125" s="1" t="str">
        <f aca="false">MID(F125,FIND("′",F125,1)+1,(FIND("″",F125,1)-FIND("′",F125,1))-1)</f>
        <v>37</v>
      </c>
      <c r="P125" s="2" t="n">
        <f aca="false">((((L125/60)+K125)/60)+J125)*IF(C125="S",-1, 1)</f>
        <v>-4.89055555555556</v>
      </c>
      <c r="Q125" s="2" t="n">
        <f aca="false">((((O125/60)+N125)/60)+M125)*IF(D125="W",-1, 1)</f>
        <v>-37.2436111111111</v>
      </c>
      <c r="R125" s="16" t="s">
        <v>320</v>
      </c>
    </row>
    <row r="126" customFormat="false" ht="15" hidden="false" customHeight="false" outlineLevel="0" collapsed="false">
      <c r="A126" s="1" t="n">
        <v>125</v>
      </c>
      <c r="B126" s="1" t="s">
        <v>44</v>
      </c>
      <c r="C126" s="1" t="s">
        <v>27</v>
      </c>
      <c r="D126" s="1" t="s">
        <v>20</v>
      </c>
      <c r="E126" s="7" t="s">
        <v>325</v>
      </c>
      <c r="F126" s="7" t="s">
        <v>326</v>
      </c>
      <c r="G126" s="7" t="s">
        <v>319</v>
      </c>
      <c r="H126" s="1" t="s">
        <v>24</v>
      </c>
      <c r="I126" s="1" t="s">
        <v>324</v>
      </c>
      <c r="J126" s="1" t="str">
        <f aca="false">MID(E126,1,FIND("°",E126,1)-1)</f>
        <v>05</v>
      </c>
      <c r="K126" s="1" t="str">
        <f aca="false">MID(E126,FIND("°",E126,1)+1,(FIND("′",E126,1)-FIND("°",E126,1))-1)</f>
        <v>12</v>
      </c>
      <c r="L126" s="1" t="str">
        <f aca="false">MID(E126,FIND("′",E126,1)+1,(FIND("″",E126,1)-FIND("′",E126,1))-1)</f>
        <v>06</v>
      </c>
      <c r="M126" s="1" t="str">
        <f aca="false">MID(F126,1,FIND("°",F126,1)-1)</f>
        <v>35</v>
      </c>
      <c r="N126" s="1" t="str">
        <f aca="false">MID(F126,FIND("°",F126,1)+1,(FIND("′",F126,1)-FIND("°",F126,1))-1)</f>
        <v>27</v>
      </c>
      <c r="O126" s="1" t="str">
        <f aca="false">MID(F126,FIND("′",F126,1)+1,(FIND("″",F126,1)-FIND("′",F126,1))-1)</f>
        <v>27</v>
      </c>
      <c r="P126" s="2" t="n">
        <f aca="false">((((L126/60)+K126)/60)+J126)*IF(C126="S",-1, 1)</f>
        <v>-5.20166666666667</v>
      </c>
      <c r="Q126" s="2" t="n">
        <f aca="false">((((O126/60)+N126)/60)+M126)*IF(D126="W",-1, 1)</f>
        <v>-35.4575</v>
      </c>
      <c r="R126" s="16" t="s">
        <v>320</v>
      </c>
    </row>
    <row r="127" customFormat="false" ht="15" hidden="false" customHeight="false" outlineLevel="0" collapsed="false">
      <c r="A127" s="1" t="n">
        <v>126</v>
      </c>
      <c r="B127" s="1" t="s">
        <v>44</v>
      </c>
      <c r="C127" s="1" t="s">
        <v>27</v>
      </c>
      <c r="D127" s="1" t="s">
        <v>20</v>
      </c>
      <c r="E127" s="7" t="s">
        <v>327</v>
      </c>
      <c r="F127" s="7" t="s">
        <v>328</v>
      </c>
      <c r="G127" s="7" t="s">
        <v>319</v>
      </c>
      <c r="H127" s="1" t="s">
        <v>24</v>
      </c>
      <c r="I127" s="1" t="s">
        <v>329</v>
      </c>
      <c r="J127" s="1" t="str">
        <f aca="false">MID(E127,1,FIND("°",E127,1)-1)</f>
        <v>06</v>
      </c>
      <c r="K127" s="1" t="str">
        <f aca="false">MID(E127,FIND("°",E127,1)+1,(FIND("′",E127,1)-FIND("°",E127,1))-1)</f>
        <v>30</v>
      </c>
      <c r="L127" s="1" t="str">
        <f aca="false">MID(E127,FIND("′",E127,1)+1,(FIND("″",E127,1)-FIND("′",E127,1))-1)</f>
        <v>11</v>
      </c>
      <c r="M127" s="1" t="str">
        <f aca="false">MID(F127,1,FIND("°",F127,1)-1)</f>
        <v>34</v>
      </c>
      <c r="N127" s="1" t="str">
        <f aca="false">MID(F127,FIND("°",F127,1)+1,(FIND("′",F127,1)-FIND("°",F127,1))-1)</f>
        <v>57</v>
      </c>
      <c r="O127" s="1" t="str">
        <f aca="false">MID(F127,FIND("′",F127,1)+1,(FIND("″",F127,1)-FIND("′",F127,1))-1)</f>
        <v>30</v>
      </c>
      <c r="P127" s="2" t="n">
        <f aca="false">((((L127/60)+K127)/60)+J127)*IF(C127="S",-1, 1)</f>
        <v>-6.50305555555556</v>
      </c>
      <c r="Q127" s="2" t="n">
        <f aca="false">((((O127/60)+N127)/60)+M127)*IF(D127="W",-1, 1)</f>
        <v>-34.9583333333333</v>
      </c>
      <c r="R127" s="16" t="s">
        <v>320</v>
      </c>
    </row>
    <row r="128" customFormat="false" ht="15" hidden="false" customHeight="false" outlineLevel="0" collapsed="false">
      <c r="A128" s="1" t="n">
        <v>127</v>
      </c>
      <c r="B128" s="1" t="s">
        <v>44</v>
      </c>
      <c r="C128" s="1" t="s">
        <v>27</v>
      </c>
      <c r="D128" s="1" t="s">
        <v>20</v>
      </c>
      <c r="E128" s="7" t="s">
        <v>330</v>
      </c>
      <c r="F128" s="7" t="s">
        <v>331</v>
      </c>
      <c r="G128" s="7" t="s">
        <v>319</v>
      </c>
      <c r="H128" s="1" t="s">
        <v>24</v>
      </c>
      <c r="I128" s="1" t="s">
        <v>329</v>
      </c>
      <c r="J128" s="1" t="str">
        <f aca="false">MID(E128,1,FIND("°",E128,1)-1)</f>
        <v>06</v>
      </c>
      <c r="K128" s="1" t="str">
        <f aca="false">MID(E128,FIND("°",E128,1)+1,(FIND("′",E128,1)-FIND("°",E128,1))-1)</f>
        <v>57</v>
      </c>
      <c r="L128" s="1" t="str">
        <f aca="false">MID(E128,FIND("′",E128,1)+1,(FIND("″",E128,1)-FIND("′",E128,1))-1)</f>
        <v>57</v>
      </c>
      <c r="M128" s="1" t="str">
        <f aca="false">MID(F128,1,FIND("°",F128,1)-1)</f>
        <v>34</v>
      </c>
      <c r="N128" s="1" t="str">
        <f aca="false">MID(F128,FIND("°",F128,1)+1,(FIND("′",F128,1)-FIND("°",F128,1))-1)</f>
        <v>51</v>
      </c>
      <c r="O128" s="1" t="str">
        <f aca="false">MID(F128,FIND("′",F128,1)+1,(FIND("″",F128,1)-FIND("′",F128,1))-1)</f>
        <v>22</v>
      </c>
      <c r="P128" s="2" t="n">
        <f aca="false">((((L128/60)+K128)/60)+J128)*IF(C128="S",-1, 1)</f>
        <v>-6.96583333333333</v>
      </c>
      <c r="Q128" s="2" t="n">
        <f aca="false">((((O128/60)+N128)/60)+M128)*IF(D128="W",-1, 1)</f>
        <v>-34.8561111111111</v>
      </c>
      <c r="R128" s="16" t="s">
        <v>320</v>
      </c>
    </row>
    <row r="129" customFormat="false" ht="15" hidden="false" customHeight="false" outlineLevel="0" collapsed="false">
      <c r="A129" s="1" t="n">
        <v>128</v>
      </c>
      <c r="B129" s="1" t="s">
        <v>44</v>
      </c>
      <c r="C129" s="1" t="s">
        <v>27</v>
      </c>
      <c r="D129" s="1" t="s">
        <v>20</v>
      </c>
      <c r="E129" s="7" t="s">
        <v>332</v>
      </c>
      <c r="F129" s="7" t="s">
        <v>333</v>
      </c>
      <c r="G129" s="7" t="s">
        <v>319</v>
      </c>
      <c r="H129" s="1" t="s">
        <v>24</v>
      </c>
      <c r="I129" s="1" t="s">
        <v>334</v>
      </c>
      <c r="J129" s="1" t="str">
        <f aca="false">MID(E129,1,FIND("°",E129,1)-1)</f>
        <v>07</v>
      </c>
      <c r="K129" s="1" t="str">
        <f aca="false">MID(E129,FIND("°",E129,1)+1,(FIND("′",E129,1)-FIND("°",E129,1))-1)</f>
        <v>33</v>
      </c>
      <c r="L129" s="1" t="str">
        <f aca="false">MID(E129,FIND("′",E129,1)+1,(FIND("″",E129,1)-FIND("′",E129,1))-1)</f>
        <v>07</v>
      </c>
      <c r="M129" s="1" t="str">
        <f aca="false">MID(F129,1,FIND("°",F129,1)-1)</f>
        <v>34</v>
      </c>
      <c r="N129" s="1" t="str">
        <f aca="false">MID(F129,FIND("°",F129,1)+1,(FIND("′",F129,1)-FIND("°",F129,1))-1)</f>
        <v>50</v>
      </c>
      <c r="O129" s="1" t="str">
        <f aca="false">MID(F129,FIND("′",F129,1)+1,(FIND("″",F129,1)-FIND("′",F129,1))-1)</f>
        <v>39</v>
      </c>
      <c r="P129" s="2" t="n">
        <f aca="false">((((L129/60)+K129)/60)+J129)*IF(C129="S",-1, 1)</f>
        <v>-7.55194444444445</v>
      </c>
      <c r="Q129" s="2" t="n">
        <f aca="false">((((O129/60)+N129)/60)+M129)*IF(D129="W",-1, 1)</f>
        <v>-34.8441666666667</v>
      </c>
      <c r="R129" s="16" t="s">
        <v>320</v>
      </c>
    </row>
    <row r="130" customFormat="false" ht="15" hidden="false" customHeight="false" outlineLevel="0" collapsed="false">
      <c r="A130" s="1" t="n">
        <v>129</v>
      </c>
      <c r="B130" s="1" t="s">
        <v>44</v>
      </c>
      <c r="C130" s="1" t="s">
        <v>27</v>
      </c>
      <c r="D130" s="1" t="s">
        <v>20</v>
      </c>
      <c r="E130" s="7" t="s">
        <v>335</v>
      </c>
      <c r="F130" s="7" t="s">
        <v>336</v>
      </c>
      <c r="G130" s="7" t="s">
        <v>319</v>
      </c>
      <c r="H130" s="1" t="s">
        <v>24</v>
      </c>
      <c r="I130" s="1" t="s">
        <v>334</v>
      </c>
      <c r="J130" s="1" t="str">
        <f aca="false">MID(E130,1,FIND("°",E130,1)-1)</f>
        <v>08</v>
      </c>
      <c r="K130" s="1" t="str">
        <f aca="false">MID(E130,FIND("°",E130,1)+1,(FIND("′",E130,1)-FIND("°",E130,1))-1)</f>
        <v>02</v>
      </c>
      <c r="L130" s="1" t="str">
        <f aca="false">MID(E130,FIND("′",E130,1)+1,(FIND("″",E130,1)-FIND("′",E130,1))-1)</f>
        <v>54</v>
      </c>
      <c r="M130" s="1" t="str">
        <f aca="false">MID(F130,1,FIND("°",F130,1)-1)</f>
        <v>34</v>
      </c>
      <c r="N130" s="1" t="str">
        <f aca="false">MID(F130,FIND("°",F130,1)+1,(FIND("′",F130,1)-FIND("°",F130,1))-1)</f>
        <v>52</v>
      </c>
      <c r="O130" s="1" t="str">
        <f aca="false">MID(F130,FIND("′",F130,1)+1,(FIND("″",F130,1)-FIND("′",F130,1))-1)</f>
        <v>42</v>
      </c>
      <c r="P130" s="2" t="n">
        <f aca="false">((((L130/60)+K130)/60)+J130)*IF(C130="S",-1, 1)</f>
        <v>-8.04833333333333</v>
      </c>
      <c r="Q130" s="2" t="n">
        <f aca="false">((((O130/60)+N130)/60)+M130)*IF(D130="W",-1, 1)</f>
        <v>-34.8783333333333</v>
      </c>
      <c r="R130" s="16" t="s">
        <v>320</v>
      </c>
    </row>
    <row r="131" customFormat="false" ht="15" hidden="false" customHeight="false" outlineLevel="0" collapsed="false">
      <c r="A131" s="1" t="n">
        <v>130</v>
      </c>
      <c r="B131" s="1" t="s">
        <v>18</v>
      </c>
      <c r="C131" s="1" t="s">
        <v>27</v>
      </c>
      <c r="D131" s="1" t="s">
        <v>20</v>
      </c>
      <c r="E131" s="7" t="s">
        <v>318</v>
      </c>
      <c r="F131" s="7" t="s">
        <v>40</v>
      </c>
      <c r="G131" s="7" t="s">
        <v>319</v>
      </c>
      <c r="H131" s="1" t="s">
        <v>24</v>
      </c>
      <c r="I131" s="1" t="s">
        <v>41</v>
      </c>
      <c r="J131" s="1" t="str">
        <f aca="false">MID(E131,1,FIND("°",E131,1)-1)</f>
        <v>02</v>
      </c>
      <c r="K131" s="1" t="str">
        <f aca="false">MID(E131,FIND("°",E131,1)+1,(FIND("′",E131,1)-FIND("°",E131,1))-1)</f>
        <v>53</v>
      </c>
      <c r="L131" s="1" t="str">
        <f aca="false">MID(E131,FIND("′",E131,1)+1,(FIND("″",E131,1)-FIND("′",E131,1))-1)</f>
        <v>22</v>
      </c>
      <c r="M131" s="1" t="str">
        <f aca="false">MID(F131,1,FIND("°",F131,1)-1)</f>
        <v>41</v>
      </c>
      <c r="N131" s="1" t="str">
        <f aca="false">MID(F131,FIND("°",F131,1)+1,(FIND("′",F131,1)-FIND("°",F131,1))-1)</f>
        <v>13</v>
      </c>
      <c r="O131" s="1" t="str">
        <f aca="false">MID(F131,FIND("′",F131,1)+1,(FIND("″",F131,1)-FIND("′",F131,1))-1)</f>
        <v>46</v>
      </c>
      <c r="P131" s="2" t="n">
        <f aca="false">((((L131/60)+K131)/60)+J131)*IF(C131="S",-1, 1)</f>
        <v>-2.88944444444444</v>
      </c>
      <c r="Q131" s="2" t="n">
        <f aca="false">((((O131/60)+N131)/60)+M131)*IF(D131="W",-1, 1)</f>
        <v>-41.2294444444445</v>
      </c>
      <c r="R131" s="16" t="s">
        <v>320</v>
      </c>
    </row>
    <row r="132" customFormat="false" ht="15" hidden="false" customHeight="false" outlineLevel="0" collapsed="false">
      <c r="A132" s="1" t="n">
        <v>131</v>
      </c>
      <c r="B132" s="1" t="s">
        <v>18</v>
      </c>
      <c r="C132" s="1" t="s">
        <v>27</v>
      </c>
      <c r="D132" s="1" t="s">
        <v>20</v>
      </c>
      <c r="E132" s="7" t="s">
        <v>321</v>
      </c>
      <c r="F132" s="7" t="s">
        <v>43</v>
      </c>
      <c r="G132" s="7" t="s">
        <v>319</v>
      </c>
      <c r="H132" s="1" t="s">
        <v>24</v>
      </c>
      <c r="I132" s="1" t="s">
        <v>41</v>
      </c>
      <c r="J132" s="1" t="str">
        <f aca="false">MID(E132,1,FIND("°",E132,1)-1)</f>
        <v>04</v>
      </c>
      <c r="K132" s="1" t="str">
        <f aca="false">MID(E132,FIND("°",E132,1)+1,(FIND("′",E132,1)-FIND("°",E132,1))-1)</f>
        <v>06</v>
      </c>
      <c r="L132" s="1" t="str">
        <f aca="false">MID(E132,FIND("′",E132,1)+1,(FIND("″",E132,1)-FIND("′",E132,1))-1)</f>
        <v>06</v>
      </c>
      <c r="M132" s="1" t="str">
        <f aca="false">MID(F132,1,FIND("°",F132,1)-1)</f>
        <v>38</v>
      </c>
      <c r="N132" s="1" t="str">
        <f aca="false">MID(F132,FIND("°",F132,1)+1,(FIND("′",F132,1)-FIND("°",F132,1))-1)</f>
        <v>08</v>
      </c>
      <c r="O132" s="1" t="str">
        <f aca="false">MID(F132,FIND("′",F132,1)+1,(FIND("″",F132,1)-FIND("′",F132,1))-1)</f>
        <v>56</v>
      </c>
      <c r="P132" s="2" t="n">
        <f aca="false">((((L132/60)+K132)/60)+J132)*IF(C132="S",-1, 1)</f>
        <v>-4.10166666666667</v>
      </c>
      <c r="Q132" s="2" t="n">
        <f aca="false">((((O132/60)+N132)/60)+M132)*IF(D132="W",-1, 1)</f>
        <v>-38.1488888888889</v>
      </c>
      <c r="R132" s="16" t="s">
        <v>320</v>
      </c>
    </row>
    <row r="133" customFormat="false" ht="15" hidden="false" customHeight="false" outlineLevel="0" collapsed="false">
      <c r="A133" s="1" t="n">
        <v>132</v>
      </c>
      <c r="B133" s="1" t="s">
        <v>18</v>
      </c>
      <c r="C133" s="1" t="s">
        <v>27</v>
      </c>
      <c r="D133" s="1" t="s">
        <v>20</v>
      </c>
      <c r="E133" s="7" t="s">
        <v>322</v>
      </c>
      <c r="F133" s="7" t="s">
        <v>323</v>
      </c>
      <c r="G133" s="7" t="s">
        <v>319</v>
      </c>
      <c r="H133" s="1" t="s">
        <v>24</v>
      </c>
      <c r="I133" s="1" t="s">
        <v>324</v>
      </c>
      <c r="J133" s="1" t="str">
        <f aca="false">MID(E133,1,FIND("°",E133,1)-1)</f>
        <v>04</v>
      </c>
      <c r="K133" s="1" t="str">
        <f aca="false">MID(E133,FIND("°",E133,1)+1,(FIND("′",E133,1)-FIND("°",E133,1))-1)</f>
        <v>53</v>
      </c>
      <c r="L133" s="1" t="str">
        <f aca="false">MID(E133,FIND("′",E133,1)+1,(FIND("″",E133,1)-FIND("′",E133,1))-1)</f>
        <v>26</v>
      </c>
      <c r="M133" s="1" t="str">
        <f aca="false">MID(F133,1,FIND("°",F133,1)-1)</f>
        <v>37</v>
      </c>
      <c r="N133" s="1" t="str">
        <f aca="false">MID(F133,FIND("°",F133,1)+1,(FIND("′",F133,1)-FIND("°",F133,1))-1)</f>
        <v>14</v>
      </c>
      <c r="O133" s="1" t="str">
        <f aca="false">MID(F133,FIND("′",F133,1)+1,(FIND("″",F133,1)-FIND("′",F133,1))-1)</f>
        <v>37</v>
      </c>
      <c r="P133" s="2" t="n">
        <f aca="false">((((L133/60)+K133)/60)+J133)*IF(C133="S",-1, 1)</f>
        <v>-4.89055555555556</v>
      </c>
      <c r="Q133" s="2" t="n">
        <f aca="false">((((O133/60)+N133)/60)+M133)*IF(D133="W",-1, 1)</f>
        <v>-37.2436111111111</v>
      </c>
      <c r="R133" s="16" t="s">
        <v>320</v>
      </c>
    </row>
    <row r="134" customFormat="false" ht="15" hidden="false" customHeight="false" outlineLevel="0" collapsed="false">
      <c r="A134" s="1" t="n">
        <v>133</v>
      </c>
      <c r="B134" s="1" t="s">
        <v>18</v>
      </c>
      <c r="C134" s="1" t="s">
        <v>27</v>
      </c>
      <c r="D134" s="1" t="s">
        <v>20</v>
      </c>
      <c r="E134" s="7" t="s">
        <v>325</v>
      </c>
      <c r="F134" s="7" t="s">
        <v>326</v>
      </c>
      <c r="G134" s="7" t="s">
        <v>319</v>
      </c>
      <c r="H134" s="1" t="s">
        <v>24</v>
      </c>
      <c r="I134" s="1" t="s">
        <v>324</v>
      </c>
      <c r="J134" s="1" t="str">
        <f aca="false">MID(E134,1,FIND("°",E134,1)-1)</f>
        <v>05</v>
      </c>
      <c r="K134" s="1" t="str">
        <f aca="false">MID(E134,FIND("°",E134,1)+1,(FIND("′",E134,1)-FIND("°",E134,1))-1)</f>
        <v>12</v>
      </c>
      <c r="L134" s="1" t="str">
        <f aca="false">MID(E134,FIND("′",E134,1)+1,(FIND("″",E134,1)-FIND("′",E134,1))-1)</f>
        <v>06</v>
      </c>
      <c r="M134" s="1" t="str">
        <f aca="false">MID(F134,1,FIND("°",F134,1)-1)</f>
        <v>35</v>
      </c>
      <c r="N134" s="1" t="str">
        <f aca="false">MID(F134,FIND("°",F134,1)+1,(FIND("′",F134,1)-FIND("°",F134,1))-1)</f>
        <v>27</v>
      </c>
      <c r="O134" s="1" t="str">
        <f aca="false">MID(F134,FIND("′",F134,1)+1,(FIND("″",F134,1)-FIND("′",F134,1))-1)</f>
        <v>27</v>
      </c>
      <c r="P134" s="2" t="n">
        <f aca="false">((((L134/60)+K134)/60)+J134)*IF(C134="S",-1, 1)</f>
        <v>-5.20166666666667</v>
      </c>
      <c r="Q134" s="2" t="n">
        <f aca="false">((((O134/60)+N134)/60)+M134)*IF(D134="W",-1, 1)</f>
        <v>-35.4575</v>
      </c>
      <c r="R134" s="16" t="s">
        <v>320</v>
      </c>
    </row>
    <row r="135" customFormat="false" ht="15" hidden="false" customHeight="false" outlineLevel="0" collapsed="false">
      <c r="A135" s="1" t="n">
        <v>134</v>
      </c>
      <c r="B135" s="1" t="s">
        <v>18</v>
      </c>
      <c r="C135" s="1" t="s">
        <v>27</v>
      </c>
      <c r="D135" s="1" t="s">
        <v>20</v>
      </c>
      <c r="E135" s="7" t="s">
        <v>327</v>
      </c>
      <c r="F135" s="7" t="s">
        <v>328</v>
      </c>
      <c r="G135" s="7" t="s">
        <v>319</v>
      </c>
      <c r="H135" s="1" t="s">
        <v>24</v>
      </c>
      <c r="I135" s="1" t="s">
        <v>329</v>
      </c>
      <c r="J135" s="1" t="str">
        <f aca="false">MID(E135,1,FIND("°",E135,1)-1)</f>
        <v>06</v>
      </c>
      <c r="K135" s="1" t="str">
        <f aca="false">MID(E135,FIND("°",E135,1)+1,(FIND("′",E135,1)-FIND("°",E135,1))-1)</f>
        <v>30</v>
      </c>
      <c r="L135" s="1" t="str">
        <f aca="false">MID(E135,FIND("′",E135,1)+1,(FIND("″",E135,1)-FIND("′",E135,1))-1)</f>
        <v>11</v>
      </c>
      <c r="M135" s="1" t="str">
        <f aca="false">MID(F135,1,FIND("°",F135,1)-1)</f>
        <v>34</v>
      </c>
      <c r="N135" s="1" t="str">
        <f aca="false">MID(F135,FIND("°",F135,1)+1,(FIND("′",F135,1)-FIND("°",F135,1))-1)</f>
        <v>57</v>
      </c>
      <c r="O135" s="1" t="str">
        <f aca="false">MID(F135,FIND("′",F135,1)+1,(FIND("″",F135,1)-FIND("′",F135,1))-1)</f>
        <v>30</v>
      </c>
      <c r="P135" s="2" t="n">
        <f aca="false">((((L135/60)+K135)/60)+J135)*IF(C135="S",-1, 1)</f>
        <v>-6.50305555555556</v>
      </c>
      <c r="Q135" s="2" t="n">
        <f aca="false">((((O135/60)+N135)/60)+M135)*IF(D135="W",-1, 1)</f>
        <v>-34.9583333333333</v>
      </c>
      <c r="R135" s="16" t="s">
        <v>320</v>
      </c>
    </row>
    <row r="136" customFormat="false" ht="15" hidden="false" customHeight="false" outlineLevel="0" collapsed="false">
      <c r="A136" s="1" t="n">
        <v>135</v>
      </c>
      <c r="B136" s="1" t="s">
        <v>18</v>
      </c>
      <c r="C136" s="1" t="s">
        <v>27</v>
      </c>
      <c r="D136" s="1" t="s">
        <v>20</v>
      </c>
      <c r="E136" s="7" t="s">
        <v>330</v>
      </c>
      <c r="F136" s="7" t="s">
        <v>331</v>
      </c>
      <c r="G136" s="7" t="s">
        <v>319</v>
      </c>
      <c r="H136" s="1" t="s">
        <v>24</v>
      </c>
      <c r="I136" s="1" t="s">
        <v>329</v>
      </c>
      <c r="J136" s="1" t="str">
        <f aca="false">MID(E136,1,FIND("°",E136,1)-1)</f>
        <v>06</v>
      </c>
      <c r="K136" s="1" t="str">
        <f aca="false">MID(E136,FIND("°",E136,1)+1,(FIND("′",E136,1)-FIND("°",E136,1))-1)</f>
        <v>57</v>
      </c>
      <c r="L136" s="1" t="str">
        <f aca="false">MID(E136,FIND("′",E136,1)+1,(FIND("″",E136,1)-FIND("′",E136,1))-1)</f>
        <v>57</v>
      </c>
      <c r="M136" s="1" t="str">
        <f aca="false">MID(F136,1,FIND("°",F136,1)-1)</f>
        <v>34</v>
      </c>
      <c r="N136" s="1" t="str">
        <f aca="false">MID(F136,FIND("°",F136,1)+1,(FIND("′",F136,1)-FIND("°",F136,1))-1)</f>
        <v>51</v>
      </c>
      <c r="O136" s="1" t="str">
        <f aca="false">MID(F136,FIND("′",F136,1)+1,(FIND("″",F136,1)-FIND("′",F136,1))-1)</f>
        <v>22</v>
      </c>
      <c r="P136" s="2" t="n">
        <f aca="false">((((L136/60)+K136)/60)+J136)*IF(C136="S",-1, 1)</f>
        <v>-6.96583333333333</v>
      </c>
      <c r="Q136" s="2" t="n">
        <f aca="false">((((O136/60)+N136)/60)+M136)*IF(D136="W",-1, 1)</f>
        <v>-34.8561111111111</v>
      </c>
      <c r="R136" s="16" t="s">
        <v>320</v>
      </c>
    </row>
    <row r="137" customFormat="false" ht="15" hidden="false" customHeight="false" outlineLevel="0" collapsed="false">
      <c r="A137" s="1" t="n">
        <v>136</v>
      </c>
      <c r="B137" s="1" t="s">
        <v>18</v>
      </c>
      <c r="C137" s="1" t="s">
        <v>27</v>
      </c>
      <c r="D137" s="1" t="s">
        <v>20</v>
      </c>
      <c r="E137" s="7" t="s">
        <v>332</v>
      </c>
      <c r="F137" s="7" t="s">
        <v>333</v>
      </c>
      <c r="G137" s="7" t="s">
        <v>319</v>
      </c>
      <c r="H137" s="1" t="s">
        <v>24</v>
      </c>
      <c r="I137" s="1" t="s">
        <v>334</v>
      </c>
      <c r="J137" s="1" t="str">
        <f aca="false">MID(E137,1,FIND("°",E137,1)-1)</f>
        <v>07</v>
      </c>
      <c r="K137" s="1" t="str">
        <f aca="false">MID(E137,FIND("°",E137,1)+1,(FIND("′",E137,1)-FIND("°",E137,1))-1)</f>
        <v>33</v>
      </c>
      <c r="L137" s="1" t="str">
        <f aca="false">MID(E137,FIND("′",E137,1)+1,(FIND("″",E137,1)-FIND("′",E137,1))-1)</f>
        <v>07</v>
      </c>
      <c r="M137" s="1" t="str">
        <f aca="false">MID(F137,1,FIND("°",F137,1)-1)</f>
        <v>34</v>
      </c>
      <c r="N137" s="1" t="str">
        <f aca="false">MID(F137,FIND("°",F137,1)+1,(FIND("′",F137,1)-FIND("°",F137,1))-1)</f>
        <v>50</v>
      </c>
      <c r="O137" s="1" t="str">
        <f aca="false">MID(F137,FIND("′",F137,1)+1,(FIND("″",F137,1)-FIND("′",F137,1))-1)</f>
        <v>39</v>
      </c>
      <c r="P137" s="2" t="n">
        <f aca="false">((((L137/60)+K137)/60)+J137)*IF(C137="S",-1, 1)</f>
        <v>-7.55194444444445</v>
      </c>
      <c r="Q137" s="2" t="n">
        <f aca="false">((((O137/60)+N137)/60)+M137)*IF(D137="W",-1, 1)</f>
        <v>-34.8441666666667</v>
      </c>
      <c r="R137" s="16" t="s">
        <v>320</v>
      </c>
    </row>
    <row r="138" customFormat="false" ht="15" hidden="false" customHeight="false" outlineLevel="0" collapsed="false">
      <c r="A138" s="1" t="n">
        <v>137</v>
      </c>
      <c r="B138" s="1" t="s">
        <v>18</v>
      </c>
      <c r="C138" s="1" t="s">
        <v>27</v>
      </c>
      <c r="D138" s="1" t="s">
        <v>20</v>
      </c>
      <c r="E138" s="7" t="s">
        <v>335</v>
      </c>
      <c r="F138" s="7" t="s">
        <v>336</v>
      </c>
      <c r="G138" s="7" t="s">
        <v>319</v>
      </c>
      <c r="H138" s="1" t="s">
        <v>24</v>
      </c>
      <c r="I138" s="1" t="s">
        <v>334</v>
      </c>
      <c r="J138" s="1" t="str">
        <f aca="false">MID(E138,1,FIND("°",E138,1)-1)</f>
        <v>08</v>
      </c>
      <c r="K138" s="1" t="str">
        <f aca="false">MID(E138,FIND("°",E138,1)+1,(FIND("′",E138,1)-FIND("°",E138,1))-1)</f>
        <v>02</v>
      </c>
      <c r="L138" s="1" t="str">
        <f aca="false">MID(E138,FIND("′",E138,1)+1,(FIND("″",E138,1)-FIND("′",E138,1))-1)</f>
        <v>54</v>
      </c>
      <c r="M138" s="1" t="str">
        <f aca="false">MID(F138,1,FIND("°",F138,1)-1)</f>
        <v>34</v>
      </c>
      <c r="N138" s="1" t="str">
        <f aca="false">MID(F138,FIND("°",F138,1)+1,(FIND("′",F138,1)-FIND("°",F138,1))-1)</f>
        <v>52</v>
      </c>
      <c r="O138" s="1" t="str">
        <f aca="false">MID(F138,FIND("′",F138,1)+1,(FIND("″",F138,1)-FIND("′",F138,1))-1)</f>
        <v>42</v>
      </c>
      <c r="P138" s="2" t="n">
        <f aca="false">((((L138/60)+K138)/60)+J138)*IF(C138="S",-1, 1)</f>
        <v>-8.04833333333333</v>
      </c>
      <c r="Q138" s="2" t="n">
        <f aca="false">((((O138/60)+N138)/60)+M138)*IF(D138="W",-1, 1)</f>
        <v>-34.8783333333333</v>
      </c>
      <c r="R138" s="16" t="s">
        <v>320</v>
      </c>
    </row>
    <row r="139" customFormat="false" ht="15" hidden="false" customHeight="false" outlineLevel="0" collapsed="false">
      <c r="A139" s="1" t="n">
        <v>138</v>
      </c>
      <c r="B139" s="1" t="s">
        <v>45</v>
      </c>
      <c r="C139" s="1" t="s">
        <v>19</v>
      </c>
      <c r="D139" s="1" t="s">
        <v>20</v>
      </c>
      <c r="E139" s="7" t="s">
        <v>337</v>
      </c>
      <c r="F139" s="7" t="s">
        <v>338</v>
      </c>
      <c r="G139" s="1" t="s">
        <v>339</v>
      </c>
      <c r="H139" s="1" t="s">
        <v>340</v>
      </c>
      <c r="I139" s="1" t="s">
        <v>341</v>
      </c>
      <c r="J139" s="1" t="str">
        <f aca="false">MID(E139,1,FIND("°",E139,1)-1)</f>
        <v>01</v>
      </c>
      <c r="K139" s="1" t="str">
        <f aca="false">MID(E139,FIND("°",E139,1)+1,(FIND("′",E139,1)-FIND("°",E139,1))-1)</f>
        <v>45</v>
      </c>
      <c r="L139" s="1" t="str">
        <f aca="false">MID(E139,FIND("′",E139,1)+1,(FIND("″",E139,1)-FIND("′",E139,1))-1)</f>
        <v>10</v>
      </c>
      <c r="M139" s="1" t="str">
        <f aca="false">MID(F139,1,FIND("°",F139,1)-1)</f>
        <v>48</v>
      </c>
      <c r="N139" s="1" t="str">
        <f aca="false">MID(F139,FIND("°",F139,1)+1,(FIND("′",F139,1)-FIND("°",F139,1))-1)</f>
        <v>12</v>
      </c>
      <c r="O139" s="1" t="str">
        <f aca="false">MID(F139,FIND("′",F139,1)+1,(FIND("″",F139,1)-FIND("′",F139,1))-1)</f>
        <v>56</v>
      </c>
      <c r="P139" s="2" t="n">
        <f aca="false">((((L139/60)+K139)/60)+J139)*IF(C139="S",-1, 1)</f>
        <v>1.75277777777778</v>
      </c>
      <c r="Q139" s="2" t="n">
        <f aca="false">((((O139/60)+N139)/60)+M139)*IF(D139="W",-1, 1)</f>
        <v>-48.2155555555556</v>
      </c>
      <c r="R139" s="16" t="s">
        <v>342</v>
      </c>
    </row>
    <row r="140" customFormat="false" ht="15" hidden="false" customHeight="false" outlineLevel="0" collapsed="false">
      <c r="A140" s="1" t="n">
        <v>139</v>
      </c>
      <c r="B140" s="1" t="s">
        <v>45</v>
      </c>
      <c r="C140" s="1" t="s">
        <v>19</v>
      </c>
      <c r="D140" s="1" t="s">
        <v>20</v>
      </c>
      <c r="E140" s="7" t="s">
        <v>343</v>
      </c>
      <c r="F140" s="7" t="s">
        <v>344</v>
      </c>
      <c r="G140" s="1" t="s">
        <v>339</v>
      </c>
      <c r="H140" s="1" t="s">
        <v>340</v>
      </c>
      <c r="I140" s="1" t="s">
        <v>341</v>
      </c>
      <c r="J140" s="1" t="str">
        <f aca="false">MID(E140,1,FIND("°",E140,1)-1)</f>
        <v>01</v>
      </c>
      <c r="K140" s="1" t="str">
        <f aca="false">MID(E140,FIND("°",E140,1)+1,(FIND("′",E140,1)-FIND("°",E140,1))-1)</f>
        <v>43</v>
      </c>
      <c r="L140" s="1" t="str">
        <f aca="false">MID(E140,FIND("′",E140,1)+1,(FIND("″",E140,1)-FIND("′",E140,1))-1)</f>
        <v>38</v>
      </c>
      <c r="M140" s="1" t="str">
        <f aca="false">MID(F140,1,FIND("°",F140,1)-1)</f>
        <v>48</v>
      </c>
      <c r="N140" s="1" t="str">
        <f aca="false">MID(F140,FIND("°",F140,1)+1,(FIND("′",F140,1)-FIND("°",F140,1))-1)</f>
        <v>26</v>
      </c>
      <c r="O140" s="1" t="str">
        <f aca="false">MID(F140,FIND("′",F140,1)+1,(FIND("″",F140,1)-FIND("′",F140,1))-1)</f>
        <v>22</v>
      </c>
      <c r="P140" s="2" t="n">
        <f aca="false">((((L140/60)+K140)/60)+J140)*IF(C140="S",-1, 1)</f>
        <v>1.72722222222222</v>
      </c>
      <c r="Q140" s="2" t="n">
        <f aca="false">((((O140/60)+N140)/60)+M140)*IF(D140="W",-1, 1)</f>
        <v>-48.4394444444445</v>
      </c>
      <c r="R140" s="16" t="s">
        <v>342</v>
      </c>
    </row>
    <row r="141" customFormat="false" ht="15" hidden="false" customHeight="false" outlineLevel="0" collapsed="false">
      <c r="A141" s="1" t="n">
        <v>140</v>
      </c>
      <c r="B141" s="1" t="s">
        <v>45</v>
      </c>
      <c r="C141" s="1" t="s">
        <v>19</v>
      </c>
      <c r="D141" s="1" t="s">
        <v>20</v>
      </c>
      <c r="E141" s="7" t="s">
        <v>345</v>
      </c>
      <c r="F141" s="7" t="s">
        <v>346</v>
      </c>
      <c r="G141" s="1" t="s">
        <v>339</v>
      </c>
      <c r="H141" s="1" t="s">
        <v>340</v>
      </c>
      <c r="I141" s="1" t="s">
        <v>341</v>
      </c>
      <c r="J141" s="1" t="str">
        <f aca="false">MID(E141,1,FIND("°",E141,1)-1)</f>
        <v>02</v>
      </c>
      <c r="K141" s="1" t="str">
        <f aca="false">MID(E141,FIND("°",E141,1)+1,(FIND("′",E141,1)-FIND("°",E141,1))-1)</f>
        <v>00</v>
      </c>
      <c r="L141" s="1" t="str">
        <f aca="false">MID(E141,FIND("′",E141,1)+1,(FIND("″",E141,1)-FIND("′",E141,1))-1)</f>
        <v>35</v>
      </c>
      <c r="M141" s="1" t="str">
        <f aca="false">MID(F141,1,FIND("°",F141,1)-1)</f>
        <v>48</v>
      </c>
      <c r="N141" s="1" t="str">
        <f aca="false">MID(F141,FIND("°",F141,1)+1,(FIND("′",F141,1)-FIND("°",F141,1))-1)</f>
        <v>12</v>
      </c>
      <c r="O141" s="1" t="str">
        <f aca="false">MID(F141,FIND("′",F141,1)+1,(FIND("″",F141,1)-FIND("′",F141,1))-1)</f>
        <v>39</v>
      </c>
      <c r="P141" s="2" t="n">
        <f aca="false">((((L141/60)+K141)/60)+J141)*IF(C141="S",-1, 1)</f>
        <v>2.00972222222222</v>
      </c>
      <c r="Q141" s="2" t="n">
        <f aca="false">((((O141/60)+N141)/60)+M141)*IF(D141="W",-1, 1)</f>
        <v>-48.2108333333333</v>
      </c>
      <c r="R141" s="16" t="s">
        <v>342</v>
      </c>
    </row>
    <row r="142" customFormat="false" ht="15" hidden="false" customHeight="false" outlineLevel="0" collapsed="false">
      <c r="A142" s="1" t="n">
        <v>141</v>
      </c>
      <c r="B142" s="1" t="s">
        <v>45</v>
      </c>
      <c r="C142" s="1" t="s">
        <v>19</v>
      </c>
      <c r="D142" s="1" t="s">
        <v>20</v>
      </c>
      <c r="E142" s="7" t="s">
        <v>347</v>
      </c>
      <c r="F142" s="7" t="s">
        <v>348</v>
      </c>
      <c r="G142" s="1" t="s">
        <v>339</v>
      </c>
      <c r="H142" s="1" t="s">
        <v>340</v>
      </c>
      <c r="I142" s="1" t="s">
        <v>341</v>
      </c>
      <c r="J142" s="1" t="str">
        <f aca="false">MID(E142,1,FIND("°",E142,1)-1)</f>
        <v>02</v>
      </c>
      <c r="K142" s="1" t="str">
        <f aca="false">MID(E142,FIND("°",E142,1)+1,(FIND("′",E142,1)-FIND("°",E142,1))-1)</f>
        <v>39</v>
      </c>
      <c r="L142" s="1" t="str">
        <f aca="false">MID(E142,FIND("′",E142,1)+1,(FIND("″",E142,1)-FIND("′",E142,1))-1)</f>
        <v>44</v>
      </c>
      <c r="M142" s="1" t="str">
        <f aca="false">MID(F142,1,FIND("°",F142,1)-1)</f>
        <v>49</v>
      </c>
      <c r="N142" s="1" t="str">
        <f aca="false">MID(F142,FIND("°",F142,1)+1,(FIND("′",F142,1)-FIND("°",F142,1))-1)</f>
        <v>08</v>
      </c>
      <c r="O142" s="1" t="str">
        <f aca="false">MID(F142,FIND("′",F142,1)+1,(FIND("″",F142,1)-FIND("′",F142,1))-1)</f>
        <v>56</v>
      </c>
      <c r="P142" s="2" t="n">
        <f aca="false">((((L142/60)+K142)/60)+J142)*IF(C142="S",-1, 1)</f>
        <v>2.66222222222222</v>
      </c>
      <c r="Q142" s="2" t="n">
        <f aca="false">((((O142/60)+N142)/60)+M142)*IF(D142="W",-1, 1)</f>
        <v>-49.1488888888889</v>
      </c>
      <c r="R142" s="16" t="s">
        <v>342</v>
      </c>
    </row>
    <row r="143" customFormat="false" ht="15" hidden="false" customHeight="false" outlineLevel="0" collapsed="false">
      <c r="A143" s="1" t="n">
        <v>142</v>
      </c>
      <c r="B143" s="1" t="s">
        <v>45</v>
      </c>
      <c r="C143" s="1" t="s">
        <v>19</v>
      </c>
      <c r="D143" s="1" t="s">
        <v>20</v>
      </c>
      <c r="E143" s="7" t="s">
        <v>349</v>
      </c>
      <c r="F143" s="7" t="s">
        <v>350</v>
      </c>
      <c r="G143" s="1" t="s">
        <v>339</v>
      </c>
      <c r="H143" s="1" t="s">
        <v>340</v>
      </c>
      <c r="I143" s="1" t="s">
        <v>341</v>
      </c>
      <c r="J143" s="1" t="str">
        <f aca="false">MID(E143,1,FIND("°",E143,1)-1)</f>
        <v>03</v>
      </c>
      <c r="K143" s="1" t="str">
        <f aca="false">MID(E143,FIND("°",E143,1)+1,(FIND("′",E143,1)-FIND("°",E143,1))-1)</f>
        <v>29</v>
      </c>
      <c r="L143" s="1" t="str">
        <f aca="false">MID(E143,FIND("′",E143,1)+1,(FIND("″",E143,1)-FIND("′",E143,1))-1)</f>
        <v>13</v>
      </c>
      <c r="M143" s="1" t="str">
        <f aca="false">MID(F143,1,FIND("°",F143,1)-1)</f>
        <v>49</v>
      </c>
      <c r="N143" s="1" t="str">
        <f aca="false">MID(F143,FIND("°",F143,1)+1,(FIND("′",F143,1)-FIND("°",F143,1))-1)</f>
        <v>47</v>
      </c>
      <c r="O143" s="1" t="str">
        <f aca="false">MID(F143,FIND("′",F143,1)+1,(FIND("″",F143,1)-FIND("′",F143,1))-1)</f>
        <v>04</v>
      </c>
      <c r="P143" s="2" t="n">
        <f aca="false">((((L143/60)+K143)/60)+J143)*IF(C143="S",-1, 1)</f>
        <v>3.48694444444444</v>
      </c>
      <c r="Q143" s="2" t="n">
        <f aca="false">((((O143/60)+N143)/60)+M143)*IF(D143="W",-1, 1)</f>
        <v>-49.7844444444444</v>
      </c>
      <c r="R143" s="16" t="s">
        <v>342</v>
      </c>
    </row>
    <row r="144" customFormat="false" ht="15" hidden="false" customHeight="false" outlineLevel="0" collapsed="false">
      <c r="A144" s="1" t="n">
        <v>143</v>
      </c>
      <c r="B144" s="1" t="s">
        <v>44</v>
      </c>
      <c r="C144" s="1" t="s">
        <v>27</v>
      </c>
      <c r="D144" s="1" t="s">
        <v>20</v>
      </c>
      <c r="E144" s="7" t="s">
        <v>351</v>
      </c>
      <c r="F144" s="7" t="s">
        <v>352</v>
      </c>
      <c r="G144" s="1" t="s">
        <v>353</v>
      </c>
      <c r="H144" s="1" t="s">
        <v>340</v>
      </c>
      <c r="I144" s="1" t="s">
        <v>354</v>
      </c>
      <c r="J144" s="1" t="str">
        <f aca="false">MID(E144,1,FIND("°",E144,1)-1)</f>
        <v>07</v>
      </c>
      <c r="K144" s="1" t="str">
        <f aca="false">MID(E144,FIND("°",E144,1)+1,(FIND("′",E144,1)-FIND("°",E144,1))-1)</f>
        <v>09</v>
      </c>
      <c r="L144" s="1" t="str">
        <f aca="false">MID(E144,FIND("′",E144,1)+1,(FIND("″",E144,1)-FIND("′",E144,1))-1)</f>
        <v>33</v>
      </c>
      <c r="M144" s="1" t="str">
        <f aca="false">MID(F144,1,FIND("°",F144,1)-1)</f>
        <v>34</v>
      </c>
      <c r="N144" s="1" t="str">
        <f aca="false">MID(F144,FIND("°",F144,1)+1,(FIND("′",F144,1)-FIND("°",F144,1))-1)</f>
        <v>47</v>
      </c>
      <c r="O144" s="1" t="str">
        <f aca="false">MID(F144,FIND("′",F144,1)+1,(FIND("″",F144,1)-FIND("′",F144,1))-1)</f>
        <v>08</v>
      </c>
      <c r="P144" s="2" t="n">
        <f aca="false">((((L144/60)+K144)/60)+J144)*IF(C144="S",-1, 1)</f>
        <v>-7.15916666666667</v>
      </c>
      <c r="Q144" s="2" t="n">
        <f aca="false">((((O144/60)+N144)/60)+M144)*IF(D144="W",-1, 1)</f>
        <v>-34.7855555555556</v>
      </c>
      <c r="R144" s="16" t="s">
        <v>355</v>
      </c>
    </row>
    <row r="145" customFormat="false" ht="15" hidden="false" customHeight="false" outlineLevel="0" collapsed="false">
      <c r="A145" s="1" t="n">
        <v>144</v>
      </c>
      <c r="B145" s="1" t="s">
        <v>44</v>
      </c>
      <c r="C145" s="1" t="s">
        <v>27</v>
      </c>
      <c r="D145" s="1" t="s">
        <v>20</v>
      </c>
      <c r="E145" s="7" t="s">
        <v>356</v>
      </c>
      <c r="F145" s="7" t="s">
        <v>357</v>
      </c>
      <c r="G145" s="1" t="s">
        <v>353</v>
      </c>
      <c r="H145" s="1" t="s">
        <v>340</v>
      </c>
      <c r="I145" s="1" t="s">
        <v>358</v>
      </c>
      <c r="J145" s="1" t="str">
        <f aca="false">MID(E145,1,FIND("°",E145,1)-1)</f>
        <v>07</v>
      </c>
      <c r="K145" s="1" t="str">
        <f aca="false">MID(E145,FIND("°",E145,1)+1,(FIND("′",E145,1)-FIND("°",E145,1))-1)</f>
        <v>10</v>
      </c>
      <c r="L145" s="1" t="str">
        <f aca="false">MID(E145,FIND("′",E145,1)+1,(FIND("″",E145,1)-FIND("′",E145,1))-1)</f>
        <v>47</v>
      </c>
      <c r="M145" s="1" t="str">
        <f aca="false">MID(F145,1,FIND("°",F145,1)-1)</f>
        <v>34</v>
      </c>
      <c r="N145" s="1" t="str">
        <f aca="false">MID(F145,FIND("°",F145,1)+1,(FIND("′",F145,1)-FIND("°",F145,1))-1)</f>
        <v>46</v>
      </c>
      <c r="O145" s="1" t="str">
        <f aca="false">MID(F145,FIND("′",F145,1)+1,(FIND("″",F145,1)-FIND("′",F145,1))-1)</f>
        <v>56</v>
      </c>
      <c r="P145" s="2" t="n">
        <f aca="false">((((L145/60)+K145)/60)+J145)*IF(C145="S",-1, 1)</f>
        <v>-7.17972222222222</v>
      </c>
      <c r="Q145" s="2" t="n">
        <f aca="false">((((O145/60)+N145)/60)+M145)*IF(D145="W",-1, 1)</f>
        <v>-34.7822222222222</v>
      </c>
      <c r="R145" s="16" t="s">
        <v>355</v>
      </c>
    </row>
    <row r="146" customFormat="false" ht="15" hidden="false" customHeight="false" outlineLevel="0" collapsed="false">
      <c r="A146" s="1" t="n">
        <v>145</v>
      </c>
      <c r="B146" s="1" t="s">
        <v>18</v>
      </c>
      <c r="C146" s="1" t="s">
        <v>27</v>
      </c>
      <c r="D146" s="1" t="s">
        <v>20</v>
      </c>
      <c r="E146" s="7" t="s">
        <v>351</v>
      </c>
      <c r="F146" s="7" t="s">
        <v>352</v>
      </c>
      <c r="G146" s="1" t="s">
        <v>353</v>
      </c>
      <c r="H146" s="1" t="s">
        <v>340</v>
      </c>
      <c r="I146" s="1" t="s">
        <v>354</v>
      </c>
      <c r="J146" s="1" t="str">
        <f aca="false">MID(E146,1,FIND("°",E146,1)-1)</f>
        <v>07</v>
      </c>
      <c r="K146" s="1" t="str">
        <f aca="false">MID(E146,FIND("°",E146,1)+1,(FIND("′",E146,1)-FIND("°",E146,1))-1)</f>
        <v>09</v>
      </c>
      <c r="L146" s="1" t="str">
        <f aca="false">MID(E146,FIND("′",E146,1)+1,(FIND("″",E146,1)-FIND("′",E146,1))-1)</f>
        <v>33</v>
      </c>
      <c r="M146" s="1" t="str">
        <f aca="false">MID(F146,1,FIND("°",F146,1)-1)</f>
        <v>34</v>
      </c>
      <c r="N146" s="1" t="str">
        <f aca="false">MID(F146,FIND("°",F146,1)+1,(FIND("′",F146,1)-FIND("°",F146,1))-1)</f>
        <v>47</v>
      </c>
      <c r="O146" s="1" t="str">
        <f aca="false">MID(F146,FIND("′",F146,1)+1,(FIND("″",F146,1)-FIND("′",F146,1))-1)</f>
        <v>08</v>
      </c>
      <c r="P146" s="2" t="n">
        <f aca="false">((((L146/60)+K146)/60)+J146)*IF(C146="S",-1, 1)</f>
        <v>-7.15916666666667</v>
      </c>
      <c r="Q146" s="2" t="n">
        <f aca="false">((((O146/60)+N146)/60)+M146)*IF(D146="W",-1, 1)</f>
        <v>-34.7855555555556</v>
      </c>
      <c r="R146" s="16" t="s">
        <v>355</v>
      </c>
    </row>
    <row r="147" customFormat="false" ht="15" hidden="false" customHeight="false" outlineLevel="0" collapsed="false">
      <c r="A147" s="1" t="n">
        <v>146</v>
      </c>
      <c r="B147" s="1" t="s">
        <v>18</v>
      </c>
      <c r="C147" s="1" t="s">
        <v>27</v>
      </c>
      <c r="D147" s="1" t="s">
        <v>20</v>
      </c>
      <c r="E147" s="7" t="s">
        <v>356</v>
      </c>
      <c r="F147" s="7" t="s">
        <v>357</v>
      </c>
      <c r="G147" s="1" t="s">
        <v>353</v>
      </c>
      <c r="H147" s="1" t="s">
        <v>340</v>
      </c>
      <c r="I147" s="1" t="s">
        <v>358</v>
      </c>
      <c r="J147" s="1" t="str">
        <f aca="false">MID(E147,1,FIND("°",E147,1)-1)</f>
        <v>07</v>
      </c>
      <c r="K147" s="1" t="str">
        <f aca="false">MID(E147,FIND("°",E147,1)+1,(FIND("′",E147,1)-FIND("°",E147,1))-1)</f>
        <v>10</v>
      </c>
      <c r="L147" s="1" t="str">
        <f aca="false">MID(E147,FIND("′",E147,1)+1,(FIND("″",E147,1)-FIND("′",E147,1))-1)</f>
        <v>47</v>
      </c>
      <c r="M147" s="1" t="str">
        <f aca="false">MID(F147,1,FIND("°",F147,1)-1)</f>
        <v>34</v>
      </c>
      <c r="N147" s="1" t="str">
        <f aca="false">MID(F147,FIND("°",F147,1)+1,(FIND("′",F147,1)-FIND("°",F147,1))-1)</f>
        <v>46</v>
      </c>
      <c r="O147" s="1" t="str">
        <f aca="false">MID(F147,FIND("′",F147,1)+1,(FIND("″",F147,1)-FIND("′",F147,1))-1)</f>
        <v>56</v>
      </c>
      <c r="P147" s="2" t="n">
        <f aca="false">((((L147/60)+K147)/60)+J147)*IF(C147="S",-1, 1)</f>
        <v>-7.17972222222222</v>
      </c>
      <c r="Q147" s="2" t="n">
        <f aca="false">((((O147/60)+N147)/60)+M147)*IF(D147="W",-1, 1)</f>
        <v>-34.7822222222222</v>
      </c>
      <c r="R147" s="16" t="s">
        <v>355</v>
      </c>
    </row>
    <row r="148" customFormat="false" ht="15" hidden="false" customHeight="false" outlineLevel="0" collapsed="false">
      <c r="A148" s="1" t="n">
        <v>147</v>
      </c>
      <c r="B148" s="1" t="s">
        <v>56</v>
      </c>
      <c r="C148" s="1" t="s">
        <v>27</v>
      </c>
      <c r="D148" s="1" t="s">
        <v>20</v>
      </c>
      <c r="E148" s="7" t="s">
        <v>351</v>
      </c>
      <c r="F148" s="7" t="s">
        <v>352</v>
      </c>
      <c r="G148" s="1" t="s">
        <v>353</v>
      </c>
      <c r="H148" s="1" t="s">
        <v>340</v>
      </c>
      <c r="I148" s="1" t="s">
        <v>354</v>
      </c>
      <c r="J148" s="1" t="str">
        <f aca="false">MID(E148,1,FIND("°",E148,1)-1)</f>
        <v>07</v>
      </c>
      <c r="K148" s="1" t="str">
        <f aca="false">MID(E148,FIND("°",E148,1)+1,(FIND("′",E148,1)-FIND("°",E148,1))-1)</f>
        <v>09</v>
      </c>
      <c r="L148" s="1" t="str">
        <f aca="false">MID(E148,FIND("′",E148,1)+1,(FIND("″",E148,1)-FIND("′",E148,1))-1)</f>
        <v>33</v>
      </c>
      <c r="M148" s="1" t="str">
        <f aca="false">MID(F148,1,FIND("°",F148,1)-1)</f>
        <v>34</v>
      </c>
      <c r="N148" s="1" t="str">
        <f aca="false">MID(F148,FIND("°",F148,1)+1,(FIND("′",F148,1)-FIND("°",F148,1))-1)</f>
        <v>47</v>
      </c>
      <c r="O148" s="1" t="str">
        <f aca="false">MID(F148,FIND("′",F148,1)+1,(FIND("″",F148,1)-FIND("′",F148,1))-1)</f>
        <v>08</v>
      </c>
      <c r="P148" s="2" t="n">
        <f aca="false">((((L148/60)+K148)/60)+J148)*IF(C148="S",-1, 1)</f>
        <v>-7.15916666666667</v>
      </c>
      <c r="Q148" s="2" t="n">
        <f aca="false">((((O148/60)+N148)/60)+M148)*IF(D148="W",-1, 1)</f>
        <v>-34.7855555555556</v>
      </c>
      <c r="R148" s="16" t="s">
        <v>355</v>
      </c>
    </row>
    <row r="149" customFormat="false" ht="15" hidden="false" customHeight="false" outlineLevel="0" collapsed="false">
      <c r="A149" s="1" t="n">
        <v>148</v>
      </c>
      <c r="B149" s="1" t="s">
        <v>56</v>
      </c>
      <c r="C149" s="1" t="s">
        <v>27</v>
      </c>
      <c r="D149" s="1" t="s">
        <v>20</v>
      </c>
      <c r="E149" s="7" t="s">
        <v>356</v>
      </c>
      <c r="F149" s="7" t="s">
        <v>357</v>
      </c>
      <c r="G149" s="1" t="s">
        <v>353</v>
      </c>
      <c r="H149" s="1" t="s">
        <v>340</v>
      </c>
      <c r="I149" s="1" t="s">
        <v>358</v>
      </c>
      <c r="J149" s="1" t="str">
        <f aca="false">MID(E149,1,FIND("°",E149,1)-1)</f>
        <v>07</v>
      </c>
      <c r="K149" s="1" t="str">
        <f aca="false">MID(E149,FIND("°",E149,1)+1,(FIND("′",E149,1)-FIND("°",E149,1))-1)</f>
        <v>10</v>
      </c>
      <c r="L149" s="1" t="str">
        <f aca="false">MID(E149,FIND("′",E149,1)+1,(FIND("″",E149,1)-FIND("′",E149,1))-1)</f>
        <v>47</v>
      </c>
      <c r="M149" s="1" t="str">
        <f aca="false">MID(F149,1,FIND("°",F149,1)-1)</f>
        <v>34</v>
      </c>
      <c r="N149" s="1" t="str">
        <f aca="false">MID(F149,FIND("°",F149,1)+1,(FIND("′",F149,1)-FIND("°",F149,1))-1)</f>
        <v>46</v>
      </c>
      <c r="O149" s="1" t="str">
        <f aca="false">MID(F149,FIND("′",F149,1)+1,(FIND("″",F149,1)-FIND("′",F149,1))-1)</f>
        <v>56</v>
      </c>
      <c r="P149" s="2" t="n">
        <f aca="false">((((L149/60)+K149)/60)+J149)*IF(C149="S",-1, 1)</f>
        <v>-7.17972222222222</v>
      </c>
      <c r="Q149" s="2" t="n">
        <f aca="false">((((O149/60)+N149)/60)+M149)*IF(D149="W",-1, 1)</f>
        <v>-34.7822222222222</v>
      </c>
      <c r="R149" s="16" t="s">
        <v>355</v>
      </c>
    </row>
    <row r="150" customFormat="false" ht="15" hidden="false" customHeight="false" outlineLevel="0" collapsed="false">
      <c r="A150" s="1" t="n">
        <v>149</v>
      </c>
      <c r="B150" s="1" t="s">
        <v>56</v>
      </c>
      <c r="C150" s="1" t="s">
        <v>27</v>
      </c>
      <c r="D150" s="1" t="s">
        <v>20</v>
      </c>
      <c r="E150" s="7" t="s">
        <v>359</v>
      </c>
      <c r="F150" s="7" t="s">
        <v>360</v>
      </c>
      <c r="G150" s="1" t="s">
        <v>361</v>
      </c>
      <c r="H150" s="1" t="s">
        <v>340</v>
      </c>
      <c r="I150" s="15" t="s">
        <v>72</v>
      </c>
      <c r="J150" s="1" t="str">
        <f aca="false">MID(E150,1,FIND("°",E150,1)-1)</f>
        <v>08</v>
      </c>
      <c r="K150" s="1" t="str">
        <f aca="false">MID(E150,FIND("°",E150,1)+1,(FIND("′",E150,1)-FIND("°",E150,1))-1)</f>
        <v>30</v>
      </c>
      <c r="L150" s="1" t="str">
        <f aca="false">MID(E150,FIND("′",E150,1)+1,(FIND("″",E150,1)-FIND("′",E150,1))-1)</f>
        <v>41</v>
      </c>
      <c r="M150" s="1" t="str">
        <f aca="false">MID(F150,1,FIND("°",F150,1)-1)</f>
        <v>35</v>
      </c>
      <c r="N150" s="1" t="str">
        <f aca="false">MID(F150,FIND("°",F150,1)+1,(FIND("′",F150,1)-FIND("°",F150,1))-1)</f>
        <v>00</v>
      </c>
      <c r="O150" s="1" t="str">
        <f aca="false">MID(F150,FIND("′",F150,1)+1,(FIND("″",F150,1)-FIND("′",F150,1))-1)</f>
        <v>02</v>
      </c>
      <c r="P150" s="2" t="n">
        <f aca="false">((((L150/60)+K150)/60)+J150)*IF(C150="S",-1, 1)</f>
        <v>-8.51138888888889</v>
      </c>
      <c r="Q150" s="2" t="n">
        <f aca="false">((((O150/60)+N150)/60)+M150)*IF(D150="W",-1, 1)</f>
        <v>-35.0005555555556</v>
      </c>
      <c r="R150" s="16" t="s">
        <v>115</v>
      </c>
    </row>
    <row r="151" customFormat="false" ht="15" hidden="false" customHeight="false" outlineLevel="0" collapsed="false">
      <c r="A151" s="1" t="n">
        <v>150</v>
      </c>
      <c r="B151" s="1" t="s">
        <v>56</v>
      </c>
      <c r="C151" s="1" t="s">
        <v>27</v>
      </c>
      <c r="D151" s="1" t="s">
        <v>20</v>
      </c>
      <c r="E151" s="7" t="s">
        <v>362</v>
      </c>
      <c r="F151" s="7" t="s">
        <v>363</v>
      </c>
      <c r="G151" s="1" t="s">
        <v>361</v>
      </c>
      <c r="H151" s="1" t="s">
        <v>340</v>
      </c>
      <c r="I151" s="15" t="s">
        <v>72</v>
      </c>
      <c r="J151" s="1" t="str">
        <f aca="false">MID(E151,1,FIND("°",E151,1)-1)</f>
        <v>08</v>
      </c>
      <c r="K151" s="1" t="str">
        <f aca="false">MID(E151,FIND("°",E151,1)+1,(FIND("′",E151,1)-FIND("°",E151,1))-1)</f>
        <v>30</v>
      </c>
      <c r="L151" s="1" t="str">
        <f aca="false">MID(E151,FIND("′",E151,1)+1,(FIND("″",E151,1)-FIND("′",E151,1))-1)</f>
        <v>31</v>
      </c>
      <c r="M151" s="1" t="str">
        <f aca="false">MID(F151,1,FIND("°",F151,1)-1)</f>
        <v>34</v>
      </c>
      <c r="N151" s="1" t="str">
        <f aca="false">MID(F151,FIND("°",F151,1)+1,(FIND("′",F151,1)-FIND("°",F151,1))-1)</f>
        <v>59</v>
      </c>
      <c r="O151" s="1" t="str">
        <f aca="false">MID(F151,FIND("′",F151,1)+1,(FIND("″",F151,1)-FIND("′",F151,1))-1)</f>
        <v>58</v>
      </c>
      <c r="P151" s="2" t="n">
        <f aca="false">((((L151/60)+K151)/60)+J151)*IF(C151="S",-1, 1)</f>
        <v>-8.50861111111111</v>
      </c>
      <c r="Q151" s="2" t="n">
        <f aca="false">((((O151/60)+N151)/60)+M151)*IF(D151="W",-1, 1)</f>
        <v>-34.9994444444444</v>
      </c>
      <c r="R151" s="16" t="s">
        <v>115</v>
      </c>
    </row>
    <row r="152" customFormat="false" ht="15" hidden="false" customHeight="false" outlineLevel="0" collapsed="false">
      <c r="A152" s="1" t="n">
        <v>151</v>
      </c>
      <c r="B152" s="1" t="s">
        <v>56</v>
      </c>
      <c r="C152" s="1" t="s">
        <v>27</v>
      </c>
      <c r="D152" s="1" t="s">
        <v>20</v>
      </c>
      <c r="E152" s="7" t="s">
        <v>364</v>
      </c>
      <c r="F152" s="7" t="s">
        <v>365</v>
      </c>
      <c r="G152" s="1" t="s">
        <v>361</v>
      </c>
      <c r="H152" s="1" t="s">
        <v>340</v>
      </c>
      <c r="I152" s="15" t="s">
        <v>72</v>
      </c>
      <c r="J152" s="1" t="str">
        <f aca="false">MID(E152,1,FIND("°",E152,1)-1)</f>
        <v>08</v>
      </c>
      <c r="K152" s="1" t="str">
        <f aca="false">MID(E152,FIND("°",E152,1)+1,(FIND("′",E152,1)-FIND("°",E152,1))-1)</f>
        <v>30</v>
      </c>
      <c r="L152" s="1" t="str">
        <f aca="false">MID(E152,FIND("′",E152,1)+1,(FIND("″",E152,1)-FIND("′",E152,1))-1)</f>
        <v>23</v>
      </c>
      <c r="M152" s="1" t="str">
        <f aca="false">MID(F152,1,FIND("°",F152,1)-1)</f>
        <v>34</v>
      </c>
      <c r="N152" s="1" t="str">
        <f aca="false">MID(F152,FIND("°",F152,1)+1,(FIND("′",F152,1)-FIND("°",F152,1))-1)</f>
        <v>59</v>
      </c>
      <c r="O152" s="1" t="str">
        <f aca="false">MID(F152,FIND("′",F152,1)+1,(FIND("″",F152,1)-FIND("′",F152,1))-1)</f>
        <v>57</v>
      </c>
      <c r="P152" s="2" t="n">
        <f aca="false">((((L152/60)+K152)/60)+J152)*IF(C152="S",-1, 1)</f>
        <v>-8.50638888888889</v>
      </c>
      <c r="Q152" s="2" t="n">
        <f aca="false">((((O152/60)+N152)/60)+M152)*IF(D152="W",-1, 1)</f>
        <v>-34.9991666666667</v>
      </c>
      <c r="R152" s="16" t="s">
        <v>115</v>
      </c>
    </row>
    <row r="153" customFormat="false" ht="15" hidden="false" customHeight="false" outlineLevel="0" collapsed="false">
      <c r="A153" s="1" t="n">
        <v>152</v>
      </c>
      <c r="B153" s="1" t="s">
        <v>56</v>
      </c>
      <c r="C153" s="1" t="s">
        <v>27</v>
      </c>
      <c r="D153" s="1" t="s">
        <v>20</v>
      </c>
      <c r="E153" s="7" t="s">
        <v>366</v>
      </c>
      <c r="F153" s="7" t="s">
        <v>367</v>
      </c>
      <c r="G153" s="1" t="s">
        <v>361</v>
      </c>
      <c r="H153" s="1" t="s">
        <v>340</v>
      </c>
      <c r="I153" s="15" t="s">
        <v>72</v>
      </c>
      <c r="J153" s="1" t="str">
        <f aca="false">MID(E153,1,FIND("°",E153,1)-1)</f>
        <v>08</v>
      </c>
      <c r="K153" s="1" t="str">
        <f aca="false">MID(E153,FIND("°",E153,1)+1,(FIND("′",E153,1)-FIND("°",E153,1))-1)</f>
        <v>30</v>
      </c>
      <c r="L153" s="1" t="str">
        <f aca="false">MID(E153,FIND("′",E153,1)+1,(FIND("″",E153,1)-FIND("′",E153,1))-1)</f>
        <v>32</v>
      </c>
      <c r="M153" s="1" t="str">
        <f aca="false">MID(F153,1,FIND("°",F153,1)-1)</f>
        <v>34</v>
      </c>
      <c r="N153" s="1" t="str">
        <f aca="false">MID(F153,FIND("°",F153,1)+1,(FIND("′",F153,1)-FIND("°",F153,1))-1)</f>
        <v>59</v>
      </c>
      <c r="O153" s="1" t="str">
        <f aca="false">MID(F153,FIND("′",F153,1)+1,(FIND("″",F153,1)-FIND("′",F153,1))-1)</f>
        <v>56</v>
      </c>
      <c r="P153" s="2" t="n">
        <f aca="false">((((L153/60)+K153)/60)+J153)*IF(C153="S",-1, 1)</f>
        <v>-8.50888888888889</v>
      </c>
      <c r="Q153" s="2" t="n">
        <f aca="false">((((O153/60)+N153)/60)+M153)*IF(D153="W",-1, 1)</f>
        <v>-34.9988888888889</v>
      </c>
      <c r="R153" s="16" t="s">
        <v>115</v>
      </c>
    </row>
    <row r="154" customFormat="false" ht="15" hidden="false" customHeight="false" outlineLevel="0" collapsed="false">
      <c r="A154" s="1" t="n">
        <v>153</v>
      </c>
      <c r="B154" s="1" t="s">
        <v>56</v>
      </c>
      <c r="C154" s="1" t="s">
        <v>27</v>
      </c>
      <c r="D154" s="1" t="s">
        <v>20</v>
      </c>
      <c r="E154" s="7" t="s">
        <v>368</v>
      </c>
      <c r="F154" s="7" t="s">
        <v>369</v>
      </c>
      <c r="G154" s="1" t="s">
        <v>361</v>
      </c>
      <c r="H154" s="1" t="s">
        <v>340</v>
      </c>
      <c r="I154" s="15" t="s">
        <v>72</v>
      </c>
      <c r="J154" s="1" t="str">
        <f aca="false">MID(E154,1,FIND("°",E154,1)-1)</f>
        <v>08</v>
      </c>
      <c r="K154" s="1" t="str">
        <f aca="false">MID(E154,FIND("°",E154,1)+1,(FIND("′",E154,1)-FIND("°",E154,1))-1)</f>
        <v>30</v>
      </c>
      <c r="L154" s="1" t="str">
        <f aca="false">MID(E154,FIND("′",E154,1)+1,(FIND("″",E154,1)-FIND("′",E154,1))-1)</f>
        <v>25</v>
      </c>
      <c r="M154" s="1" t="str">
        <f aca="false">MID(F154,1,FIND("°",F154,1)-1)</f>
        <v>34</v>
      </c>
      <c r="N154" s="1" t="str">
        <f aca="false">MID(F154,FIND("°",F154,1)+1,(FIND("′",F154,1)-FIND("°",F154,1))-1)</f>
        <v>59</v>
      </c>
      <c r="O154" s="1" t="str">
        <f aca="false">MID(F154,FIND("′",F154,1)+1,(FIND("″",F154,1)-FIND("′",F154,1))-1)</f>
        <v>54</v>
      </c>
      <c r="P154" s="2" t="n">
        <f aca="false">((((L154/60)+K154)/60)+J154)*IF(C154="S",-1, 1)</f>
        <v>-8.50694444444445</v>
      </c>
      <c r="Q154" s="2" t="n">
        <f aca="false">((((O154/60)+N154)/60)+M154)*IF(D154="W",-1, 1)</f>
        <v>-34.9983333333333</v>
      </c>
      <c r="R154" s="16" t="s">
        <v>115</v>
      </c>
    </row>
    <row r="155" customFormat="false" ht="15" hidden="false" customHeight="false" outlineLevel="0" collapsed="false">
      <c r="A155" s="1" t="n">
        <v>154</v>
      </c>
      <c r="B155" s="1" t="s">
        <v>56</v>
      </c>
      <c r="C155" s="1" t="s">
        <v>27</v>
      </c>
      <c r="D155" s="1" t="s">
        <v>20</v>
      </c>
      <c r="E155" s="7" t="s">
        <v>364</v>
      </c>
      <c r="F155" s="7" t="s">
        <v>369</v>
      </c>
      <c r="G155" s="1" t="s">
        <v>361</v>
      </c>
      <c r="H155" s="1" t="s">
        <v>340</v>
      </c>
      <c r="I155" s="15" t="s">
        <v>72</v>
      </c>
      <c r="J155" s="1" t="str">
        <f aca="false">MID(E155,1,FIND("°",E155,1)-1)</f>
        <v>08</v>
      </c>
      <c r="K155" s="1" t="str">
        <f aca="false">MID(E155,FIND("°",E155,1)+1,(FIND("′",E155,1)-FIND("°",E155,1))-1)</f>
        <v>30</v>
      </c>
      <c r="L155" s="1" t="str">
        <f aca="false">MID(E155,FIND("′",E155,1)+1,(FIND("″",E155,1)-FIND("′",E155,1))-1)</f>
        <v>23</v>
      </c>
      <c r="M155" s="1" t="str">
        <f aca="false">MID(F155,1,FIND("°",F155,1)-1)</f>
        <v>34</v>
      </c>
      <c r="N155" s="1" t="str">
        <f aca="false">MID(F155,FIND("°",F155,1)+1,(FIND("′",F155,1)-FIND("°",F155,1))-1)</f>
        <v>59</v>
      </c>
      <c r="O155" s="1" t="str">
        <f aca="false">MID(F155,FIND("′",F155,1)+1,(FIND("″",F155,1)-FIND("′",F155,1))-1)</f>
        <v>54</v>
      </c>
      <c r="P155" s="2" t="n">
        <f aca="false">((((L155/60)+K155)/60)+J155)*IF(C155="S",-1, 1)</f>
        <v>-8.50638888888889</v>
      </c>
      <c r="Q155" s="2" t="n">
        <f aca="false">((((O155/60)+N155)/60)+M155)*IF(D155="W",-1, 1)</f>
        <v>-34.9983333333333</v>
      </c>
      <c r="R155" s="16" t="s">
        <v>115</v>
      </c>
    </row>
    <row r="156" customFormat="false" ht="15" hidden="false" customHeight="false" outlineLevel="0" collapsed="false">
      <c r="A156" s="1" t="n">
        <v>155</v>
      </c>
      <c r="B156" s="1" t="s">
        <v>56</v>
      </c>
      <c r="C156" s="1" t="s">
        <v>27</v>
      </c>
      <c r="D156" s="1" t="s">
        <v>20</v>
      </c>
      <c r="E156" s="7" t="s">
        <v>370</v>
      </c>
      <c r="F156" s="7" t="s">
        <v>371</v>
      </c>
      <c r="G156" s="1" t="s">
        <v>361</v>
      </c>
      <c r="H156" s="1" t="s">
        <v>340</v>
      </c>
      <c r="I156" s="15" t="s">
        <v>72</v>
      </c>
      <c r="J156" s="1" t="str">
        <f aca="false">MID(E156,1,FIND("°",E156,1)-1)</f>
        <v>08</v>
      </c>
      <c r="K156" s="1" t="str">
        <f aca="false">MID(E156,FIND("°",E156,1)+1,(FIND("′",E156,1)-FIND("°",E156,1))-1)</f>
        <v>30</v>
      </c>
      <c r="L156" s="1" t="str">
        <f aca="false">MID(E156,FIND("′",E156,1)+1,(FIND("″",E156,1)-FIND("′",E156,1))-1)</f>
        <v>21</v>
      </c>
      <c r="M156" s="1" t="str">
        <f aca="false">MID(F156,1,FIND("°",F156,1)-1)</f>
        <v>34</v>
      </c>
      <c r="N156" s="1" t="str">
        <f aca="false">MID(F156,FIND("°",F156,1)+1,(FIND("′",F156,1)-FIND("°",F156,1))-1)</f>
        <v>59</v>
      </c>
      <c r="O156" s="1" t="str">
        <f aca="false">MID(F156,FIND("′",F156,1)+1,(FIND("″",F156,1)-FIND("′",F156,1))-1)</f>
        <v>52</v>
      </c>
      <c r="P156" s="2" t="n">
        <f aca="false">((((L156/60)+K156)/60)+J156)*IF(C156="S",-1, 1)</f>
        <v>-8.50583333333333</v>
      </c>
      <c r="Q156" s="2" t="n">
        <f aca="false">((((O156/60)+N156)/60)+M156)*IF(D156="W",-1, 1)</f>
        <v>-34.9977777777778</v>
      </c>
      <c r="R156" s="16" t="s">
        <v>115</v>
      </c>
    </row>
    <row r="157" customFormat="false" ht="15" hidden="false" customHeight="false" outlineLevel="0" collapsed="false">
      <c r="A157" s="1" t="n">
        <v>156</v>
      </c>
      <c r="B157" s="1" t="s">
        <v>56</v>
      </c>
      <c r="C157" s="1" t="s">
        <v>27</v>
      </c>
      <c r="D157" s="1" t="s">
        <v>20</v>
      </c>
      <c r="E157" s="7" t="s">
        <v>372</v>
      </c>
      <c r="F157" s="7" t="s">
        <v>371</v>
      </c>
      <c r="G157" s="1" t="s">
        <v>361</v>
      </c>
      <c r="H157" s="1" t="s">
        <v>340</v>
      </c>
      <c r="I157" s="15" t="s">
        <v>72</v>
      </c>
      <c r="J157" s="1" t="str">
        <f aca="false">MID(E157,1,FIND("°",E157,1)-1)</f>
        <v>08</v>
      </c>
      <c r="K157" s="1" t="str">
        <f aca="false">MID(E157,FIND("°",E157,1)+1,(FIND("′",E157,1)-FIND("°",E157,1))-1)</f>
        <v>30</v>
      </c>
      <c r="L157" s="1" t="str">
        <f aca="false">MID(E157,FIND("′",E157,1)+1,(FIND("″",E157,1)-FIND("′",E157,1))-1)</f>
        <v>24</v>
      </c>
      <c r="M157" s="1" t="str">
        <f aca="false">MID(F157,1,FIND("°",F157,1)-1)</f>
        <v>34</v>
      </c>
      <c r="N157" s="1" t="str">
        <f aca="false">MID(F157,FIND("°",F157,1)+1,(FIND("′",F157,1)-FIND("°",F157,1))-1)</f>
        <v>59</v>
      </c>
      <c r="O157" s="1" t="str">
        <f aca="false">MID(F157,FIND("′",F157,1)+1,(FIND("″",F157,1)-FIND("′",F157,1))-1)</f>
        <v>52</v>
      </c>
      <c r="P157" s="2" t="n">
        <f aca="false">((((L157/60)+K157)/60)+J157)*IF(C157="S",-1, 1)</f>
        <v>-8.50666666666667</v>
      </c>
      <c r="Q157" s="2" t="n">
        <f aca="false">((((O157/60)+N157)/60)+M157)*IF(D157="W",-1, 1)</f>
        <v>-34.9977777777778</v>
      </c>
      <c r="R157" s="16" t="s">
        <v>115</v>
      </c>
    </row>
    <row r="158" customFormat="false" ht="15" hidden="false" customHeight="false" outlineLevel="0" collapsed="false">
      <c r="A158" s="1" t="n">
        <v>157</v>
      </c>
      <c r="B158" s="1" t="s">
        <v>56</v>
      </c>
      <c r="C158" s="1" t="s">
        <v>27</v>
      </c>
      <c r="D158" s="1" t="s">
        <v>20</v>
      </c>
      <c r="E158" s="7" t="s">
        <v>359</v>
      </c>
      <c r="F158" s="7" t="s">
        <v>367</v>
      </c>
      <c r="G158" s="1" t="s">
        <v>361</v>
      </c>
      <c r="H158" s="1" t="s">
        <v>340</v>
      </c>
      <c r="I158" s="15" t="s">
        <v>72</v>
      </c>
      <c r="J158" s="1" t="str">
        <f aca="false">MID(E158,1,FIND("°",E158,1)-1)</f>
        <v>08</v>
      </c>
      <c r="K158" s="1" t="str">
        <f aca="false">MID(E158,FIND("°",E158,1)+1,(FIND("′",E158,1)-FIND("°",E158,1))-1)</f>
        <v>30</v>
      </c>
      <c r="L158" s="1" t="str">
        <f aca="false">MID(E158,FIND("′",E158,1)+1,(FIND("″",E158,1)-FIND("′",E158,1))-1)</f>
        <v>41</v>
      </c>
      <c r="M158" s="1" t="str">
        <f aca="false">MID(F158,1,FIND("°",F158,1)-1)</f>
        <v>34</v>
      </c>
      <c r="N158" s="1" t="str">
        <f aca="false">MID(F158,FIND("°",F158,1)+1,(FIND("′",F158,1)-FIND("°",F158,1))-1)</f>
        <v>59</v>
      </c>
      <c r="O158" s="1" t="str">
        <f aca="false">MID(F158,FIND("′",F158,1)+1,(FIND("″",F158,1)-FIND("′",F158,1))-1)</f>
        <v>56</v>
      </c>
      <c r="P158" s="2" t="n">
        <f aca="false">((((L158/60)+K158)/60)+J158)*IF(C158="S",-1, 1)</f>
        <v>-8.51138888888889</v>
      </c>
      <c r="Q158" s="2" t="n">
        <f aca="false">((((O158/60)+N158)/60)+M158)*IF(D158="W",-1, 1)</f>
        <v>-34.9988888888889</v>
      </c>
      <c r="R158" s="16" t="s">
        <v>115</v>
      </c>
    </row>
    <row r="159" customFormat="false" ht="15" hidden="false" customHeight="false" outlineLevel="0" collapsed="false">
      <c r="A159" s="1" t="n">
        <v>158</v>
      </c>
      <c r="B159" s="1" t="s">
        <v>56</v>
      </c>
      <c r="C159" s="1" t="s">
        <v>27</v>
      </c>
      <c r="D159" s="1" t="s">
        <v>20</v>
      </c>
      <c r="E159" s="7" t="s">
        <v>373</v>
      </c>
      <c r="F159" s="7" t="s">
        <v>374</v>
      </c>
      <c r="G159" s="1" t="s">
        <v>361</v>
      </c>
      <c r="H159" s="1" t="s">
        <v>340</v>
      </c>
      <c r="I159" s="15" t="s">
        <v>72</v>
      </c>
      <c r="J159" s="1" t="str">
        <f aca="false">MID(E159,1,FIND("°",E159,1)-1)</f>
        <v>08</v>
      </c>
      <c r="K159" s="1" t="str">
        <f aca="false">MID(E159,FIND("°",E159,1)+1,(FIND("′",E159,1)-FIND("°",E159,1))-1)</f>
        <v>30</v>
      </c>
      <c r="L159" s="1" t="str">
        <f aca="false">MID(E159,FIND("′",E159,1)+1,(FIND("″",E159,1)-FIND("′",E159,1))-1)</f>
        <v>42</v>
      </c>
      <c r="M159" s="1" t="str">
        <f aca="false">MID(F159,1,FIND("°",F159,1)-1)</f>
        <v>34</v>
      </c>
      <c r="N159" s="1" t="str">
        <f aca="false">MID(F159,FIND("°",F159,1)+1,(FIND("′",F159,1)-FIND("°",F159,1))-1)</f>
        <v>59</v>
      </c>
      <c r="O159" s="1" t="str">
        <f aca="false">MID(F159,FIND("′",F159,1)+1,(FIND("″",F159,1)-FIND("′",F159,1))-1)</f>
        <v>55</v>
      </c>
      <c r="P159" s="2" t="n">
        <f aca="false">((((L159/60)+K159)/60)+J159)*IF(C159="S",-1, 1)</f>
        <v>-8.51166666666667</v>
      </c>
      <c r="Q159" s="2" t="n">
        <f aca="false">((((O159/60)+N159)/60)+M159)*IF(D159="W",-1, 1)</f>
        <v>-34.9986111111111</v>
      </c>
      <c r="R159" s="16" t="s">
        <v>115</v>
      </c>
    </row>
    <row r="160" customFormat="false" ht="15" hidden="false" customHeight="false" outlineLevel="0" collapsed="false">
      <c r="A160" s="1" t="n">
        <v>159</v>
      </c>
      <c r="B160" s="1" t="s">
        <v>56</v>
      </c>
      <c r="C160" s="1" t="s">
        <v>27</v>
      </c>
      <c r="D160" s="1" t="s">
        <v>20</v>
      </c>
      <c r="E160" s="7" t="s">
        <v>359</v>
      </c>
      <c r="F160" s="7" t="s">
        <v>375</v>
      </c>
      <c r="G160" s="1" t="s">
        <v>361</v>
      </c>
      <c r="H160" s="1" t="s">
        <v>340</v>
      </c>
      <c r="I160" s="15" t="s">
        <v>72</v>
      </c>
      <c r="J160" s="1" t="str">
        <f aca="false">MID(E160,1,FIND("°",E160,1)-1)</f>
        <v>08</v>
      </c>
      <c r="K160" s="1" t="str">
        <f aca="false">MID(E160,FIND("°",E160,1)+1,(FIND("′",E160,1)-FIND("°",E160,1))-1)</f>
        <v>30</v>
      </c>
      <c r="L160" s="1" t="str">
        <f aca="false">MID(E160,FIND("′",E160,1)+1,(FIND("″",E160,1)-FIND("′",E160,1))-1)</f>
        <v>41</v>
      </c>
      <c r="M160" s="1" t="str">
        <f aca="false">MID(F160,1,FIND("°",F160,1)-1)</f>
        <v>34</v>
      </c>
      <c r="N160" s="1" t="str">
        <f aca="false">MID(F160,FIND("°",F160,1)+1,(FIND("′",F160,1)-FIND("°",F160,1))-1)</f>
        <v>59</v>
      </c>
      <c r="O160" s="1" t="str">
        <f aca="false">MID(F160,FIND("′",F160,1)+1,(FIND("″",F160,1)-FIND("′",F160,1))-1)</f>
        <v>53</v>
      </c>
      <c r="P160" s="2" t="n">
        <f aca="false">((((L160/60)+K160)/60)+J160)*IF(C160="S",-1, 1)</f>
        <v>-8.51138888888889</v>
      </c>
      <c r="Q160" s="2" t="n">
        <f aca="false">((((O160/60)+N160)/60)+M160)*IF(D160="W",-1, 1)</f>
        <v>-34.9980555555556</v>
      </c>
      <c r="R160" s="16" t="s">
        <v>115</v>
      </c>
    </row>
    <row r="161" customFormat="false" ht="15" hidden="false" customHeight="false" outlineLevel="0" collapsed="false">
      <c r="A161" s="1" t="n">
        <v>160</v>
      </c>
      <c r="B161" s="1" t="s">
        <v>56</v>
      </c>
      <c r="C161" s="1" t="s">
        <v>27</v>
      </c>
      <c r="D161" s="1" t="s">
        <v>20</v>
      </c>
      <c r="E161" s="7" t="s">
        <v>373</v>
      </c>
      <c r="F161" s="7" t="s">
        <v>375</v>
      </c>
      <c r="G161" s="1" t="s">
        <v>361</v>
      </c>
      <c r="H161" s="1" t="s">
        <v>340</v>
      </c>
      <c r="I161" s="15" t="s">
        <v>72</v>
      </c>
      <c r="J161" s="1" t="str">
        <f aca="false">MID(E161,1,FIND("°",E161,1)-1)</f>
        <v>08</v>
      </c>
      <c r="K161" s="1" t="str">
        <f aca="false">MID(E161,FIND("°",E161,1)+1,(FIND("′",E161,1)-FIND("°",E161,1))-1)</f>
        <v>30</v>
      </c>
      <c r="L161" s="1" t="str">
        <f aca="false">MID(E161,FIND("′",E161,1)+1,(FIND("″",E161,1)-FIND("′",E161,1))-1)</f>
        <v>42</v>
      </c>
      <c r="M161" s="1" t="str">
        <f aca="false">MID(F161,1,FIND("°",F161,1)-1)</f>
        <v>34</v>
      </c>
      <c r="N161" s="1" t="str">
        <f aca="false">MID(F161,FIND("°",F161,1)+1,(FIND("′",F161,1)-FIND("°",F161,1))-1)</f>
        <v>59</v>
      </c>
      <c r="O161" s="1" t="str">
        <f aca="false">MID(F161,FIND("′",F161,1)+1,(FIND("″",F161,1)-FIND("′",F161,1))-1)</f>
        <v>53</v>
      </c>
      <c r="P161" s="2" t="n">
        <f aca="false">((((L161/60)+K161)/60)+J161)*IF(C161="S",-1, 1)</f>
        <v>-8.51166666666667</v>
      </c>
      <c r="Q161" s="2" t="n">
        <f aca="false">((((O161/60)+N161)/60)+M161)*IF(D161="W",-1, 1)</f>
        <v>-34.9980555555556</v>
      </c>
      <c r="R161" s="16" t="s">
        <v>115</v>
      </c>
    </row>
    <row r="162" customFormat="false" ht="15" hidden="false" customHeight="false" outlineLevel="0" collapsed="false">
      <c r="A162" s="1" t="n">
        <v>161</v>
      </c>
      <c r="B162" s="1" t="s">
        <v>44</v>
      </c>
      <c r="C162" s="1" t="s">
        <v>27</v>
      </c>
      <c r="D162" s="1" t="s">
        <v>20</v>
      </c>
      <c r="E162" s="7" t="s">
        <v>359</v>
      </c>
      <c r="F162" s="7" t="s">
        <v>360</v>
      </c>
      <c r="G162" s="1" t="s">
        <v>361</v>
      </c>
      <c r="H162" s="1" t="s">
        <v>340</v>
      </c>
      <c r="I162" s="15" t="s">
        <v>72</v>
      </c>
      <c r="J162" s="1" t="str">
        <f aca="false">MID(E162,1,FIND("°",E162,1)-1)</f>
        <v>08</v>
      </c>
      <c r="K162" s="1" t="str">
        <f aca="false">MID(E162,FIND("°",E162,1)+1,(FIND("′",E162,1)-FIND("°",E162,1))-1)</f>
        <v>30</v>
      </c>
      <c r="L162" s="1" t="str">
        <f aca="false">MID(E162,FIND("′",E162,1)+1,(FIND("″",E162,1)-FIND("′",E162,1))-1)</f>
        <v>41</v>
      </c>
      <c r="M162" s="1" t="str">
        <f aca="false">MID(F162,1,FIND("°",F162,1)-1)</f>
        <v>35</v>
      </c>
      <c r="N162" s="1" t="str">
        <f aca="false">MID(F162,FIND("°",F162,1)+1,(FIND("′",F162,1)-FIND("°",F162,1))-1)</f>
        <v>00</v>
      </c>
      <c r="O162" s="1" t="str">
        <f aca="false">MID(F162,FIND("′",F162,1)+1,(FIND("″",F162,1)-FIND("′",F162,1))-1)</f>
        <v>02</v>
      </c>
      <c r="P162" s="2" t="n">
        <f aca="false">((((L162/60)+K162)/60)+J162)*IF(C162="S",-1, 1)</f>
        <v>-8.51138888888889</v>
      </c>
      <c r="Q162" s="2" t="n">
        <f aca="false">((((O162/60)+N162)/60)+M162)*IF(D162="W",-1, 1)</f>
        <v>-35.0005555555556</v>
      </c>
      <c r="R162" s="16" t="s">
        <v>115</v>
      </c>
    </row>
    <row r="163" customFormat="false" ht="15" hidden="false" customHeight="false" outlineLevel="0" collapsed="false">
      <c r="A163" s="1" t="n">
        <v>162</v>
      </c>
      <c r="B163" s="1" t="s">
        <v>44</v>
      </c>
      <c r="C163" s="1" t="s">
        <v>27</v>
      </c>
      <c r="D163" s="1" t="s">
        <v>20</v>
      </c>
      <c r="E163" s="7" t="s">
        <v>362</v>
      </c>
      <c r="F163" s="7" t="s">
        <v>363</v>
      </c>
      <c r="G163" s="1" t="s">
        <v>361</v>
      </c>
      <c r="H163" s="1" t="s">
        <v>340</v>
      </c>
      <c r="I163" s="15" t="s">
        <v>72</v>
      </c>
      <c r="J163" s="1" t="str">
        <f aca="false">MID(E163,1,FIND("°",E163,1)-1)</f>
        <v>08</v>
      </c>
      <c r="K163" s="1" t="str">
        <f aca="false">MID(E163,FIND("°",E163,1)+1,(FIND("′",E163,1)-FIND("°",E163,1))-1)</f>
        <v>30</v>
      </c>
      <c r="L163" s="1" t="str">
        <f aca="false">MID(E163,FIND("′",E163,1)+1,(FIND("″",E163,1)-FIND("′",E163,1))-1)</f>
        <v>31</v>
      </c>
      <c r="M163" s="1" t="str">
        <f aca="false">MID(F163,1,FIND("°",F163,1)-1)</f>
        <v>34</v>
      </c>
      <c r="N163" s="1" t="str">
        <f aca="false">MID(F163,FIND("°",F163,1)+1,(FIND("′",F163,1)-FIND("°",F163,1))-1)</f>
        <v>59</v>
      </c>
      <c r="O163" s="1" t="str">
        <f aca="false">MID(F163,FIND("′",F163,1)+1,(FIND("″",F163,1)-FIND("′",F163,1))-1)</f>
        <v>58</v>
      </c>
      <c r="P163" s="2" t="n">
        <f aca="false">((((L163/60)+K163)/60)+J163)*IF(C163="S",-1, 1)</f>
        <v>-8.50861111111111</v>
      </c>
      <c r="Q163" s="2" t="n">
        <f aca="false">((((O163/60)+N163)/60)+M163)*IF(D163="W",-1, 1)</f>
        <v>-34.9994444444444</v>
      </c>
      <c r="R163" s="16" t="s">
        <v>115</v>
      </c>
    </row>
    <row r="164" customFormat="false" ht="15" hidden="false" customHeight="false" outlineLevel="0" collapsed="false">
      <c r="A164" s="1" t="n">
        <v>163</v>
      </c>
      <c r="B164" s="1" t="s">
        <v>44</v>
      </c>
      <c r="C164" s="1" t="s">
        <v>27</v>
      </c>
      <c r="D164" s="1" t="s">
        <v>20</v>
      </c>
      <c r="E164" s="7" t="s">
        <v>364</v>
      </c>
      <c r="F164" s="7" t="s">
        <v>365</v>
      </c>
      <c r="G164" s="1" t="s">
        <v>361</v>
      </c>
      <c r="H164" s="1" t="s">
        <v>340</v>
      </c>
      <c r="I164" s="15" t="s">
        <v>72</v>
      </c>
      <c r="J164" s="1" t="str">
        <f aca="false">MID(E164,1,FIND("°",E164,1)-1)</f>
        <v>08</v>
      </c>
      <c r="K164" s="1" t="str">
        <f aca="false">MID(E164,FIND("°",E164,1)+1,(FIND("′",E164,1)-FIND("°",E164,1))-1)</f>
        <v>30</v>
      </c>
      <c r="L164" s="1" t="str">
        <f aca="false">MID(E164,FIND("′",E164,1)+1,(FIND("″",E164,1)-FIND("′",E164,1))-1)</f>
        <v>23</v>
      </c>
      <c r="M164" s="1" t="str">
        <f aca="false">MID(F164,1,FIND("°",F164,1)-1)</f>
        <v>34</v>
      </c>
      <c r="N164" s="1" t="str">
        <f aca="false">MID(F164,FIND("°",F164,1)+1,(FIND("′",F164,1)-FIND("°",F164,1))-1)</f>
        <v>59</v>
      </c>
      <c r="O164" s="1" t="str">
        <f aca="false">MID(F164,FIND("′",F164,1)+1,(FIND("″",F164,1)-FIND("′",F164,1))-1)</f>
        <v>57</v>
      </c>
      <c r="P164" s="2" t="n">
        <f aca="false">((((L164/60)+K164)/60)+J164)*IF(C164="S",-1, 1)</f>
        <v>-8.50638888888889</v>
      </c>
      <c r="Q164" s="2" t="n">
        <f aca="false">((((O164/60)+N164)/60)+M164)*IF(D164="W",-1, 1)</f>
        <v>-34.9991666666667</v>
      </c>
      <c r="R164" s="16" t="s">
        <v>115</v>
      </c>
    </row>
    <row r="165" customFormat="false" ht="15" hidden="false" customHeight="false" outlineLevel="0" collapsed="false">
      <c r="A165" s="1" t="n">
        <v>164</v>
      </c>
      <c r="B165" s="1" t="s">
        <v>44</v>
      </c>
      <c r="C165" s="1" t="s">
        <v>27</v>
      </c>
      <c r="D165" s="1" t="s">
        <v>20</v>
      </c>
      <c r="E165" s="7" t="s">
        <v>366</v>
      </c>
      <c r="F165" s="7" t="s">
        <v>367</v>
      </c>
      <c r="G165" s="1" t="s">
        <v>361</v>
      </c>
      <c r="H165" s="1" t="s">
        <v>340</v>
      </c>
      <c r="I165" s="15" t="s">
        <v>72</v>
      </c>
      <c r="J165" s="1" t="str">
        <f aca="false">MID(E165,1,FIND("°",E165,1)-1)</f>
        <v>08</v>
      </c>
      <c r="K165" s="1" t="str">
        <f aca="false">MID(E165,FIND("°",E165,1)+1,(FIND("′",E165,1)-FIND("°",E165,1))-1)</f>
        <v>30</v>
      </c>
      <c r="L165" s="1" t="str">
        <f aca="false">MID(E165,FIND("′",E165,1)+1,(FIND("″",E165,1)-FIND("′",E165,1))-1)</f>
        <v>32</v>
      </c>
      <c r="M165" s="1" t="str">
        <f aca="false">MID(F165,1,FIND("°",F165,1)-1)</f>
        <v>34</v>
      </c>
      <c r="N165" s="1" t="str">
        <f aca="false">MID(F165,FIND("°",F165,1)+1,(FIND("′",F165,1)-FIND("°",F165,1))-1)</f>
        <v>59</v>
      </c>
      <c r="O165" s="1" t="str">
        <f aca="false">MID(F165,FIND("′",F165,1)+1,(FIND("″",F165,1)-FIND("′",F165,1))-1)</f>
        <v>56</v>
      </c>
      <c r="P165" s="2" t="n">
        <f aca="false">((((L165/60)+K165)/60)+J165)*IF(C165="S",-1, 1)</f>
        <v>-8.50888888888889</v>
      </c>
      <c r="Q165" s="2" t="n">
        <f aca="false">((((O165/60)+N165)/60)+M165)*IF(D165="W",-1, 1)</f>
        <v>-34.9988888888889</v>
      </c>
      <c r="R165" s="16" t="s">
        <v>115</v>
      </c>
    </row>
    <row r="166" customFormat="false" ht="15" hidden="false" customHeight="false" outlineLevel="0" collapsed="false">
      <c r="A166" s="1" t="n">
        <v>165</v>
      </c>
      <c r="B166" s="1" t="s">
        <v>44</v>
      </c>
      <c r="C166" s="1" t="s">
        <v>27</v>
      </c>
      <c r="D166" s="1" t="s">
        <v>20</v>
      </c>
      <c r="E166" s="7" t="s">
        <v>368</v>
      </c>
      <c r="F166" s="7" t="s">
        <v>369</v>
      </c>
      <c r="G166" s="1" t="s">
        <v>361</v>
      </c>
      <c r="H166" s="1" t="s">
        <v>340</v>
      </c>
      <c r="I166" s="15" t="s">
        <v>72</v>
      </c>
      <c r="J166" s="1" t="str">
        <f aca="false">MID(E166,1,FIND("°",E166,1)-1)</f>
        <v>08</v>
      </c>
      <c r="K166" s="1" t="str">
        <f aca="false">MID(E166,FIND("°",E166,1)+1,(FIND("′",E166,1)-FIND("°",E166,1))-1)</f>
        <v>30</v>
      </c>
      <c r="L166" s="1" t="str">
        <f aca="false">MID(E166,FIND("′",E166,1)+1,(FIND("″",E166,1)-FIND("′",E166,1))-1)</f>
        <v>25</v>
      </c>
      <c r="M166" s="1" t="str">
        <f aca="false">MID(F166,1,FIND("°",F166,1)-1)</f>
        <v>34</v>
      </c>
      <c r="N166" s="1" t="str">
        <f aca="false">MID(F166,FIND("°",F166,1)+1,(FIND("′",F166,1)-FIND("°",F166,1))-1)</f>
        <v>59</v>
      </c>
      <c r="O166" s="1" t="str">
        <f aca="false">MID(F166,FIND("′",F166,1)+1,(FIND("″",F166,1)-FIND("′",F166,1))-1)</f>
        <v>54</v>
      </c>
      <c r="P166" s="2" t="n">
        <f aca="false">((((L166/60)+K166)/60)+J166)*IF(C166="S",-1, 1)</f>
        <v>-8.50694444444445</v>
      </c>
      <c r="Q166" s="2" t="n">
        <f aca="false">((((O166/60)+N166)/60)+M166)*IF(D166="W",-1, 1)</f>
        <v>-34.9983333333333</v>
      </c>
      <c r="R166" s="16" t="s">
        <v>115</v>
      </c>
    </row>
    <row r="167" customFormat="false" ht="15" hidden="false" customHeight="false" outlineLevel="0" collapsed="false">
      <c r="A167" s="1" t="n">
        <v>166</v>
      </c>
      <c r="B167" s="1" t="s">
        <v>44</v>
      </c>
      <c r="C167" s="1" t="s">
        <v>27</v>
      </c>
      <c r="D167" s="1" t="s">
        <v>20</v>
      </c>
      <c r="E167" s="7" t="s">
        <v>364</v>
      </c>
      <c r="F167" s="7" t="s">
        <v>369</v>
      </c>
      <c r="G167" s="1" t="s">
        <v>361</v>
      </c>
      <c r="H167" s="1" t="s">
        <v>340</v>
      </c>
      <c r="I167" s="15" t="s">
        <v>72</v>
      </c>
      <c r="J167" s="1" t="str">
        <f aca="false">MID(E167,1,FIND("°",E167,1)-1)</f>
        <v>08</v>
      </c>
      <c r="K167" s="1" t="str">
        <f aca="false">MID(E167,FIND("°",E167,1)+1,(FIND("′",E167,1)-FIND("°",E167,1))-1)</f>
        <v>30</v>
      </c>
      <c r="L167" s="1" t="str">
        <f aca="false">MID(E167,FIND("′",E167,1)+1,(FIND("″",E167,1)-FIND("′",E167,1))-1)</f>
        <v>23</v>
      </c>
      <c r="M167" s="1" t="str">
        <f aca="false">MID(F167,1,FIND("°",F167,1)-1)</f>
        <v>34</v>
      </c>
      <c r="N167" s="1" t="str">
        <f aca="false">MID(F167,FIND("°",F167,1)+1,(FIND("′",F167,1)-FIND("°",F167,1))-1)</f>
        <v>59</v>
      </c>
      <c r="O167" s="1" t="str">
        <f aca="false">MID(F167,FIND("′",F167,1)+1,(FIND("″",F167,1)-FIND("′",F167,1))-1)</f>
        <v>54</v>
      </c>
      <c r="P167" s="2" t="n">
        <f aca="false">((((L167/60)+K167)/60)+J167)*IF(C167="S",-1, 1)</f>
        <v>-8.50638888888889</v>
      </c>
      <c r="Q167" s="2" t="n">
        <f aca="false">((((O167/60)+N167)/60)+M167)*IF(D167="W",-1, 1)</f>
        <v>-34.9983333333333</v>
      </c>
      <c r="R167" s="16" t="s">
        <v>115</v>
      </c>
    </row>
    <row r="168" customFormat="false" ht="15" hidden="false" customHeight="false" outlineLevel="0" collapsed="false">
      <c r="A168" s="1" t="n">
        <v>167</v>
      </c>
      <c r="B168" s="1" t="s">
        <v>44</v>
      </c>
      <c r="C168" s="1" t="s">
        <v>27</v>
      </c>
      <c r="D168" s="1" t="s">
        <v>20</v>
      </c>
      <c r="E168" s="7" t="s">
        <v>370</v>
      </c>
      <c r="F168" s="7" t="s">
        <v>371</v>
      </c>
      <c r="G168" s="1" t="s">
        <v>361</v>
      </c>
      <c r="H168" s="1" t="s">
        <v>340</v>
      </c>
      <c r="I168" s="15" t="s">
        <v>72</v>
      </c>
      <c r="J168" s="1" t="str">
        <f aca="false">MID(E168,1,FIND("°",E168,1)-1)</f>
        <v>08</v>
      </c>
      <c r="K168" s="1" t="str">
        <f aca="false">MID(E168,FIND("°",E168,1)+1,(FIND("′",E168,1)-FIND("°",E168,1))-1)</f>
        <v>30</v>
      </c>
      <c r="L168" s="1" t="str">
        <f aca="false">MID(E168,FIND("′",E168,1)+1,(FIND("″",E168,1)-FIND("′",E168,1))-1)</f>
        <v>21</v>
      </c>
      <c r="M168" s="1" t="str">
        <f aca="false">MID(F168,1,FIND("°",F168,1)-1)</f>
        <v>34</v>
      </c>
      <c r="N168" s="1" t="str">
        <f aca="false">MID(F168,FIND("°",F168,1)+1,(FIND("′",F168,1)-FIND("°",F168,1))-1)</f>
        <v>59</v>
      </c>
      <c r="O168" s="1" t="str">
        <f aca="false">MID(F168,FIND("′",F168,1)+1,(FIND("″",F168,1)-FIND("′",F168,1))-1)</f>
        <v>52</v>
      </c>
      <c r="P168" s="2" t="n">
        <f aca="false">((((L168/60)+K168)/60)+J168)*IF(C168="S",-1, 1)</f>
        <v>-8.50583333333333</v>
      </c>
      <c r="Q168" s="2" t="n">
        <f aca="false">((((O168/60)+N168)/60)+M168)*IF(D168="W",-1, 1)</f>
        <v>-34.9977777777778</v>
      </c>
      <c r="R168" s="16" t="s">
        <v>115</v>
      </c>
    </row>
    <row r="169" customFormat="false" ht="15" hidden="false" customHeight="false" outlineLevel="0" collapsed="false">
      <c r="A169" s="1" t="n">
        <v>168</v>
      </c>
      <c r="B169" s="1" t="s">
        <v>44</v>
      </c>
      <c r="C169" s="1" t="s">
        <v>27</v>
      </c>
      <c r="D169" s="1" t="s">
        <v>20</v>
      </c>
      <c r="E169" s="7" t="s">
        <v>372</v>
      </c>
      <c r="F169" s="7" t="s">
        <v>371</v>
      </c>
      <c r="G169" s="1" t="s">
        <v>361</v>
      </c>
      <c r="H169" s="1" t="s">
        <v>340</v>
      </c>
      <c r="I169" s="15" t="s">
        <v>72</v>
      </c>
      <c r="J169" s="1" t="str">
        <f aca="false">MID(E169,1,FIND("°",E169,1)-1)</f>
        <v>08</v>
      </c>
      <c r="K169" s="1" t="str">
        <f aca="false">MID(E169,FIND("°",E169,1)+1,(FIND("′",E169,1)-FIND("°",E169,1))-1)</f>
        <v>30</v>
      </c>
      <c r="L169" s="1" t="str">
        <f aca="false">MID(E169,FIND("′",E169,1)+1,(FIND("″",E169,1)-FIND("′",E169,1))-1)</f>
        <v>24</v>
      </c>
      <c r="M169" s="1" t="str">
        <f aca="false">MID(F169,1,FIND("°",F169,1)-1)</f>
        <v>34</v>
      </c>
      <c r="N169" s="1" t="str">
        <f aca="false">MID(F169,FIND("°",F169,1)+1,(FIND("′",F169,1)-FIND("°",F169,1))-1)</f>
        <v>59</v>
      </c>
      <c r="O169" s="1" t="str">
        <f aca="false">MID(F169,FIND("′",F169,1)+1,(FIND("″",F169,1)-FIND("′",F169,1))-1)</f>
        <v>52</v>
      </c>
      <c r="P169" s="2" t="n">
        <f aca="false">((((L169/60)+K169)/60)+J169)*IF(C169="S",-1, 1)</f>
        <v>-8.50666666666667</v>
      </c>
      <c r="Q169" s="2" t="n">
        <f aca="false">((((O169/60)+N169)/60)+M169)*IF(D169="W",-1, 1)</f>
        <v>-34.9977777777778</v>
      </c>
      <c r="R169" s="16" t="s">
        <v>115</v>
      </c>
    </row>
    <row r="170" customFormat="false" ht="15" hidden="false" customHeight="false" outlineLevel="0" collapsed="false">
      <c r="A170" s="1" t="n">
        <v>169</v>
      </c>
      <c r="B170" s="1" t="s">
        <v>44</v>
      </c>
      <c r="C170" s="1" t="s">
        <v>27</v>
      </c>
      <c r="D170" s="1" t="s">
        <v>20</v>
      </c>
      <c r="E170" s="7" t="s">
        <v>359</v>
      </c>
      <c r="F170" s="7" t="s">
        <v>367</v>
      </c>
      <c r="G170" s="1" t="s">
        <v>361</v>
      </c>
      <c r="H170" s="1" t="s">
        <v>340</v>
      </c>
      <c r="I170" s="15" t="s">
        <v>72</v>
      </c>
      <c r="J170" s="1" t="str">
        <f aca="false">MID(E170,1,FIND("°",E170,1)-1)</f>
        <v>08</v>
      </c>
      <c r="K170" s="1" t="str">
        <f aca="false">MID(E170,FIND("°",E170,1)+1,(FIND("′",E170,1)-FIND("°",E170,1))-1)</f>
        <v>30</v>
      </c>
      <c r="L170" s="1" t="str">
        <f aca="false">MID(E170,FIND("′",E170,1)+1,(FIND("″",E170,1)-FIND("′",E170,1))-1)</f>
        <v>41</v>
      </c>
      <c r="M170" s="1" t="str">
        <f aca="false">MID(F170,1,FIND("°",F170,1)-1)</f>
        <v>34</v>
      </c>
      <c r="N170" s="1" t="str">
        <f aca="false">MID(F170,FIND("°",F170,1)+1,(FIND("′",F170,1)-FIND("°",F170,1))-1)</f>
        <v>59</v>
      </c>
      <c r="O170" s="1" t="str">
        <f aca="false">MID(F170,FIND("′",F170,1)+1,(FIND("″",F170,1)-FIND("′",F170,1))-1)</f>
        <v>56</v>
      </c>
      <c r="P170" s="2" t="n">
        <f aca="false">((((L170/60)+K170)/60)+J170)*IF(C170="S",-1, 1)</f>
        <v>-8.51138888888889</v>
      </c>
      <c r="Q170" s="2" t="n">
        <f aca="false">((((O170/60)+N170)/60)+M170)*IF(D170="W",-1, 1)</f>
        <v>-34.9988888888889</v>
      </c>
      <c r="R170" s="16" t="s">
        <v>115</v>
      </c>
    </row>
    <row r="171" customFormat="false" ht="15" hidden="false" customHeight="false" outlineLevel="0" collapsed="false">
      <c r="A171" s="1" t="n">
        <v>170</v>
      </c>
      <c r="B171" s="1" t="s">
        <v>44</v>
      </c>
      <c r="C171" s="1" t="s">
        <v>27</v>
      </c>
      <c r="D171" s="1" t="s">
        <v>20</v>
      </c>
      <c r="E171" s="7" t="s">
        <v>373</v>
      </c>
      <c r="F171" s="7" t="s">
        <v>374</v>
      </c>
      <c r="G171" s="1" t="s">
        <v>361</v>
      </c>
      <c r="H171" s="1" t="s">
        <v>340</v>
      </c>
      <c r="I171" s="15" t="s">
        <v>72</v>
      </c>
      <c r="J171" s="1" t="str">
        <f aca="false">MID(E171,1,FIND("°",E171,1)-1)</f>
        <v>08</v>
      </c>
      <c r="K171" s="1" t="str">
        <f aca="false">MID(E171,FIND("°",E171,1)+1,(FIND("′",E171,1)-FIND("°",E171,1))-1)</f>
        <v>30</v>
      </c>
      <c r="L171" s="1" t="str">
        <f aca="false">MID(E171,FIND("′",E171,1)+1,(FIND("″",E171,1)-FIND("′",E171,1))-1)</f>
        <v>42</v>
      </c>
      <c r="M171" s="1" t="str">
        <f aca="false">MID(F171,1,FIND("°",F171,1)-1)</f>
        <v>34</v>
      </c>
      <c r="N171" s="1" t="str">
        <f aca="false">MID(F171,FIND("°",F171,1)+1,(FIND("′",F171,1)-FIND("°",F171,1))-1)</f>
        <v>59</v>
      </c>
      <c r="O171" s="1" t="str">
        <f aca="false">MID(F171,FIND("′",F171,1)+1,(FIND("″",F171,1)-FIND("′",F171,1))-1)</f>
        <v>55</v>
      </c>
      <c r="P171" s="2" t="n">
        <f aca="false">((((L171/60)+K171)/60)+J171)*IF(C171="S",-1, 1)</f>
        <v>-8.51166666666667</v>
      </c>
      <c r="Q171" s="2" t="n">
        <f aca="false">((((O171/60)+N171)/60)+M171)*IF(D171="W",-1, 1)</f>
        <v>-34.9986111111111</v>
      </c>
      <c r="R171" s="16" t="s">
        <v>115</v>
      </c>
    </row>
    <row r="172" customFormat="false" ht="15" hidden="false" customHeight="false" outlineLevel="0" collapsed="false">
      <c r="A172" s="1" t="n">
        <v>171</v>
      </c>
      <c r="B172" s="1" t="s">
        <v>44</v>
      </c>
      <c r="C172" s="1" t="s">
        <v>27</v>
      </c>
      <c r="D172" s="1" t="s">
        <v>20</v>
      </c>
      <c r="E172" s="7" t="s">
        <v>359</v>
      </c>
      <c r="F172" s="7" t="s">
        <v>375</v>
      </c>
      <c r="G172" s="1" t="s">
        <v>361</v>
      </c>
      <c r="H172" s="1" t="s">
        <v>340</v>
      </c>
      <c r="I172" s="15" t="s">
        <v>72</v>
      </c>
      <c r="J172" s="1" t="str">
        <f aca="false">MID(E172,1,FIND("°",E172,1)-1)</f>
        <v>08</v>
      </c>
      <c r="K172" s="1" t="str">
        <f aca="false">MID(E172,FIND("°",E172,1)+1,(FIND("′",E172,1)-FIND("°",E172,1))-1)</f>
        <v>30</v>
      </c>
      <c r="L172" s="1" t="str">
        <f aca="false">MID(E172,FIND("′",E172,1)+1,(FIND("″",E172,1)-FIND("′",E172,1))-1)</f>
        <v>41</v>
      </c>
      <c r="M172" s="1" t="str">
        <f aca="false">MID(F172,1,FIND("°",F172,1)-1)</f>
        <v>34</v>
      </c>
      <c r="N172" s="1" t="str">
        <f aca="false">MID(F172,FIND("°",F172,1)+1,(FIND("′",F172,1)-FIND("°",F172,1))-1)</f>
        <v>59</v>
      </c>
      <c r="O172" s="1" t="str">
        <f aca="false">MID(F172,FIND("′",F172,1)+1,(FIND("″",F172,1)-FIND("′",F172,1))-1)</f>
        <v>53</v>
      </c>
      <c r="P172" s="2" t="n">
        <f aca="false">((((L172/60)+K172)/60)+J172)*IF(C172="S",-1, 1)</f>
        <v>-8.51138888888889</v>
      </c>
      <c r="Q172" s="2" t="n">
        <f aca="false">((((O172/60)+N172)/60)+M172)*IF(D172="W",-1, 1)</f>
        <v>-34.9980555555556</v>
      </c>
      <c r="R172" s="16" t="s">
        <v>115</v>
      </c>
    </row>
    <row r="173" customFormat="false" ht="15" hidden="false" customHeight="false" outlineLevel="0" collapsed="false">
      <c r="A173" s="1" t="n">
        <v>172</v>
      </c>
      <c r="B173" s="1" t="s">
        <v>44</v>
      </c>
      <c r="C173" s="1" t="s">
        <v>27</v>
      </c>
      <c r="D173" s="1" t="s">
        <v>20</v>
      </c>
      <c r="E173" s="7" t="s">
        <v>373</v>
      </c>
      <c r="F173" s="7" t="s">
        <v>375</v>
      </c>
      <c r="G173" s="1" t="s">
        <v>361</v>
      </c>
      <c r="H173" s="1" t="s">
        <v>340</v>
      </c>
      <c r="I173" s="15" t="s">
        <v>72</v>
      </c>
      <c r="J173" s="1" t="str">
        <f aca="false">MID(E173,1,FIND("°",E173,1)-1)</f>
        <v>08</v>
      </c>
      <c r="K173" s="1" t="str">
        <f aca="false">MID(E173,FIND("°",E173,1)+1,(FIND("′",E173,1)-FIND("°",E173,1))-1)</f>
        <v>30</v>
      </c>
      <c r="L173" s="1" t="str">
        <f aca="false">MID(E173,FIND("′",E173,1)+1,(FIND("″",E173,1)-FIND("′",E173,1))-1)</f>
        <v>42</v>
      </c>
      <c r="M173" s="1" t="str">
        <f aca="false">MID(F173,1,FIND("°",F173,1)-1)</f>
        <v>34</v>
      </c>
      <c r="N173" s="1" t="str">
        <f aca="false">MID(F173,FIND("°",F173,1)+1,(FIND("′",F173,1)-FIND("°",F173,1))-1)</f>
        <v>59</v>
      </c>
      <c r="O173" s="1" t="str">
        <f aca="false">MID(F173,FIND("′",F173,1)+1,(FIND("″",F173,1)-FIND("′",F173,1))-1)</f>
        <v>53</v>
      </c>
      <c r="P173" s="2" t="n">
        <f aca="false">((((L173/60)+K173)/60)+J173)*IF(C173="S",-1, 1)</f>
        <v>-8.51166666666667</v>
      </c>
      <c r="Q173" s="2" t="n">
        <f aca="false">((((O173/60)+N173)/60)+M173)*IF(D173="W",-1, 1)</f>
        <v>-34.9980555555556</v>
      </c>
      <c r="R173" s="16" t="s">
        <v>115</v>
      </c>
    </row>
    <row r="174" customFormat="false" ht="15" hidden="false" customHeight="false" outlineLevel="0" collapsed="false">
      <c r="A174" s="1" t="n">
        <v>173</v>
      </c>
      <c r="B174" s="1" t="s">
        <v>18</v>
      </c>
      <c r="C174" s="1" t="s">
        <v>27</v>
      </c>
      <c r="D174" s="1" t="s">
        <v>20</v>
      </c>
      <c r="E174" s="7" t="s">
        <v>359</v>
      </c>
      <c r="F174" s="7" t="s">
        <v>360</v>
      </c>
      <c r="G174" s="1" t="s">
        <v>361</v>
      </c>
      <c r="H174" s="1" t="s">
        <v>340</v>
      </c>
      <c r="I174" s="15" t="s">
        <v>72</v>
      </c>
      <c r="J174" s="1" t="str">
        <f aca="false">MID(E174,1,FIND("°",E174,1)-1)</f>
        <v>08</v>
      </c>
      <c r="K174" s="1" t="str">
        <f aca="false">MID(E174,FIND("°",E174,1)+1,(FIND("′",E174,1)-FIND("°",E174,1))-1)</f>
        <v>30</v>
      </c>
      <c r="L174" s="1" t="str">
        <f aca="false">MID(E174,FIND("′",E174,1)+1,(FIND("″",E174,1)-FIND("′",E174,1))-1)</f>
        <v>41</v>
      </c>
      <c r="M174" s="1" t="str">
        <f aca="false">MID(F174,1,FIND("°",F174,1)-1)</f>
        <v>35</v>
      </c>
      <c r="N174" s="1" t="str">
        <f aca="false">MID(F174,FIND("°",F174,1)+1,(FIND("′",F174,1)-FIND("°",F174,1))-1)</f>
        <v>00</v>
      </c>
      <c r="O174" s="1" t="str">
        <f aca="false">MID(F174,FIND("′",F174,1)+1,(FIND("″",F174,1)-FIND("′",F174,1))-1)</f>
        <v>02</v>
      </c>
      <c r="P174" s="2" t="n">
        <f aca="false">((((L174/60)+K174)/60)+J174)*IF(C174="S",-1, 1)</f>
        <v>-8.51138888888889</v>
      </c>
      <c r="Q174" s="2" t="n">
        <f aca="false">((((O174/60)+N174)/60)+M174)*IF(D174="W",-1, 1)</f>
        <v>-35.0005555555556</v>
      </c>
      <c r="R174" s="16" t="s">
        <v>115</v>
      </c>
    </row>
    <row r="175" customFormat="false" ht="15" hidden="false" customHeight="false" outlineLevel="0" collapsed="false">
      <c r="A175" s="1" t="n">
        <v>174</v>
      </c>
      <c r="B175" s="1" t="s">
        <v>18</v>
      </c>
      <c r="C175" s="1" t="s">
        <v>27</v>
      </c>
      <c r="D175" s="1" t="s">
        <v>20</v>
      </c>
      <c r="E175" s="7" t="s">
        <v>362</v>
      </c>
      <c r="F175" s="7" t="s">
        <v>363</v>
      </c>
      <c r="G175" s="1" t="s">
        <v>361</v>
      </c>
      <c r="H175" s="1" t="s">
        <v>340</v>
      </c>
      <c r="I175" s="15" t="s">
        <v>72</v>
      </c>
      <c r="J175" s="1" t="str">
        <f aca="false">MID(E175,1,FIND("°",E175,1)-1)</f>
        <v>08</v>
      </c>
      <c r="K175" s="1" t="str">
        <f aca="false">MID(E175,FIND("°",E175,1)+1,(FIND("′",E175,1)-FIND("°",E175,1))-1)</f>
        <v>30</v>
      </c>
      <c r="L175" s="1" t="str">
        <f aca="false">MID(E175,FIND("′",E175,1)+1,(FIND("″",E175,1)-FIND("′",E175,1))-1)</f>
        <v>31</v>
      </c>
      <c r="M175" s="1" t="str">
        <f aca="false">MID(F175,1,FIND("°",F175,1)-1)</f>
        <v>34</v>
      </c>
      <c r="N175" s="1" t="str">
        <f aca="false">MID(F175,FIND("°",F175,1)+1,(FIND("′",F175,1)-FIND("°",F175,1))-1)</f>
        <v>59</v>
      </c>
      <c r="O175" s="1" t="str">
        <f aca="false">MID(F175,FIND("′",F175,1)+1,(FIND("″",F175,1)-FIND("′",F175,1))-1)</f>
        <v>58</v>
      </c>
      <c r="P175" s="2" t="n">
        <f aca="false">((((L175/60)+K175)/60)+J175)*IF(C175="S",-1, 1)</f>
        <v>-8.50861111111111</v>
      </c>
      <c r="Q175" s="2" t="n">
        <f aca="false">((((O175/60)+N175)/60)+M175)*IF(D175="W",-1, 1)</f>
        <v>-34.9994444444444</v>
      </c>
      <c r="R175" s="16" t="s">
        <v>115</v>
      </c>
    </row>
    <row r="176" customFormat="false" ht="15" hidden="false" customHeight="false" outlineLevel="0" collapsed="false">
      <c r="A176" s="1" t="n">
        <v>175</v>
      </c>
      <c r="B176" s="1" t="s">
        <v>18</v>
      </c>
      <c r="C176" s="1" t="s">
        <v>27</v>
      </c>
      <c r="D176" s="1" t="s">
        <v>20</v>
      </c>
      <c r="E176" s="7" t="s">
        <v>364</v>
      </c>
      <c r="F176" s="7" t="s">
        <v>365</v>
      </c>
      <c r="G176" s="1" t="s">
        <v>361</v>
      </c>
      <c r="H176" s="1" t="s">
        <v>340</v>
      </c>
      <c r="I176" s="15" t="s">
        <v>72</v>
      </c>
      <c r="J176" s="1" t="str">
        <f aca="false">MID(E176,1,FIND("°",E176,1)-1)</f>
        <v>08</v>
      </c>
      <c r="K176" s="1" t="str">
        <f aca="false">MID(E176,FIND("°",E176,1)+1,(FIND("′",E176,1)-FIND("°",E176,1))-1)</f>
        <v>30</v>
      </c>
      <c r="L176" s="1" t="str">
        <f aca="false">MID(E176,FIND("′",E176,1)+1,(FIND("″",E176,1)-FIND("′",E176,1))-1)</f>
        <v>23</v>
      </c>
      <c r="M176" s="1" t="str">
        <f aca="false">MID(F176,1,FIND("°",F176,1)-1)</f>
        <v>34</v>
      </c>
      <c r="N176" s="1" t="str">
        <f aca="false">MID(F176,FIND("°",F176,1)+1,(FIND("′",F176,1)-FIND("°",F176,1))-1)</f>
        <v>59</v>
      </c>
      <c r="O176" s="1" t="str">
        <f aca="false">MID(F176,FIND("′",F176,1)+1,(FIND("″",F176,1)-FIND("′",F176,1))-1)</f>
        <v>57</v>
      </c>
      <c r="P176" s="2" t="n">
        <f aca="false">((((L176/60)+K176)/60)+J176)*IF(C176="S",-1, 1)</f>
        <v>-8.50638888888889</v>
      </c>
      <c r="Q176" s="2" t="n">
        <f aca="false">((((O176/60)+N176)/60)+M176)*IF(D176="W",-1, 1)</f>
        <v>-34.9991666666667</v>
      </c>
      <c r="R176" s="16" t="s">
        <v>115</v>
      </c>
    </row>
    <row r="177" customFormat="false" ht="15" hidden="false" customHeight="false" outlineLevel="0" collapsed="false">
      <c r="A177" s="1" t="n">
        <v>176</v>
      </c>
      <c r="B177" s="1" t="s">
        <v>18</v>
      </c>
      <c r="C177" s="1" t="s">
        <v>27</v>
      </c>
      <c r="D177" s="1" t="s">
        <v>20</v>
      </c>
      <c r="E177" s="7" t="s">
        <v>366</v>
      </c>
      <c r="F177" s="7" t="s">
        <v>367</v>
      </c>
      <c r="G177" s="1" t="s">
        <v>361</v>
      </c>
      <c r="H177" s="1" t="s">
        <v>340</v>
      </c>
      <c r="I177" s="15" t="s">
        <v>72</v>
      </c>
      <c r="J177" s="1" t="str">
        <f aca="false">MID(E177,1,FIND("°",E177,1)-1)</f>
        <v>08</v>
      </c>
      <c r="K177" s="1" t="str">
        <f aca="false">MID(E177,FIND("°",E177,1)+1,(FIND("′",E177,1)-FIND("°",E177,1))-1)</f>
        <v>30</v>
      </c>
      <c r="L177" s="1" t="str">
        <f aca="false">MID(E177,FIND("′",E177,1)+1,(FIND("″",E177,1)-FIND("′",E177,1))-1)</f>
        <v>32</v>
      </c>
      <c r="M177" s="1" t="str">
        <f aca="false">MID(F177,1,FIND("°",F177,1)-1)</f>
        <v>34</v>
      </c>
      <c r="N177" s="1" t="str">
        <f aca="false">MID(F177,FIND("°",F177,1)+1,(FIND("′",F177,1)-FIND("°",F177,1))-1)</f>
        <v>59</v>
      </c>
      <c r="O177" s="1" t="str">
        <f aca="false">MID(F177,FIND("′",F177,1)+1,(FIND("″",F177,1)-FIND("′",F177,1))-1)</f>
        <v>56</v>
      </c>
      <c r="P177" s="2" t="n">
        <f aca="false">((((L177/60)+K177)/60)+J177)*IF(C177="S",-1, 1)</f>
        <v>-8.50888888888889</v>
      </c>
      <c r="Q177" s="2" t="n">
        <f aca="false">((((O177/60)+N177)/60)+M177)*IF(D177="W",-1, 1)</f>
        <v>-34.9988888888889</v>
      </c>
      <c r="R177" s="16" t="s">
        <v>115</v>
      </c>
    </row>
    <row r="178" customFormat="false" ht="15" hidden="false" customHeight="false" outlineLevel="0" collapsed="false">
      <c r="A178" s="1" t="n">
        <v>177</v>
      </c>
      <c r="B178" s="1" t="s">
        <v>18</v>
      </c>
      <c r="C178" s="1" t="s">
        <v>27</v>
      </c>
      <c r="D178" s="1" t="s">
        <v>20</v>
      </c>
      <c r="E178" s="7" t="s">
        <v>368</v>
      </c>
      <c r="F178" s="7" t="s">
        <v>369</v>
      </c>
      <c r="G178" s="1" t="s">
        <v>361</v>
      </c>
      <c r="H178" s="1" t="s">
        <v>340</v>
      </c>
      <c r="I178" s="15" t="s">
        <v>72</v>
      </c>
      <c r="J178" s="1" t="str">
        <f aca="false">MID(E178,1,FIND("°",E178,1)-1)</f>
        <v>08</v>
      </c>
      <c r="K178" s="1" t="str">
        <f aca="false">MID(E178,FIND("°",E178,1)+1,(FIND("′",E178,1)-FIND("°",E178,1))-1)</f>
        <v>30</v>
      </c>
      <c r="L178" s="1" t="str">
        <f aca="false">MID(E178,FIND("′",E178,1)+1,(FIND("″",E178,1)-FIND("′",E178,1))-1)</f>
        <v>25</v>
      </c>
      <c r="M178" s="1" t="str">
        <f aca="false">MID(F178,1,FIND("°",F178,1)-1)</f>
        <v>34</v>
      </c>
      <c r="N178" s="1" t="str">
        <f aca="false">MID(F178,FIND("°",F178,1)+1,(FIND("′",F178,1)-FIND("°",F178,1))-1)</f>
        <v>59</v>
      </c>
      <c r="O178" s="1" t="str">
        <f aca="false">MID(F178,FIND("′",F178,1)+1,(FIND("″",F178,1)-FIND("′",F178,1))-1)</f>
        <v>54</v>
      </c>
      <c r="P178" s="2" t="n">
        <f aca="false">((((L178/60)+K178)/60)+J178)*IF(C178="S",-1, 1)</f>
        <v>-8.50694444444445</v>
      </c>
      <c r="Q178" s="2" t="n">
        <f aca="false">((((O178/60)+N178)/60)+M178)*IF(D178="W",-1, 1)</f>
        <v>-34.9983333333333</v>
      </c>
      <c r="R178" s="16" t="s">
        <v>115</v>
      </c>
    </row>
    <row r="179" customFormat="false" ht="15" hidden="false" customHeight="false" outlineLevel="0" collapsed="false">
      <c r="A179" s="1" t="n">
        <v>178</v>
      </c>
      <c r="B179" s="1" t="s">
        <v>18</v>
      </c>
      <c r="C179" s="1" t="s">
        <v>27</v>
      </c>
      <c r="D179" s="1" t="s">
        <v>20</v>
      </c>
      <c r="E179" s="7" t="s">
        <v>364</v>
      </c>
      <c r="F179" s="7" t="s">
        <v>369</v>
      </c>
      <c r="G179" s="1" t="s">
        <v>361</v>
      </c>
      <c r="H179" s="1" t="s">
        <v>340</v>
      </c>
      <c r="I179" s="15" t="s">
        <v>72</v>
      </c>
      <c r="J179" s="1" t="str">
        <f aca="false">MID(E179,1,FIND("°",E179,1)-1)</f>
        <v>08</v>
      </c>
      <c r="K179" s="1" t="str">
        <f aca="false">MID(E179,FIND("°",E179,1)+1,(FIND("′",E179,1)-FIND("°",E179,1))-1)</f>
        <v>30</v>
      </c>
      <c r="L179" s="1" t="str">
        <f aca="false">MID(E179,FIND("′",E179,1)+1,(FIND("″",E179,1)-FIND("′",E179,1))-1)</f>
        <v>23</v>
      </c>
      <c r="M179" s="1" t="str">
        <f aca="false">MID(F179,1,FIND("°",F179,1)-1)</f>
        <v>34</v>
      </c>
      <c r="N179" s="1" t="str">
        <f aca="false">MID(F179,FIND("°",F179,1)+1,(FIND("′",F179,1)-FIND("°",F179,1))-1)</f>
        <v>59</v>
      </c>
      <c r="O179" s="1" t="str">
        <f aca="false">MID(F179,FIND("′",F179,1)+1,(FIND("″",F179,1)-FIND("′",F179,1))-1)</f>
        <v>54</v>
      </c>
      <c r="P179" s="2" t="n">
        <f aca="false">((((L179/60)+K179)/60)+J179)*IF(C179="S",-1, 1)</f>
        <v>-8.50638888888889</v>
      </c>
      <c r="Q179" s="2" t="n">
        <f aca="false">((((O179/60)+N179)/60)+M179)*IF(D179="W",-1, 1)</f>
        <v>-34.9983333333333</v>
      </c>
      <c r="R179" s="16" t="s">
        <v>115</v>
      </c>
    </row>
    <row r="180" customFormat="false" ht="15" hidden="false" customHeight="false" outlineLevel="0" collapsed="false">
      <c r="A180" s="1" t="n">
        <v>179</v>
      </c>
      <c r="B180" s="1" t="s">
        <v>18</v>
      </c>
      <c r="C180" s="1" t="s">
        <v>27</v>
      </c>
      <c r="D180" s="1" t="s">
        <v>20</v>
      </c>
      <c r="E180" s="7" t="s">
        <v>370</v>
      </c>
      <c r="F180" s="7" t="s">
        <v>371</v>
      </c>
      <c r="G180" s="1" t="s">
        <v>361</v>
      </c>
      <c r="H180" s="1" t="s">
        <v>340</v>
      </c>
      <c r="I180" s="15" t="s">
        <v>72</v>
      </c>
      <c r="J180" s="1" t="str">
        <f aca="false">MID(E180,1,FIND("°",E180,1)-1)</f>
        <v>08</v>
      </c>
      <c r="K180" s="1" t="str">
        <f aca="false">MID(E180,FIND("°",E180,1)+1,(FIND("′",E180,1)-FIND("°",E180,1))-1)</f>
        <v>30</v>
      </c>
      <c r="L180" s="1" t="str">
        <f aca="false">MID(E180,FIND("′",E180,1)+1,(FIND("″",E180,1)-FIND("′",E180,1))-1)</f>
        <v>21</v>
      </c>
      <c r="M180" s="1" t="str">
        <f aca="false">MID(F180,1,FIND("°",F180,1)-1)</f>
        <v>34</v>
      </c>
      <c r="N180" s="1" t="str">
        <f aca="false">MID(F180,FIND("°",F180,1)+1,(FIND("′",F180,1)-FIND("°",F180,1))-1)</f>
        <v>59</v>
      </c>
      <c r="O180" s="1" t="str">
        <f aca="false">MID(F180,FIND("′",F180,1)+1,(FIND("″",F180,1)-FIND("′",F180,1))-1)</f>
        <v>52</v>
      </c>
      <c r="P180" s="2" t="n">
        <f aca="false">((((L180/60)+K180)/60)+J180)*IF(C180="S",-1, 1)</f>
        <v>-8.50583333333333</v>
      </c>
      <c r="Q180" s="2" t="n">
        <f aca="false">((((O180/60)+N180)/60)+M180)*IF(D180="W",-1, 1)</f>
        <v>-34.9977777777778</v>
      </c>
      <c r="R180" s="16" t="s">
        <v>115</v>
      </c>
    </row>
    <row r="181" customFormat="false" ht="15" hidden="false" customHeight="false" outlineLevel="0" collapsed="false">
      <c r="A181" s="1" t="n">
        <v>180</v>
      </c>
      <c r="B181" s="1" t="s">
        <v>18</v>
      </c>
      <c r="C181" s="1" t="s">
        <v>27</v>
      </c>
      <c r="D181" s="1" t="s">
        <v>20</v>
      </c>
      <c r="E181" s="7" t="s">
        <v>372</v>
      </c>
      <c r="F181" s="7" t="s">
        <v>371</v>
      </c>
      <c r="G181" s="1" t="s">
        <v>361</v>
      </c>
      <c r="H181" s="1" t="s">
        <v>340</v>
      </c>
      <c r="I181" s="15" t="s">
        <v>72</v>
      </c>
      <c r="J181" s="1" t="str">
        <f aca="false">MID(E181,1,FIND("°",E181,1)-1)</f>
        <v>08</v>
      </c>
      <c r="K181" s="1" t="str">
        <f aca="false">MID(E181,FIND("°",E181,1)+1,(FIND("′",E181,1)-FIND("°",E181,1))-1)</f>
        <v>30</v>
      </c>
      <c r="L181" s="1" t="str">
        <f aca="false">MID(E181,FIND("′",E181,1)+1,(FIND("″",E181,1)-FIND("′",E181,1))-1)</f>
        <v>24</v>
      </c>
      <c r="M181" s="1" t="str">
        <f aca="false">MID(F181,1,FIND("°",F181,1)-1)</f>
        <v>34</v>
      </c>
      <c r="N181" s="1" t="str">
        <f aca="false">MID(F181,FIND("°",F181,1)+1,(FIND("′",F181,1)-FIND("°",F181,1))-1)</f>
        <v>59</v>
      </c>
      <c r="O181" s="1" t="str">
        <f aca="false">MID(F181,FIND("′",F181,1)+1,(FIND("″",F181,1)-FIND("′",F181,1))-1)</f>
        <v>52</v>
      </c>
      <c r="P181" s="2" t="n">
        <f aca="false">((((L181/60)+K181)/60)+J181)*IF(C181="S",-1, 1)</f>
        <v>-8.50666666666667</v>
      </c>
      <c r="Q181" s="2" t="n">
        <f aca="false">((((O181/60)+N181)/60)+M181)*IF(D181="W",-1, 1)</f>
        <v>-34.9977777777778</v>
      </c>
      <c r="R181" s="16" t="s">
        <v>115</v>
      </c>
    </row>
    <row r="182" customFormat="false" ht="15" hidden="false" customHeight="false" outlineLevel="0" collapsed="false">
      <c r="A182" s="1" t="n">
        <v>181</v>
      </c>
      <c r="B182" s="1" t="s">
        <v>18</v>
      </c>
      <c r="C182" s="1" t="s">
        <v>27</v>
      </c>
      <c r="D182" s="1" t="s">
        <v>20</v>
      </c>
      <c r="E182" s="7" t="s">
        <v>359</v>
      </c>
      <c r="F182" s="7" t="s">
        <v>367</v>
      </c>
      <c r="G182" s="1" t="s">
        <v>361</v>
      </c>
      <c r="H182" s="1" t="s">
        <v>340</v>
      </c>
      <c r="I182" s="15" t="s">
        <v>72</v>
      </c>
      <c r="J182" s="1" t="str">
        <f aca="false">MID(E182,1,FIND("°",E182,1)-1)</f>
        <v>08</v>
      </c>
      <c r="K182" s="1" t="str">
        <f aca="false">MID(E182,FIND("°",E182,1)+1,(FIND("′",E182,1)-FIND("°",E182,1))-1)</f>
        <v>30</v>
      </c>
      <c r="L182" s="1" t="str">
        <f aca="false">MID(E182,FIND("′",E182,1)+1,(FIND("″",E182,1)-FIND("′",E182,1))-1)</f>
        <v>41</v>
      </c>
      <c r="M182" s="1" t="str">
        <f aca="false">MID(F182,1,FIND("°",F182,1)-1)</f>
        <v>34</v>
      </c>
      <c r="N182" s="1" t="str">
        <f aca="false">MID(F182,FIND("°",F182,1)+1,(FIND("′",F182,1)-FIND("°",F182,1))-1)</f>
        <v>59</v>
      </c>
      <c r="O182" s="1" t="str">
        <f aca="false">MID(F182,FIND("′",F182,1)+1,(FIND("″",F182,1)-FIND("′",F182,1))-1)</f>
        <v>56</v>
      </c>
      <c r="P182" s="2" t="n">
        <f aca="false">((((L182/60)+K182)/60)+J182)*IF(C182="S",-1, 1)</f>
        <v>-8.51138888888889</v>
      </c>
      <c r="Q182" s="2" t="n">
        <f aca="false">((((O182/60)+N182)/60)+M182)*IF(D182="W",-1, 1)</f>
        <v>-34.9988888888889</v>
      </c>
      <c r="R182" s="16" t="s">
        <v>115</v>
      </c>
    </row>
    <row r="183" customFormat="false" ht="15" hidden="false" customHeight="false" outlineLevel="0" collapsed="false">
      <c r="A183" s="1" t="n">
        <v>182</v>
      </c>
      <c r="B183" s="1" t="s">
        <v>18</v>
      </c>
      <c r="C183" s="1" t="s">
        <v>27</v>
      </c>
      <c r="D183" s="1" t="s">
        <v>20</v>
      </c>
      <c r="E183" s="7" t="s">
        <v>373</v>
      </c>
      <c r="F183" s="7" t="s">
        <v>374</v>
      </c>
      <c r="G183" s="1" t="s">
        <v>361</v>
      </c>
      <c r="H183" s="1" t="s">
        <v>340</v>
      </c>
      <c r="I183" s="15" t="s">
        <v>72</v>
      </c>
      <c r="J183" s="1" t="str">
        <f aca="false">MID(E183,1,FIND("°",E183,1)-1)</f>
        <v>08</v>
      </c>
      <c r="K183" s="1" t="str">
        <f aca="false">MID(E183,FIND("°",E183,1)+1,(FIND("′",E183,1)-FIND("°",E183,1))-1)</f>
        <v>30</v>
      </c>
      <c r="L183" s="1" t="str">
        <f aca="false">MID(E183,FIND("′",E183,1)+1,(FIND("″",E183,1)-FIND("′",E183,1))-1)</f>
        <v>42</v>
      </c>
      <c r="M183" s="1" t="str">
        <f aca="false">MID(F183,1,FIND("°",F183,1)-1)</f>
        <v>34</v>
      </c>
      <c r="N183" s="1" t="str">
        <f aca="false">MID(F183,FIND("°",F183,1)+1,(FIND("′",F183,1)-FIND("°",F183,1))-1)</f>
        <v>59</v>
      </c>
      <c r="O183" s="1" t="str">
        <f aca="false">MID(F183,FIND("′",F183,1)+1,(FIND("″",F183,1)-FIND("′",F183,1))-1)</f>
        <v>55</v>
      </c>
      <c r="P183" s="2" t="n">
        <f aca="false">((((L183/60)+K183)/60)+J183)*IF(C183="S",-1, 1)</f>
        <v>-8.51166666666667</v>
      </c>
      <c r="Q183" s="2" t="n">
        <f aca="false">((((O183/60)+N183)/60)+M183)*IF(D183="W",-1, 1)</f>
        <v>-34.9986111111111</v>
      </c>
      <c r="R183" s="16" t="s">
        <v>115</v>
      </c>
    </row>
    <row r="184" customFormat="false" ht="15" hidden="false" customHeight="false" outlineLevel="0" collapsed="false">
      <c r="A184" s="1" t="n">
        <v>183</v>
      </c>
      <c r="B184" s="1" t="s">
        <v>18</v>
      </c>
      <c r="C184" s="1" t="s">
        <v>27</v>
      </c>
      <c r="D184" s="1" t="s">
        <v>20</v>
      </c>
      <c r="E184" s="7" t="s">
        <v>359</v>
      </c>
      <c r="F184" s="7" t="s">
        <v>375</v>
      </c>
      <c r="G184" s="1" t="s">
        <v>361</v>
      </c>
      <c r="H184" s="1" t="s">
        <v>340</v>
      </c>
      <c r="I184" s="15" t="s">
        <v>72</v>
      </c>
      <c r="J184" s="1" t="str">
        <f aca="false">MID(E184,1,FIND("°",E184,1)-1)</f>
        <v>08</v>
      </c>
      <c r="K184" s="1" t="str">
        <f aca="false">MID(E184,FIND("°",E184,1)+1,(FIND("′",E184,1)-FIND("°",E184,1))-1)</f>
        <v>30</v>
      </c>
      <c r="L184" s="1" t="str">
        <f aca="false">MID(E184,FIND("′",E184,1)+1,(FIND("″",E184,1)-FIND("′",E184,1))-1)</f>
        <v>41</v>
      </c>
      <c r="M184" s="1" t="str">
        <f aca="false">MID(F184,1,FIND("°",F184,1)-1)</f>
        <v>34</v>
      </c>
      <c r="N184" s="1" t="str">
        <f aca="false">MID(F184,FIND("°",F184,1)+1,(FIND("′",F184,1)-FIND("°",F184,1))-1)</f>
        <v>59</v>
      </c>
      <c r="O184" s="1" t="str">
        <f aca="false">MID(F184,FIND("′",F184,1)+1,(FIND("″",F184,1)-FIND("′",F184,1))-1)</f>
        <v>53</v>
      </c>
      <c r="P184" s="2" t="n">
        <f aca="false">((((L184/60)+K184)/60)+J184)*IF(C184="S",-1, 1)</f>
        <v>-8.51138888888889</v>
      </c>
      <c r="Q184" s="2" t="n">
        <f aca="false">((((O184/60)+N184)/60)+M184)*IF(D184="W",-1, 1)</f>
        <v>-34.9980555555556</v>
      </c>
      <c r="R184" s="16" t="s">
        <v>115</v>
      </c>
    </row>
    <row r="185" customFormat="false" ht="15" hidden="false" customHeight="false" outlineLevel="0" collapsed="false">
      <c r="A185" s="1" t="n">
        <v>184</v>
      </c>
      <c r="B185" s="1" t="s">
        <v>18</v>
      </c>
      <c r="C185" s="1" t="s">
        <v>27</v>
      </c>
      <c r="D185" s="1" t="s">
        <v>20</v>
      </c>
      <c r="E185" s="7" t="s">
        <v>373</v>
      </c>
      <c r="F185" s="7" t="s">
        <v>375</v>
      </c>
      <c r="G185" s="1" t="s">
        <v>361</v>
      </c>
      <c r="H185" s="1" t="s">
        <v>340</v>
      </c>
      <c r="I185" s="15" t="s">
        <v>72</v>
      </c>
      <c r="J185" s="1" t="str">
        <f aca="false">MID(E185,1,FIND("°",E185,1)-1)</f>
        <v>08</v>
      </c>
      <c r="K185" s="1" t="str">
        <f aca="false">MID(E185,FIND("°",E185,1)+1,(FIND("′",E185,1)-FIND("°",E185,1))-1)</f>
        <v>30</v>
      </c>
      <c r="L185" s="1" t="str">
        <f aca="false">MID(E185,FIND("′",E185,1)+1,(FIND("″",E185,1)-FIND("′",E185,1))-1)</f>
        <v>42</v>
      </c>
      <c r="M185" s="1" t="str">
        <f aca="false">MID(F185,1,FIND("°",F185,1)-1)</f>
        <v>34</v>
      </c>
      <c r="N185" s="1" t="str">
        <f aca="false">MID(F185,FIND("°",F185,1)+1,(FIND("′",F185,1)-FIND("°",F185,1))-1)</f>
        <v>59</v>
      </c>
      <c r="O185" s="1" t="str">
        <f aca="false">MID(F185,FIND("′",F185,1)+1,(FIND("″",F185,1)-FIND("′",F185,1))-1)</f>
        <v>53</v>
      </c>
      <c r="P185" s="2" t="n">
        <f aca="false">((((L185/60)+K185)/60)+J185)*IF(C185="S",-1, 1)</f>
        <v>-8.51166666666667</v>
      </c>
      <c r="Q185" s="2" t="n">
        <f aca="false">((((O185/60)+N185)/60)+M185)*IF(D185="W",-1, 1)</f>
        <v>-34.9980555555556</v>
      </c>
      <c r="R185" s="16" t="s">
        <v>115</v>
      </c>
    </row>
    <row r="186" customFormat="false" ht="15" hidden="false" customHeight="false" outlineLevel="0" collapsed="false">
      <c r="A186" s="1" t="n">
        <v>185</v>
      </c>
      <c r="B186" s="1" t="s">
        <v>18</v>
      </c>
      <c r="C186" s="1" t="s">
        <v>19</v>
      </c>
      <c r="D186" s="1" t="s">
        <v>20</v>
      </c>
      <c r="E186" s="7" t="s">
        <v>376</v>
      </c>
      <c r="F186" s="7" t="s">
        <v>377</v>
      </c>
      <c r="G186" s="7" t="s">
        <v>378</v>
      </c>
      <c r="H186" s="1" t="s">
        <v>340</v>
      </c>
      <c r="I186" s="1" t="s">
        <v>379</v>
      </c>
      <c r="J186" s="1" t="str">
        <f aca="false">MID(E186,1,FIND("°",E186,1)-1)</f>
        <v>16</v>
      </c>
      <c r="K186" s="1" t="str">
        <f aca="false">MID(E186,FIND("°",E186,1)+1,(FIND("′",E186,1)-FIND("°",E186,1))-1)</f>
        <v>24</v>
      </c>
      <c r="L186" s="1" t="str">
        <f aca="false">MID(E186,FIND("′",E186,1)+1,(FIND("″",E186,1)-FIND("′",E186,1))-1)</f>
        <v>18</v>
      </c>
      <c r="M186" s="1" t="str">
        <f aca="false">MID(F186,1,FIND("°",F186,1)-1)</f>
        <v>88</v>
      </c>
      <c r="N186" s="1" t="str">
        <f aca="false">MID(F186,FIND("°",F186,1)+1,(FIND("′",F186,1)-FIND("°",F186,1))-1)</f>
        <v>10</v>
      </c>
      <c r="O186" s="1" t="str">
        <f aca="false">MID(F186,FIND("′",F186,1)+1,(FIND("″",F186,1)-FIND("′",F186,1))-1)</f>
        <v>42</v>
      </c>
      <c r="P186" s="2" t="n">
        <f aca="false">((((L186/60)+K186)/60)+J186)*IF(C186="S",-1, 1)</f>
        <v>16.405</v>
      </c>
      <c r="Q186" s="2" t="n">
        <f aca="false">((((O186/60)+N186)/60)+M186)*IF(D186="W",-1, 1)</f>
        <v>-88.1783333333333</v>
      </c>
      <c r="R186" s="16" t="s">
        <v>380</v>
      </c>
    </row>
    <row r="187" customFormat="false" ht="15" hidden="false" customHeight="false" outlineLevel="0" collapsed="false">
      <c r="A187" s="1" t="n">
        <v>186</v>
      </c>
      <c r="B187" s="1" t="s">
        <v>18</v>
      </c>
      <c r="C187" s="1" t="s">
        <v>19</v>
      </c>
      <c r="D187" s="1" t="s">
        <v>20</v>
      </c>
      <c r="E187" s="7" t="s">
        <v>381</v>
      </c>
      <c r="F187" s="7" t="s">
        <v>382</v>
      </c>
      <c r="G187" s="7" t="s">
        <v>378</v>
      </c>
      <c r="H187" s="1" t="s">
        <v>340</v>
      </c>
      <c r="I187" s="1" t="s">
        <v>383</v>
      </c>
      <c r="J187" s="1" t="str">
        <f aca="false">MID(E187,1,FIND("°",E187,1)-1)</f>
        <v>19</v>
      </c>
      <c r="K187" s="1" t="str">
        <f aca="false">MID(E187,FIND("°",E187,1)+1,(FIND("′",E187,1)-FIND("°",E187,1))-1)</f>
        <v>09</v>
      </c>
      <c r="L187" s="1" t="str">
        <f aca="false">MID(E187,FIND("′",E187,1)+1,(FIND("″",E187,1)-FIND("′",E187,1))-1)</f>
        <v>17</v>
      </c>
      <c r="M187" s="1" t="str">
        <f aca="false">MID(F187,1,FIND("°",F187,1)-1)</f>
        <v>87</v>
      </c>
      <c r="N187" s="1" t="str">
        <f aca="false">MID(F187,FIND("°",F187,1)+1,(FIND("′",F187,1)-FIND("°",F187,1))-1)</f>
        <v>11</v>
      </c>
      <c r="O187" s="1" t="str">
        <f aca="false">MID(F187,FIND("′",F187,1)+1,(FIND("″",F187,1)-FIND("′",F187,1))-1)</f>
        <v>43</v>
      </c>
      <c r="P187" s="2" t="n">
        <f aca="false">((((L187/60)+K187)/60)+J187)*IF(C187="S",-1, 1)</f>
        <v>19.1547222222222</v>
      </c>
      <c r="Q187" s="2" t="n">
        <f aca="false">((((O187/60)+N187)/60)+M187)*IF(D187="W",-1, 1)</f>
        <v>-87.1952777777778</v>
      </c>
      <c r="R187" s="16" t="s">
        <v>380</v>
      </c>
    </row>
    <row r="188" customFormat="false" ht="15" hidden="false" customHeight="false" outlineLevel="0" collapsed="false">
      <c r="A188" s="1" t="n">
        <v>187</v>
      </c>
      <c r="B188" s="1" t="s">
        <v>18</v>
      </c>
      <c r="C188" s="1" t="s">
        <v>19</v>
      </c>
      <c r="D188" s="1" t="s">
        <v>20</v>
      </c>
      <c r="E188" s="7" t="s">
        <v>384</v>
      </c>
      <c r="F188" s="7" t="s">
        <v>385</v>
      </c>
      <c r="G188" s="7" t="s">
        <v>378</v>
      </c>
      <c r="H188" s="1" t="s">
        <v>340</v>
      </c>
      <c r="I188" s="1" t="s">
        <v>386</v>
      </c>
      <c r="J188" s="1" t="str">
        <f aca="false">MID(E188,1,FIND("°",E188,1)-1)</f>
        <v>21</v>
      </c>
      <c r="K188" s="1" t="str">
        <f aca="false">MID(E188,FIND("°",E188,1)+1,(FIND("′",E188,1)-FIND("°",E188,1))-1)</f>
        <v>53</v>
      </c>
      <c r="L188" s="1" t="str">
        <f aca="false">MID(E188,FIND("′",E188,1)+1,(FIND("″",E188,1)-FIND("′",E188,1))-1)</f>
        <v>01</v>
      </c>
      <c r="M188" s="1" t="str">
        <f aca="false">MID(F188,1,FIND("°",F188,1)-1)</f>
        <v>81</v>
      </c>
      <c r="N188" s="1" t="str">
        <f aca="false">MID(F188,FIND("°",F188,1)+1,(FIND("′",F188,1)-FIND("°",F188,1))-1)</f>
        <v>42</v>
      </c>
      <c r="O188" s="1" t="str">
        <f aca="false">MID(F188,FIND("′",F188,1)+1,(FIND("″",F188,1)-FIND("′",F188,1))-1)</f>
        <v>21</v>
      </c>
      <c r="P188" s="2" t="n">
        <f aca="false">((((L188/60)+K188)/60)+J188)*IF(C188="S",-1, 1)</f>
        <v>21.8836111111111</v>
      </c>
      <c r="Q188" s="2" t="n">
        <f aca="false">((((O188/60)+N188)/60)+M188)*IF(D188="W",-1, 1)</f>
        <v>-81.7058333333333</v>
      </c>
      <c r="R188" s="16" t="s">
        <v>380</v>
      </c>
    </row>
    <row r="189" customFormat="false" ht="15" hidden="false" customHeight="false" outlineLevel="0" collapsed="false">
      <c r="A189" s="1" t="n">
        <v>188</v>
      </c>
      <c r="B189" s="1" t="s">
        <v>18</v>
      </c>
      <c r="C189" s="1" t="s">
        <v>19</v>
      </c>
      <c r="D189" s="1" t="s">
        <v>20</v>
      </c>
      <c r="E189" s="7" t="s">
        <v>387</v>
      </c>
      <c r="F189" s="7" t="s">
        <v>388</v>
      </c>
      <c r="G189" s="7" t="s">
        <v>378</v>
      </c>
      <c r="H189" s="1" t="s">
        <v>340</v>
      </c>
      <c r="I189" s="1" t="s">
        <v>389</v>
      </c>
      <c r="J189" s="1" t="str">
        <f aca="false">MID(E189,1,FIND("°",E189,1)-1)</f>
        <v>17</v>
      </c>
      <c r="K189" s="1" t="str">
        <f aca="false">MID(E189,FIND("°",E189,1)+1,(FIND("′",E189,1)-FIND("°",E189,1))-1)</f>
        <v>46</v>
      </c>
      <c r="L189" s="1" t="str">
        <f aca="false">MID(E189,FIND("′",E189,1)+1,(FIND("″",E189,1)-FIND("′",E189,1))-1)</f>
        <v>53</v>
      </c>
      <c r="M189" s="1" t="str">
        <f aca="false">MID(F189,1,FIND("°",F189,1)-1)</f>
        <v>65</v>
      </c>
      <c r="N189" s="1" t="str">
        <f aca="false">MID(F189,FIND("°",F189,1)+1,(FIND("′",F189,1)-FIND("°",F189,1))-1)</f>
        <v>07</v>
      </c>
      <c r="O189" s="1" t="str">
        <f aca="false">MID(F189,FIND("′",F189,1)+1,(FIND("″",F189,1)-FIND("′",F189,1))-1)</f>
        <v>50</v>
      </c>
      <c r="P189" s="2" t="n">
        <f aca="false">((((L189/60)+K189)/60)+J189)*IF(C189="S",-1, 1)</f>
        <v>17.7813888888889</v>
      </c>
      <c r="Q189" s="2" t="n">
        <f aca="false">((((O189/60)+N189)/60)+M189)*IF(D189="W",-1, 1)</f>
        <v>-65.1305555555556</v>
      </c>
      <c r="R189" s="16" t="s">
        <v>380</v>
      </c>
    </row>
    <row r="190" customFormat="false" ht="15" hidden="false" customHeight="false" outlineLevel="0" collapsed="false">
      <c r="A190" s="1" t="n">
        <v>189</v>
      </c>
      <c r="B190" s="1" t="s">
        <v>18</v>
      </c>
      <c r="C190" s="1" t="s">
        <v>19</v>
      </c>
      <c r="D190" s="1" t="s">
        <v>20</v>
      </c>
      <c r="E190" s="7" t="s">
        <v>390</v>
      </c>
      <c r="F190" s="7" t="s">
        <v>391</v>
      </c>
      <c r="G190" s="7" t="s">
        <v>378</v>
      </c>
      <c r="H190" s="1" t="s">
        <v>340</v>
      </c>
      <c r="I190" s="1" t="s">
        <v>392</v>
      </c>
      <c r="J190" s="1" t="str">
        <f aca="false">MID(E190,1,FIND("°",E190,1)-1)</f>
        <v>15</v>
      </c>
      <c r="K190" s="1" t="str">
        <f aca="false">MID(E190,FIND("°",E190,1)+1,(FIND("′",E190,1)-FIND("°",E190,1))-1)</f>
        <v>49</v>
      </c>
      <c r="L190" s="1" t="str">
        <f aca="false">MID(E190,FIND("′",E190,1)+1,(FIND("″",E190,1)-FIND("′",E190,1))-1)</f>
        <v>37</v>
      </c>
      <c r="M190" s="1" t="str">
        <f aca="false">MID(F190,1,FIND("°",F190,1)-1)</f>
        <v>62</v>
      </c>
      <c r="N190" s="1" t="str">
        <f aca="false">MID(F190,FIND("°",F190,1)+1,(FIND("′",F190,1)-FIND("°",F190,1))-1)</f>
        <v>10</v>
      </c>
      <c r="O190" s="1" t="str">
        <f aca="false">MID(F190,FIND("′",F190,1)+1,(FIND("″",F190,1)-FIND("′",F190,1))-1)</f>
        <v>49</v>
      </c>
      <c r="P190" s="2" t="n">
        <f aca="false">((((L190/60)+K190)/60)+J190)*IF(C190="S",-1, 1)</f>
        <v>15.8269444444444</v>
      </c>
      <c r="Q190" s="2" t="n">
        <f aca="false">((((O190/60)+N190)/60)+M190)*IF(D190="W",-1, 1)</f>
        <v>-62.1802777777778</v>
      </c>
      <c r="R190" s="16" t="s">
        <v>380</v>
      </c>
    </row>
    <row r="191" customFormat="false" ht="15" hidden="false" customHeight="false" outlineLevel="0" collapsed="false">
      <c r="A191" s="1" t="n">
        <v>190</v>
      </c>
      <c r="B191" s="1" t="s">
        <v>18</v>
      </c>
      <c r="C191" s="1" t="s">
        <v>19</v>
      </c>
      <c r="D191" s="1" t="s">
        <v>20</v>
      </c>
      <c r="E191" s="7" t="s">
        <v>393</v>
      </c>
      <c r="F191" s="7" t="s">
        <v>394</v>
      </c>
      <c r="G191" s="7" t="s">
        <v>378</v>
      </c>
      <c r="H191" s="1" t="s">
        <v>340</v>
      </c>
      <c r="I191" s="1" t="s">
        <v>395</v>
      </c>
      <c r="J191" s="1" t="str">
        <f aca="false">MID(E191,1,FIND("°",E191,1)-1)</f>
        <v>24</v>
      </c>
      <c r="K191" s="1" t="str">
        <f aca="false">MID(E191,FIND("°",E191,1)+1,(FIND("′",E191,1)-FIND("°",E191,1))-1)</f>
        <v>28</v>
      </c>
      <c r="L191" s="1" t="str">
        <f aca="false">MID(E191,FIND("′",E191,1)+1,(FIND("″",E191,1)-FIND("′",E191,1))-1)</f>
        <v>24</v>
      </c>
      <c r="M191" s="1" t="str">
        <f aca="false">MID(F191,1,FIND("°",F191,1)-1)</f>
        <v>81</v>
      </c>
      <c r="N191" s="1" t="str">
        <f aca="false">MID(F191,FIND("°",F191,1)+1,(FIND("′",F191,1)-FIND("°",F191,1))-1)</f>
        <v>03</v>
      </c>
      <c r="O191" s="1" t="str">
        <f aca="false">MID(F191,FIND("′",F191,1)+1,(FIND("″",F191,1)-FIND("′",F191,1))-1)</f>
        <v>19</v>
      </c>
      <c r="P191" s="2" t="n">
        <f aca="false">((((L191/60)+K191)/60)+J191)*IF(C191="S",-1, 1)</f>
        <v>24.4733333333333</v>
      </c>
      <c r="Q191" s="2" t="n">
        <f aca="false">((((O191/60)+N191)/60)+M191)*IF(D191="W",-1, 1)</f>
        <v>-81.0552777777778</v>
      </c>
      <c r="R191" s="16" t="s">
        <v>380</v>
      </c>
    </row>
    <row r="192" customFormat="false" ht="15" hidden="false" customHeight="false" outlineLevel="0" collapsed="false">
      <c r="A192" s="1" t="n">
        <v>191</v>
      </c>
      <c r="B192" s="1" t="s">
        <v>18</v>
      </c>
      <c r="C192" s="1" t="s">
        <v>19</v>
      </c>
      <c r="D192" s="1" t="s">
        <v>20</v>
      </c>
      <c r="E192" s="7" t="s">
        <v>396</v>
      </c>
      <c r="F192" s="7" t="s">
        <v>397</v>
      </c>
      <c r="G192" s="7" t="s">
        <v>398</v>
      </c>
      <c r="H192" s="1" t="s">
        <v>340</v>
      </c>
      <c r="I192" s="7" t="s">
        <v>399</v>
      </c>
      <c r="J192" s="1" t="str">
        <f aca="false">MID(E192,1,FIND("°",E192,1)-1)</f>
        <v>12</v>
      </c>
      <c r="K192" s="1" t="str">
        <f aca="false">MID(E192,FIND("°",E192,1)+1,(FIND("′",E192,1)-FIND("°",E192,1))-1)</f>
        <v>11</v>
      </c>
      <c r="L192" s="1" t="str">
        <f aca="false">MID(E192,FIND("′",E192,1)+1,(FIND("″",E192,1)-FIND("′",E192,1))-1)</f>
        <v>35</v>
      </c>
      <c r="M192" s="1" t="str">
        <f aca="false">MID(F192,1,FIND("°",F192,1)-1)</f>
        <v>83</v>
      </c>
      <c r="N192" s="1" t="str">
        <f aca="false">MID(F192,FIND("°",F192,1)+1,(FIND("′",F192,1)-FIND("°",F192,1))-1)</f>
        <v>25</v>
      </c>
      <c r="O192" s="1" t="str">
        <f aca="false">MID(F192,FIND("′",F192,1)+1,(FIND("″",F192,1)-FIND("′",F192,1))-1)</f>
        <v>46</v>
      </c>
      <c r="P192" s="2" t="n">
        <f aca="false">((((L192/60)+K192)/60)+J192)*IF(C192="S",-1, 1)</f>
        <v>12.1930555555556</v>
      </c>
      <c r="Q192" s="2" t="n">
        <f aca="false">((((O192/60)+N192)/60)+M192)*IF(D192="W",-1, 1)</f>
        <v>-83.4294444444444</v>
      </c>
      <c r="R192" s="16" t="s">
        <v>400</v>
      </c>
    </row>
    <row r="193" customFormat="false" ht="15" hidden="false" customHeight="false" outlineLevel="0" collapsed="false">
      <c r="A193" s="1" t="n">
        <v>192</v>
      </c>
      <c r="B193" s="1" t="s">
        <v>18</v>
      </c>
      <c r="C193" s="1" t="s">
        <v>19</v>
      </c>
      <c r="D193" s="1" t="s">
        <v>20</v>
      </c>
      <c r="E193" s="7" t="s">
        <v>401</v>
      </c>
      <c r="F193" s="7" t="s">
        <v>402</v>
      </c>
      <c r="G193" s="7" t="s">
        <v>398</v>
      </c>
      <c r="H193" s="1" t="s">
        <v>340</v>
      </c>
      <c r="I193" s="7" t="s">
        <v>399</v>
      </c>
      <c r="J193" s="1" t="str">
        <f aca="false">MID(E193,1,FIND("°",E193,1)-1)</f>
        <v>15</v>
      </c>
      <c r="K193" s="1" t="str">
        <f aca="false">MID(E193,FIND("°",E193,1)+1,(FIND("′",E193,1)-FIND("°",E193,1))-1)</f>
        <v>27</v>
      </c>
      <c r="L193" s="1" t="str">
        <f aca="false">MID(E193,FIND("′",E193,1)+1,(FIND("″",E193,1)-FIND("′",E193,1))-1)</f>
        <v>28</v>
      </c>
      <c r="M193" s="1" t="str">
        <f aca="false">MID(F193,1,FIND("°",F193,1)-1)</f>
        <v>83</v>
      </c>
      <c r="N193" s="1" t="str">
        <f aca="false">MID(F193,FIND("°",F193,1)+1,(FIND("′",F193,1)-FIND("°",F193,1))-1)</f>
        <v>42</v>
      </c>
      <c r="O193" s="1" t="str">
        <f aca="false">MID(F193,FIND("′",F193,1)+1,(FIND("″",F193,1)-FIND("′",F193,1))-1)</f>
        <v>30</v>
      </c>
      <c r="P193" s="2" t="n">
        <f aca="false">((((L193/60)+K193)/60)+J193)*IF(C193="S",-1, 1)</f>
        <v>15.4577777777778</v>
      </c>
      <c r="Q193" s="2" t="n">
        <f aca="false">((((O193/60)+N193)/60)+M193)*IF(D193="W",-1, 1)</f>
        <v>-83.7083333333333</v>
      </c>
      <c r="R193" s="16" t="s">
        <v>400</v>
      </c>
    </row>
    <row r="194" customFormat="false" ht="15" hidden="false" customHeight="false" outlineLevel="0" collapsed="false">
      <c r="A194" s="1" t="n">
        <v>193</v>
      </c>
      <c r="B194" s="1" t="s">
        <v>18</v>
      </c>
      <c r="C194" s="1" t="s">
        <v>19</v>
      </c>
      <c r="D194" s="1" t="s">
        <v>20</v>
      </c>
      <c r="E194" s="7" t="s">
        <v>403</v>
      </c>
      <c r="F194" s="7" t="s">
        <v>404</v>
      </c>
      <c r="G194" s="7" t="s">
        <v>398</v>
      </c>
      <c r="H194" s="1" t="s">
        <v>340</v>
      </c>
      <c r="I194" s="7" t="s">
        <v>399</v>
      </c>
      <c r="J194" s="1" t="str">
        <f aca="false">MID(E194,1,FIND("°",E194,1)-1)</f>
        <v>16</v>
      </c>
      <c r="K194" s="1" t="str">
        <f aca="false">MID(E194,FIND("°",E194,1)+1,(FIND("′",E194,1)-FIND("°",E194,1))-1)</f>
        <v>06</v>
      </c>
      <c r="L194" s="1" t="str">
        <f aca="false">MID(E194,FIND("′",E194,1)+1,(FIND("″",E194,1)-FIND("′",E194,1))-1)</f>
        <v>27</v>
      </c>
      <c r="M194" s="1" t="str">
        <f aca="false">MID(F194,1,FIND("°",F194,1)-1)</f>
        <v>86</v>
      </c>
      <c r="N194" s="1" t="str">
        <f aca="false">MID(F194,FIND("°",F194,1)+1,(FIND("′",F194,1)-FIND("°",F194,1))-1)</f>
        <v>00</v>
      </c>
      <c r="O194" s="1" t="str">
        <f aca="false">MID(F194,FIND("′",F194,1)+1,(FIND("″",F194,1)-FIND("′",F194,1))-1)</f>
        <v>39</v>
      </c>
      <c r="P194" s="2" t="n">
        <f aca="false">((((L194/60)+K194)/60)+J194)*IF(C194="S",-1, 1)</f>
        <v>16.1075</v>
      </c>
      <c r="Q194" s="2" t="n">
        <f aca="false">((((O194/60)+N194)/60)+M194)*IF(D194="W",-1, 1)</f>
        <v>-86.0108333333333</v>
      </c>
      <c r="R194" s="16" t="s">
        <v>400</v>
      </c>
    </row>
    <row r="195" customFormat="false" ht="15" hidden="false" customHeight="false" outlineLevel="0" collapsed="false">
      <c r="A195" s="1" t="n">
        <v>194</v>
      </c>
      <c r="B195" s="1" t="s">
        <v>18</v>
      </c>
      <c r="C195" s="1" t="s">
        <v>19</v>
      </c>
      <c r="D195" s="1" t="s">
        <v>20</v>
      </c>
      <c r="E195" s="7" t="s">
        <v>405</v>
      </c>
      <c r="F195" s="7" t="s">
        <v>406</v>
      </c>
      <c r="G195" s="7" t="s">
        <v>398</v>
      </c>
      <c r="H195" s="1" t="s">
        <v>340</v>
      </c>
      <c r="I195" s="7" t="s">
        <v>399</v>
      </c>
      <c r="J195" s="1" t="str">
        <f aca="false">MID(E195,1,FIND("°",E195,1)-1)</f>
        <v>15</v>
      </c>
      <c r="K195" s="1" t="str">
        <f aca="false">MID(E195,FIND("°",E195,1)+1,(FIND("′",E195,1)-FIND("°",E195,1))-1)</f>
        <v>58</v>
      </c>
      <c r="L195" s="1" t="str">
        <f aca="false">MID(E195,FIND("′",E195,1)+1,(FIND("″",E195,1)-FIND("′",E195,1))-1)</f>
        <v>47</v>
      </c>
      <c r="M195" s="1" t="str">
        <f aca="false">MID(F195,1,FIND("°",F195,1)-1)</f>
        <v>87</v>
      </c>
      <c r="N195" s="1" t="str">
        <f aca="false">MID(F195,FIND("°",F195,1)+1,(FIND("′",F195,1)-FIND("°",F195,1))-1)</f>
        <v>42</v>
      </c>
      <c r="O195" s="1" t="str">
        <f aca="false">MID(F195,FIND("′",F195,1)+1,(FIND("″",F195,1)-FIND("′",F195,1))-1)</f>
        <v>42</v>
      </c>
      <c r="P195" s="2" t="n">
        <f aca="false">((((L195/60)+K195)/60)+J195)*IF(C195="S",-1, 1)</f>
        <v>15.9797222222222</v>
      </c>
      <c r="Q195" s="2" t="n">
        <f aca="false">((((O195/60)+N195)/60)+M195)*IF(D195="W",-1, 1)</f>
        <v>-87.7116666666667</v>
      </c>
      <c r="R195" s="16" t="s">
        <v>400</v>
      </c>
    </row>
    <row r="196" customFormat="false" ht="15" hidden="false" customHeight="false" outlineLevel="0" collapsed="false">
      <c r="A196" s="1" t="n">
        <v>195</v>
      </c>
      <c r="B196" s="1" t="s">
        <v>18</v>
      </c>
      <c r="C196" s="1" t="s">
        <v>19</v>
      </c>
      <c r="D196" s="1" t="s">
        <v>20</v>
      </c>
      <c r="E196" s="7" t="s">
        <v>407</v>
      </c>
      <c r="F196" s="7" t="s">
        <v>408</v>
      </c>
      <c r="G196" s="7" t="s">
        <v>398</v>
      </c>
      <c r="H196" s="1" t="s">
        <v>340</v>
      </c>
      <c r="I196" s="7" t="s">
        <v>399</v>
      </c>
      <c r="J196" s="1" t="str">
        <f aca="false">MID(E196,1,FIND("°",E196,1)-1)</f>
        <v>16</v>
      </c>
      <c r="K196" s="1" t="str">
        <f aca="false">MID(E196,FIND("°",E196,1)+1,(FIND("′",E196,1)-FIND("°",E196,1))-1)</f>
        <v>54</v>
      </c>
      <c r="L196" s="1" t="str">
        <f aca="false">MID(E196,FIND("′",E196,1)+1,(FIND("″",E196,1)-FIND("′",E196,1))-1)</f>
        <v>33</v>
      </c>
      <c r="M196" s="1" t="str">
        <f aca="false">MID(F196,1,FIND("°",F196,1)-1)</f>
        <v>88</v>
      </c>
      <c r="N196" s="1" t="str">
        <f aca="false">MID(F196,FIND("°",F196,1)+1,(FIND("′",F196,1)-FIND("°",F196,1))-1)</f>
        <v>02</v>
      </c>
      <c r="O196" s="1" t="str">
        <f aca="false">MID(F196,FIND("′",F196,1)+1,(FIND("″",F196,1)-FIND("′",F196,1))-1)</f>
        <v>54</v>
      </c>
      <c r="P196" s="2" t="n">
        <f aca="false">((((L196/60)+K196)/60)+J196)*IF(C196="S",-1, 1)</f>
        <v>16.9091666666667</v>
      </c>
      <c r="Q196" s="2" t="n">
        <f aca="false">((((O196/60)+N196)/60)+M196)*IF(D196="W",-1, 1)</f>
        <v>-88.0483333333333</v>
      </c>
      <c r="R196" s="16" t="s">
        <v>400</v>
      </c>
    </row>
    <row r="197" customFormat="false" ht="15" hidden="false" customHeight="false" outlineLevel="0" collapsed="false">
      <c r="A197" s="1" t="n">
        <v>196</v>
      </c>
      <c r="B197" s="1" t="s">
        <v>18</v>
      </c>
      <c r="C197" s="1" t="s">
        <v>19</v>
      </c>
      <c r="D197" s="1" t="s">
        <v>20</v>
      </c>
      <c r="E197" s="7" t="s">
        <v>409</v>
      </c>
      <c r="F197" s="7" t="s">
        <v>410</v>
      </c>
      <c r="G197" s="7" t="s">
        <v>398</v>
      </c>
      <c r="H197" s="1" t="s">
        <v>340</v>
      </c>
      <c r="I197" s="7" t="s">
        <v>411</v>
      </c>
      <c r="J197" s="1" t="str">
        <f aca="false">MID(E197,1,FIND("°",E197,1)-1)</f>
        <v>21</v>
      </c>
      <c r="K197" s="1" t="str">
        <f aca="false">MID(E197,FIND("°",E197,1)+1,(FIND("′",E197,1)-FIND("°",E197,1))-1)</f>
        <v>36</v>
      </c>
      <c r="L197" s="1" t="str">
        <f aca="false">MID(E197,FIND("′",E197,1)+1,(FIND("″",E197,1)-FIND("′",E197,1))-1)</f>
        <v>45</v>
      </c>
      <c r="M197" s="1" t="str">
        <f aca="false">MID(F197,1,FIND("°",F197,1)-1)</f>
        <v>89</v>
      </c>
      <c r="N197" s="1" t="str">
        <f aca="false">MID(F197,FIND("°",F197,1)+1,(FIND("′",F197,1)-FIND("°",F197,1))-1)</f>
        <v>31</v>
      </c>
      <c r="O197" s="1" t="str">
        <f aca="false">MID(F197,FIND("′",F197,1)+1,(FIND("″",F197,1)-FIND("′",F197,1))-1)</f>
        <v>40</v>
      </c>
      <c r="P197" s="2" t="n">
        <f aca="false">((((L197/60)+K197)/60)+J197)*IF(C197="S",-1, 1)</f>
        <v>21.6125</v>
      </c>
      <c r="Q197" s="2" t="n">
        <f aca="false">((((O197/60)+N197)/60)+M197)*IF(D197="W",-1, 1)</f>
        <v>-89.5277777777778</v>
      </c>
      <c r="R197" s="16" t="s">
        <v>400</v>
      </c>
    </row>
    <row r="198" customFormat="false" ht="15" hidden="false" customHeight="false" outlineLevel="0" collapsed="false">
      <c r="A198" s="1" t="n">
        <v>197</v>
      </c>
      <c r="B198" s="1" t="s">
        <v>18</v>
      </c>
      <c r="C198" s="1" t="s">
        <v>19</v>
      </c>
      <c r="D198" s="1" t="s">
        <v>20</v>
      </c>
      <c r="E198" s="7" t="s">
        <v>412</v>
      </c>
      <c r="F198" s="7" t="s">
        <v>413</v>
      </c>
      <c r="G198" s="7" t="s">
        <v>398</v>
      </c>
      <c r="H198" s="1" t="s">
        <v>340</v>
      </c>
      <c r="I198" s="7" t="s">
        <v>411</v>
      </c>
      <c r="J198" s="1" t="str">
        <f aca="false">MID(E198,1,FIND("°",E198,1)-1)</f>
        <v>19</v>
      </c>
      <c r="K198" s="1" t="str">
        <f aca="false">MID(E198,FIND("°",E198,1)+1,(FIND("′",E198,1)-FIND("°",E198,1))-1)</f>
        <v>16</v>
      </c>
      <c r="L198" s="1" t="str">
        <f aca="false">MID(E198,FIND("′",E198,1)+1,(FIND("″",E198,1)-FIND("′",E198,1))-1)</f>
        <v>24</v>
      </c>
      <c r="M198" s="1" t="str">
        <f aca="false">MID(F198,1,FIND("°",F198,1)-1)</f>
        <v>81</v>
      </c>
      <c r="N198" s="1" t="str">
        <f aca="false">MID(F198,FIND("°",F198,1)+1,(FIND("′",F198,1)-FIND("°",F198,1))-1)</f>
        <v>14</v>
      </c>
      <c r="O198" s="1" t="str">
        <f aca="false">MID(F198,FIND("′",F198,1)+1,(FIND("″",F198,1)-FIND("′",F198,1))-1)</f>
        <v>12</v>
      </c>
      <c r="P198" s="2" t="n">
        <f aca="false">((((L198/60)+K198)/60)+J198)*IF(C198="S",-1, 1)</f>
        <v>19.2733333333333</v>
      </c>
      <c r="Q198" s="2" t="n">
        <f aca="false">((((O198/60)+N198)/60)+M198)*IF(D198="W",-1, 1)</f>
        <v>-81.2366666666667</v>
      </c>
      <c r="R198" s="16" t="s">
        <v>400</v>
      </c>
    </row>
    <row r="199" customFormat="false" ht="15" hidden="false" customHeight="false" outlineLevel="0" collapsed="false">
      <c r="A199" s="1" t="n">
        <v>198</v>
      </c>
      <c r="B199" s="1" t="s">
        <v>18</v>
      </c>
      <c r="C199" s="1" t="s">
        <v>19</v>
      </c>
      <c r="D199" s="1" t="s">
        <v>20</v>
      </c>
      <c r="E199" s="7" t="s">
        <v>414</v>
      </c>
      <c r="F199" s="7" t="s">
        <v>415</v>
      </c>
      <c r="G199" s="7" t="s">
        <v>398</v>
      </c>
      <c r="H199" s="1" t="s">
        <v>340</v>
      </c>
      <c r="I199" s="7" t="s">
        <v>411</v>
      </c>
      <c r="J199" s="1" t="str">
        <f aca="false">MID(E199,1,FIND("°",E199,1)-1)</f>
        <v>19</v>
      </c>
      <c r="K199" s="1" t="str">
        <f aca="false">MID(E199,FIND("°",E199,1)+1,(FIND("′",E199,1)-FIND("°",E199,1))-1)</f>
        <v>40</v>
      </c>
      <c r="L199" s="1" t="str">
        <f aca="false">MID(E199,FIND("′",E199,1)+1,(FIND("″",E199,1)-FIND("′",E199,1))-1)</f>
        <v>37</v>
      </c>
      <c r="M199" s="1" t="str">
        <f aca="false">MID(F199,1,FIND("°",F199,1)-1)</f>
        <v>80</v>
      </c>
      <c r="N199" s="1" t="str">
        <f aca="false">MID(F199,FIND("°",F199,1)+1,(FIND("′",F199,1)-FIND("°",F199,1))-1)</f>
        <v>01</v>
      </c>
      <c r="O199" s="1" t="str">
        <f aca="false">MID(F199,FIND("′",F199,1)+1,(FIND("″",F199,1)-FIND("′",F199,1))-1)</f>
        <v>17</v>
      </c>
      <c r="P199" s="2" t="n">
        <f aca="false">((((L199/60)+K199)/60)+J199)*IF(C199="S",-1, 1)</f>
        <v>19.6769444444444</v>
      </c>
      <c r="Q199" s="2" t="n">
        <f aca="false">((((O199/60)+N199)/60)+M199)*IF(D199="W",-1, 1)</f>
        <v>-80.0213888888889</v>
      </c>
      <c r="R199" s="16" t="s">
        <v>400</v>
      </c>
    </row>
    <row r="200" customFormat="false" ht="15" hidden="false" customHeight="false" outlineLevel="0" collapsed="false">
      <c r="A200" s="1" t="n">
        <v>199</v>
      </c>
      <c r="B200" s="1" t="s">
        <v>18</v>
      </c>
      <c r="C200" s="1" t="s">
        <v>19</v>
      </c>
      <c r="D200" s="1" t="s">
        <v>20</v>
      </c>
      <c r="E200" s="7" t="s">
        <v>416</v>
      </c>
      <c r="F200" s="7" t="s">
        <v>417</v>
      </c>
      <c r="G200" s="7" t="s">
        <v>398</v>
      </c>
      <c r="H200" s="1" t="s">
        <v>340</v>
      </c>
      <c r="I200" s="7" t="s">
        <v>411</v>
      </c>
      <c r="J200" s="1" t="str">
        <f aca="false">MID(E200,1,FIND("°",E200,1)-1)</f>
        <v>19</v>
      </c>
      <c r="K200" s="1" t="str">
        <f aca="false">MID(E200,FIND("°",E200,1)+1,(FIND("′",E200,1)-FIND("°",E200,1))-1)</f>
        <v>53</v>
      </c>
      <c r="L200" s="1" t="str">
        <f aca="false">MID(E200,FIND("′",E200,1)+1,(FIND("″",E200,1)-FIND("′",E200,1))-1)</f>
        <v>57</v>
      </c>
      <c r="M200" s="1" t="str">
        <f aca="false">MID(F200,1,FIND("°",F200,1)-1)</f>
        <v>75</v>
      </c>
      <c r="N200" s="1" t="str">
        <f aca="false">MID(F200,FIND("°",F200,1)+1,(FIND("′",F200,1)-FIND("°",F200,1))-1)</f>
        <v>00</v>
      </c>
      <c r="O200" s="1" t="str">
        <f aca="false">MID(F200,FIND("′",F200,1)+1,(FIND("″",F200,1)-FIND("′",F200,1))-1)</f>
        <v>52</v>
      </c>
      <c r="P200" s="2" t="n">
        <f aca="false">((((L200/60)+K200)/60)+J200)*IF(C200="S",-1, 1)</f>
        <v>19.8991666666667</v>
      </c>
      <c r="Q200" s="2" t="n">
        <f aca="false">((((O200/60)+N200)/60)+M200)*IF(D200="W",-1, 1)</f>
        <v>-75.0144444444445</v>
      </c>
      <c r="R200" s="16" t="s">
        <v>400</v>
      </c>
    </row>
    <row r="201" customFormat="false" ht="15" hidden="false" customHeight="false" outlineLevel="0" collapsed="false">
      <c r="A201" s="1" t="n">
        <v>200</v>
      </c>
      <c r="B201" s="1" t="s">
        <v>18</v>
      </c>
      <c r="C201" s="1" t="s">
        <v>19</v>
      </c>
      <c r="D201" s="1" t="s">
        <v>20</v>
      </c>
      <c r="E201" s="7" t="s">
        <v>418</v>
      </c>
      <c r="F201" s="7" t="s">
        <v>419</v>
      </c>
      <c r="G201" s="7" t="s">
        <v>398</v>
      </c>
      <c r="H201" s="1" t="s">
        <v>340</v>
      </c>
      <c r="I201" s="7" t="s">
        <v>411</v>
      </c>
      <c r="J201" s="1" t="str">
        <f aca="false">MID(E201,1,FIND("°",E201,1)-1)</f>
        <v>18</v>
      </c>
      <c r="K201" s="1" t="str">
        <f aca="false">MID(E201,FIND("°",E201,1)+1,(FIND("′",E201,1)-FIND("°",E201,1))-1)</f>
        <v>21</v>
      </c>
      <c r="L201" s="1" t="str">
        <f aca="false">MID(E201,FIND("′",E201,1)+1,(FIND("″",E201,1)-FIND("′",E201,1))-1)</f>
        <v>10</v>
      </c>
      <c r="M201" s="1" t="str">
        <f aca="false">MID(F201,1,FIND("°",F201,1)-1)</f>
        <v>69</v>
      </c>
      <c r="N201" s="1" t="str">
        <f aca="false">MID(F201,FIND("°",F201,1)+1,(FIND("′",F201,1)-FIND("°",F201,1))-1)</f>
        <v>52</v>
      </c>
      <c r="O201" s="1" t="str">
        <f aca="false">MID(F201,FIND("′",F201,1)+1,(FIND("″",F201,1)-FIND("′",F201,1))-1)</f>
        <v>10</v>
      </c>
      <c r="P201" s="2" t="n">
        <f aca="false">((((L201/60)+K201)/60)+J201)*IF(C201="S",-1, 1)</f>
        <v>18.3527777777778</v>
      </c>
      <c r="Q201" s="2" t="n">
        <f aca="false">((((O201/60)+N201)/60)+M201)*IF(D201="W",-1, 1)</f>
        <v>-69.8694444444444</v>
      </c>
      <c r="R201" s="16" t="s">
        <v>400</v>
      </c>
    </row>
    <row r="202" customFormat="false" ht="15" hidden="false" customHeight="false" outlineLevel="0" collapsed="false">
      <c r="A202" s="1" t="n">
        <v>201</v>
      </c>
      <c r="B202" s="1" t="s">
        <v>18</v>
      </c>
      <c r="C202" s="1" t="s">
        <v>19</v>
      </c>
      <c r="D202" s="1" t="s">
        <v>20</v>
      </c>
      <c r="E202" s="7" t="s">
        <v>420</v>
      </c>
      <c r="F202" s="7" t="s">
        <v>421</v>
      </c>
      <c r="G202" s="7" t="s">
        <v>398</v>
      </c>
      <c r="H202" s="1" t="s">
        <v>340</v>
      </c>
      <c r="I202" s="7" t="s">
        <v>411</v>
      </c>
      <c r="J202" s="1" t="str">
        <f aca="false">MID(E202,1,FIND("°",E202,1)-1)</f>
        <v>19</v>
      </c>
      <c r="K202" s="1" t="str">
        <f aca="false">MID(E202,FIND("°",E202,1)+1,(FIND("′",E202,1)-FIND("°",E202,1))-1)</f>
        <v>42</v>
      </c>
      <c r="L202" s="1" t="str">
        <f aca="false">MID(E202,FIND("′",E202,1)+1,(FIND("″",E202,1)-FIND("′",E202,1))-1)</f>
        <v>37</v>
      </c>
      <c r="M202" s="1" t="str">
        <f aca="false">MID(F202,1,FIND("°",F202,1)-1)</f>
        <v>70</v>
      </c>
      <c r="N202" s="1" t="str">
        <f aca="false">MID(F202,FIND("°",F202,1)+1,(FIND("′",F202,1)-FIND("°",F202,1))-1)</f>
        <v>03</v>
      </c>
      <c r="O202" s="1" t="str">
        <f aca="false">MID(F202,FIND("′",F202,1)+1,(FIND("″",F202,1)-FIND("′",F202,1))-1)</f>
        <v>14</v>
      </c>
      <c r="P202" s="2" t="n">
        <f aca="false">((((L202/60)+K202)/60)+J202)*IF(C202="S",-1, 1)</f>
        <v>19.7102777777778</v>
      </c>
      <c r="Q202" s="2" t="n">
        <f aca="false">((((O202/60)+N202)/60)+M202)*IF(D202="W",-1, 1)</f>
        <v>-70.0538888888889</v>
      </c>
      <c r="R202" s="16" t="s">
        <v>400</v>
      </c>
    </row>
    <row r="203" customFormat="false" ht="15" hidden="false" customHeight="false" outlineLevel="0" collapsed="false">
      <c r="A203" s="1" t="n">
        <v>202</v>
      </c>
      <c r="B203" s="1" t="s">
        <v>18</v>
      </c>
      <c r="C203" s="1" t="s">
        <v>19</v>
      </c>
      <c r="D203" s="1" t="s">
        <v>20</v>
      </c>
      <c r="E203" s="7" t="s">
        <v>422</v>
      </c>
      <c r="F203" s="7" t="s">
        <v>423</v>
      </c>
      <c r="G203" s="7" t="s">
        <v>398</v>
      </c>
      <c r="H203" s="1" t="s">
        <v>340</v>
      </c>
      <c r="I203" s="7" t="s">
        <v>411</v>
      </c>
      <c r="J203" s="1" t="str">
        <f aca="false">MID(E203,1,FIND("°",E203,1)-1)</f>
        <v>17</v>
      </c>
      <c r="K203" s="1" t="str">
        <f aca="false">MID(E203,FIND("°",E203,1)+1,(FIND("′",E203,1)-FIND("°",E203,1))-1)</f>
        <v>55</v>
      </c>
      <c r="L203" s="1" t="str">
        <f aca="false">MID(E203,FIND("′",E203,1)+1,(FIND("″",E203,1)-FIND("′",E203,1))-1)</f>
        <v>50</v>
      </c>
      <c r="M203" s="1" t="str">
        <f aca="false">MID(F203,1,FIND("°",F203,1)-1)</f>
        <v>66</v>
      </c>
      <c r="N203" s="1" t="str">
        <f aca="false">MID(F203,FIND("°",F203,1)+1,(FIND("′",F203,1)-FIND("°",F203,1))-1)</f>
        <v>21</v>
      </c>
      <c r="O203" s="1" t="str">
        <f aca="false">MID(F203,FIND("′",F203,1)+1,(FIND("″",F203,1)-FIND("′",F203,1))-1)</f>
        <v>14</v>
      </c>
      <c r="P203" s="2" t="n">
        <f aca="false">((((L203/60)+K203)/60)+J203)*IF(C203="S",-1, 1)</f>
        <v>17.9305555555556</v>
      </c>
      <c r="Q203" s="2" t="n">
        <f aca="false">((((O203/60)+N203)/60)+M203)*IF(D203="W",-1, 1)</f>
        <v>-66.3538888888889</v>
      </c>
      <c r="R203" s="16" t="s">
        <v>400</v>
      </c>
    </row>
    <row r="204" customFormat="false" ht="15" hidden="false" customHeight="false" outlineLevel="0" collapsed="false">
      <c r="A204" s="1" t="n">
        <v>203</v>
      </c>
      <c r="B204" s="1" t="s">
        <v>18</v>
      </c>
      <c r="C204" s="1" t="s">
        <v>19</v>
      </c>
      <c r="D204" s="1" t="s">
        <v>20</v>
      </c>
      <c r="E204" s="7" t="s">
        <v>424</v>
      </c>
      <c r="F204" s="7" t="s">
        <v>425</v>
      </c>
      <c r="G204" s="7" t="s">
        <v>398</v>
      </c>
      <c r="H204" s="1" t="s">
        <v>340</v>
      </c>
      <c r="I204" s="7" t="s">
        <v>426</v>
      </c>
      <c r="J204" s="1" t="str">
        <f aca="false">MID(E204,1,FIND("°",E204,1)-1)</f>
        <v>17</v>
      </c>
      <c r="K204" s="1" t="str">
        <f aca="false">MID(E204,FIND("°",E204,1)+1,(FIND("′",E204,1)-FIND("°",E204,1))-1)</f>
        <v>15</v>
      </c>
      <c r="L204" s="1" t="str">
        <f aca="false">MID(E204,FIND("′",E204,1)+1,(FIND("″",E204,1)-FIND("′",E204,1))-1)</f>
        <v>20</v>
      </c>
      <c r="M204" s="1" t="str">
        <f aca="false">MID(F204,1,FIND("°",F204,1)-1)</f>
        <v>62</v>
      </c>
      <c r="N204" s="1" t="str">
        <f aca="false">MID(F204,FIND("°",F204,1)+1,(FIND("′",F204,1)-FIND("°",F204,1))-1)</f>
        <v>42</v>
      </c>
      <c r="O204" s="1" t="str">
        <f aca="false">MID(F204,FIND("′",F204,1)+1,(FIND("″",F204,1)-FIND("′",F204,1))-1)</f>
        <v>40</v>
      </c>
      <c r="P204" s="2" t="n">
        <f aca="false">((((L204/60)+K204)/60)+J204)*IF(C204="S",-1, 1)</f>
        <v>17.2555555555556</v>
      </c>
      <c r="Q204" s="2" t="n">
        <f aca="false">((((O204/60)+N204)/60)+M204)*IF(D204="W",-1, 1)</f>
        <v>-62.7111111111111</v>
      </c>
      <c r="R204" s="16" t="s">
        <v>400</v>
      </c>
    </row>
    <row r="205" customFormat="false" ht="15" hidden="false" customHeight="false" outlineLevel="0" collapsed="false">
      <c r="A205" s="1" t="n">
        <v>204</v>
      </c>
      <c r="B205" s="1" t="s">
        <v>18</v>
      </c>
      <c r="C205" s="1" t="s">
        <v>19</v>
      </c>
      <c r="D205" s="1" t="s">
        <v>20</v>
      </c>
      <c r="E205" s="7" t="s">
        <v>427</v>
      </c>
      <c r="F205" s="7" t="s">
        <v>428</v>
      </c>
      <c r="G205" s="7" t="s">
        <v>398</v>
      </c>
      <c r="H205" s="1" t="s">
        <v>340</v>
      </c>
      <c r="I205" s="7" t="s">
        <v>426</v>
      </c>
      <c r="J205" s="1" t="str">
        <f aca="false">MID(E205,1,FIND("°",E205,1)-1)</f>
        <v>14</v>
      </c>
      <c r="K205" s="1" t="str">
        <f aca="false">MID(E205,FIND("°",E205,1)+1,(FIND("′",E205,1)-FIND("°",E205,1))-1)</f>
        <v>33</v>
      </c>
      <c r="L205" s="1" t="str">
        <f aca="false">MID(E205,FIND("′",E205,1)+1,(FIND("″",E205,1)-FIND("′",E205,1))-1)</f>
        <v>56</v>
      </c>
      <c r="M205" s="1" t="str">
        <f aca="false">MID(F205,1,FIND("°",F205,1)-1)</f>
        <v>61</v>
      </c>
      <c r="N205" s="1" t="str">
        <f aca="false">MID(F205,FIND("°",F205,1)+1,(FIND("′",F205,1)-FIND("°",F205,1))-1)</f>
        <v>03</v>
      </c>
      <c r="O205" s="1" t="str">
        <f aca="false">MID(F205,FIND("′",F205,1)+1,(FIND("″",F205,1)-FIND("′",F205,1))-1)</f>
        <v>00</v>
      </c>
      <c r="P205" s="2" t="n">
        <f aca="false">((((L205/60)+K205)/60)+J205)*IF(C205="S",-1, 1)</f>
        <v>14.5655555555556</v>
      </c>
      <c r="Q205" s="2" t="n">
        <f aca="false">((((O205/60)+N205)/60)+M205)*IF(D205="W",-1, 1)</f>
        <v>-61.05</v>
      </c>
      <c r="R205" s="16" t="s">
        <v>400</v>
      </c>
    </row>
    <row r="206" customFormat="false" ht="15" hidden="false" customHeight="false" outlineLevel="0" collapsed="false">
      <c r="A206" s="1" t="n">
        <v>205</v>
      </c>
      <c r="B206" s="1" t="s">
        <v>18</v>
      </c>
      <c r="C206" s="1" t="s">
        <v>19</v>
      </c>
      <c r="D206" s="1" t="s">
        <v>20</v>
      </c>
      <c r="E206" s="7" t="s">
        <v>429</v>
      </c>
      <c r="F206" s="7" t="s">
        <v>430</v>
      </c>
      <c r="G206" s="7" t="s">
        <v>398</v>
      </c>
      <c r="H206" s="1" t="s">
        <v>340</v>
      </c>
      <c r="I206" s="7" t="s">
        <v>426</v>
      </c>
      <c r="J206" s="1" t="str">
        <f aca="false">MID(E206,1,FIND("°",E206,1)-1)</f>
        <v>11</v>
      </c>
      <c r="K206" s="1" t="str">
        <f aca="false">MID(E206,FIND("°",E206,1)+1,(FIND("′",E206,1)-FIND("°",E206,1))-1)</f>
        <v>03</v>
      </c>
      <c r="L206" s="1" t="str">
        <f aca="false">MID(E206,FIND("′",E206,1)+1,(FIND("″",E206,1)-FIND("′",E206,1))-1)</f>
        <v>46</v>
      </c>
      <c r="M206" s="1" t="str">
        <f aca="false">MID(F206,1,FIND("°",F206,1)-1)</f>
        <v>64</v>
      </c>
      <c r="N206" s="1" t="str">
        <f aca="false">MID(F206,FIND("°",F206,1)+1,(FIND("′",F206,1)-FIND("°",F206,1))-1)</f>
        <v>01</v>
      </c>
      <c r="O206" s="1" t="str">
        <f aca="false">MID(F206,FIND("′",F206,1)+1,(FIND("″",F206,1)-FIND("′",F206,1))-1)</f>
        <v>30</v>
      </c>
      <c r="P206" s="2" t="n">
        <f aca="false">((((L206/60)+K206)/60)+J206)*IF(C206="S",-1, 1)</f>
        <v>11.0627777777778</v>
      </c>
      <c r="Q206" s="2" t="n">
        <f aca="false">((((O206/60)+N206)/60)+M206)*IF(D206="W",-1, 1)</f>
        <v>-64.025</v>
      </c>
      <c r="R206" s="16" t="s">
        <v>400</v>
      </c>
    </row>
    <row r="207" customFormat="false" ht="15" hidden="false" customHeight="false" outlineLevel="0" collapsed="false">
      <c r="A207" s="1" t="n">
        <v>206</v>
      </c>
      <c r="B207" s="1" t="s">
        <v>18</v>
      </c>
      <c r="C207" s="1" t="s">
        <v>19</v>
      </c>
      <c r="D207" s="1" t="s">
        <v>20</v>
      </c>
      <c r="E207" s="7" t="s">
        <v>431</v>
      </c>
      <c r="F207" s="7" t="s">
        <v>432</v>
      </c>
      <c r="G207" s="7" t="s">
        <v>398</v>
      </c>
      <c r="H207" s="1" t="s">
        <v>340</v>
      </c>
      <c r="I207" s="7" t="s">
        <v>426</v>
      </c>
      <c r="J207" s="1" t="str">
        <f aca="false">MID(E207,1,FIND("°",E207,1)-1)</f>
        <v>10</v>
      </c>
      <c r="K207" s="1" t="str">
        <f aca="false">MID(E207,FIND("°",E207,1)+1,(FIND("′",E207,1)-FIND("°",E207,1))-1)</f>
        <v>57</v>
      </c>
      <c r="L207" s="1" t="str">
        <f aca="false">MID(E207,FIND("′",E207,1)+1,(FIND("″",E207,1)-FIND("′",E207,1))-1)</f>
        <v>51</v>
      </c>
      <c r="M207" s="1" t="str">
        <f aca="false">MID(F207,1,FIND("°",F207,1)-1)</f>
        <v>65</v>
      </c>
      <c r="N207" s="1" t="str">
        <f aca="false">MID(F207,FIND("°",F207,1)+1,(FIND("′",F207,1)-FIND("°",F207,1))-1)</f>
        <v>15</v>
      </c>
      <c r="O207" s="1" t="str">
        <f aca="false">MID(F207,FIND("′",F207,1)+1,(FIND("″",F207,1)-FIND("′",F207,1))-1)</f>
        <v>53</v>
      </c>
      <c r="P207" s="2" t="n">
        <f aca="false">((((L207/60)+K207)/60)+J207)*IF(C207="S",-1, 1)</f>
        <v>10.9641666666667</v>
      </c>
      <c r="Q207" s="2" t="n">
        <f aca="false">((((O207/60)+N207)/60)+M207)*IF(D207="W",-1, 1)</f>
        <v>-65.2647222222222</v>
      </c>
      <c r="R207" s="16" t="s">
        <v>400</v>
      </c>
    </row>
    <row r="208" customFormat="false" ht="15" hidden="false" customHeight="false" outlineLevel="0" collapsed="false">
      <c r="A208" s="1" t="n">
        <v>207</v>
      </c>
      <c r="B208" s="1" t="s">
        <v>18</v>
      </c>
      <c r="C208" s="1" t="s">
        <v>19</v>
      </c>
      <c r="D208" s="1" t="s">
        <v>20</v>
      </c>
      <c r="E208" s="7" t="s">
        <v>433</v>
      </c>
      <c r="F208" s="7" t="s">
        <v>434</v>
      </c>
      <c r="G208" s="7" t="s">
        <v>398</v>
      </c>
      <c r="H208" s="1" t="s">
        <v>340</v>
      </c>
      <c r="I208" s="7" t="s">
        <v>426</v>
      </c>
      <c r="J208" s="1" t="str">
        <f aca="false">MID(E208,1,FIND("°",E208,1)-1)</f>
        <v>12</v>
      </c>
      <c r="K208" s="1" t="str">
        <f aca="false">MID(E208,FIND("°",E208,1)+1,(FIND("′",E208,1)-FIND("°",E208,1))-1)</f>
        <v>02</v>
      </c>
      <c r="L208" s="1" t="str">
        <f aca="false">MID(E208,FIND("′",E208,1)+1,(FIND("″",E208,1)-FIND("′",E208,1))-1)</f>
        <v>08</v>
      </c>
      <c r="M208" s="1" t="str">
        <f aca="false">MID(F208,1,FIND("°",F208,1)-1)</f>
        <v>68</v>
      </c>
      <c r="N208" s="1" t="str">
        <f aca="false">MID(F208,FIND("°",F208,1)+1,(FIND("′",F208,1)-FIND("°",F208,1))-1)</f>
        <v>49</v>
      </c>
      <c r="O208" s="1" t="str">
        <f aca="false">MID(F208,FIND("′",F208,1)+1,(FIND("″",F208,1)-FIND("′",F208,1))-1)</f>
        <v>30</v>
      </c>
      <c r="P208" s="2" t="n">
        <f aca="false">((((L208/60)+K208)/60)+J208)*IF(C208="S",-1, 1)</f>
        <v>12.0355555555556</v>
      </c>
      <c r="Q208" s="2" t="n">
        <f aca="false">((((O208/60)+N208)/60)+M208)*IF(D208="W",-1, 1)</f>
        <v>-68.825</v>
      </c>
      <c r="R208" s="16" t="s">
        <v>400</v>
      </c>
    </row>
    <row r="209" customFormat="false" ht="15" hidden="false" customHeight="false" outlineLevel="0" collapsed="false">
      <c r="A209" s="1" t="n">
        <v>208</v>
      </c>
      <c r="B209" s="1" t="s">
        <v>18</v>
      </c>
      <c r="C209" s="1" t="s">
        <v>19</v>
      </c>
      <c r="D209" s="1" t="s">
        <v>20</v>
      </c>
      <c r="E209" s="7" t="s">
        <v>435</v>
      </c>
      <c r="F209" s="7" t="s">
        <v>436</v>
      </c>
      <c r="G209" s="7" t="s">
        <v>398</v>
      </c>
      <c r="H209" s="1" t="s">
        <v>340</v>
      </c>
      <c r="I209" s="7" t="s">
        <v>426</v>
      </c>
      <c r="J209" s="1" t="str">
        <f aca="false">MID(E209,1,FIND("°",E209,1)-1)</f>
        <v>12</v>
      </c>
      <c r="K209" s="1" t="str">
        <f aca="false">MID(E209,FIND("°",E209,1)+1,(FIND("′",E209,1)-FIND("°",E209,1))-1)</f>
        <v>22</v>
      </c>
      <c r="L209" s="1" t="str">
        <f aca="false">MID(E209,FIND("′",E209,1)+1,(FIND("″",E209,1)-FIND("′",E209,1))-1)</f>
        <v>32</v>
      </c>
      <c r="M209" s="1" t="str">
        <f aca="false">MID(F209,1,FIND("°",F209,1)-1)</f>
        <v>69</v>
      </c>
      <c r="N209" s="1" t="str">
        <f aca="false">MID(F209,FIND("°",F209,1)+1,(FIND("′",F209,1)-FIND("°",F209,1))-1)</f>
        <v>06</v>
      </c>
      <c r="O209" s="1" t="str">
        <f aca="false">MID(F209,FIND("′",F209,1)+1,(FIND("″",F209,1)-FIND("′",F209,1))-1)</f>
        <v>45</v>
      </c>
      <c r="P209" s="2" t="n">
        <f aca="false">((((L209/60)+K209)/60)+J209)*IF(C209="S",-1, 1)</f>
        <v>12.3755555555556</v>
      </c>
      <c r="Q209" s="2" t="n">
        <f aca="false">((((O209/60)+N209)/60)+M209)*IF(D209="W",-1, 1)</f>
        <v>-69.1125</v>
      </c>
      <c r="R209" s="16" t="s">
        <v>400</v>
      </c>
    </row>
    <row r="210" customFormat="false" ht="15" hidden="false" customHeight="false" outlineLevel="0" collapsed="false">
      <c r="A210" s="1" t="n">
        <v>209</v>
      </c>
      <c r="B210" s="1" t="s">
        <v>18</v>
      </c>
      <c r="C210" s="1" t="s">
        <v>19</v>
      </c>
      <c r="D210" s="1" t="s">
        <v>20</v>
      </c>
      <c r="E210" s="7" t="s">
        <v>437</v>
      </c>
      <c r="F210" s="7" t="s">
        <v>438</v>
      </c>
      <c r="G210" s="7" t="s">
        <v>398</v>
      </c>
      <c r="H210" s="1" t="s">
        <v>340</v>
      </c>
      <c r="I210" s="7" t="s">
        <v>439</v>
      </c>
      <c r="J210" s="1" t="str">
        <f aca="false">MID(E210,1,FIND("°",E210,1)-1)</f>
        <v>23</v>
      </c>
      <c r="K210" s="1" t="str">
        <f aca="false">MID(E210,FIND("°",E210,1)+1,(FIND("′",E210,1)-FIND("°",E210,1))-1)</f>
        <v>10</v>
      </c>
      <c r="L210" s="1" t="str">
        <f aca="false">MID(E210,FIND("′",E210,1)+1,(FIND("″",E210,1)-FIND("′",E210,1))-1)</f>
        <v>42</v>
      </c>
      <c r="M210" s="1" t="str">
        <f aca="false">MID(F210,1,FIND("°",F210,1)-1)</f>
        <v>75</v>
      </c>
      <c r="N210" s="1" t="str">
        <f aca="false">MID(F210,FIND("°",F210,1)+1,(FIND("′",F210,1)-FIND("°",F210,1))-1)</f>
        <v>04</v>
      </c>
      <c r="O210" s="1" t="str">
        <f aca="false">MID(F210,FIND("′",F210,1)+1,(FIND("″",F210,1)-FIND("′",F210,1))-1)</f>
        <v>08</v>
      </c>
      <c r="P210" s="2" t="n">
        <f aca="false">((((L210/60)+K210)/60)+J210)*IF(C210="S",-1, 1)</f>
        <v>23.1783333333333</v>
      </c>
      <c r="Q210" s="2" t="n">
        <f aca="false">((((O210/60)+N210)/60)+M210)*IF(D210="W",-1, 1)</f>
        <v>-75.0688888888889</v>
      </c>
      <c r="R210" s="16" t="s">
        <v>400</v>
      </c>
    </row>
    <row r="211" customFormat="false" ht="15" hidden="false" customHeight="false" outlineLevel="0" collapsed="false">
      <c r="A211" s="1" t="n">
        <v>210</v>
      </c>
      <c r="B211" s="1" t="s">
        <v>18</v>
      </c>
      <c r="C211" s="1" t="s">
        <v>19</v>
      </c>
      <c r="D211" s="1" t="s">
        <v>20</v>
      </c>
      <c r="E211" s="7" t="s">
        <v>440</v>
      </c>
      <c r="F211" s="7" t="s">
        <v>441</v>
      </c>
      <c r="G211" s="7" t="s">
        <v>398</v>
      </c>
      <c r="H211" s="1" t="s">
        <v>340</v>
      </c>
      <c r="I211" s="7" t="s">
        <v>439</v>
      </c>
      <c r="J211" s="1" t="str">
        <f aca="false">MID(E211,1,FIND("°",E211,1)-1)</f>
        <v>25</v>
      </c>
      <c r="K211" s="1" t="str">
        <f aca="false">MID(E211,FIND("°",E211,1)+1,(FIND("′",E211,1)-FIND("°",E211,1))-1)</f>
        <v>09</v>
      </c>
      <c r="L211" s="1" t="str">
        <f aca="false">MID(E211,FIND("′",E211,1)+1,(FIND("″",E211,1)-FIND("′",E211,1))-1)</f>
        <v>08</v>
      </c>
      <c r="M211" s="1" t="str">
        <f aca="false">MID(F211,1,FIND("°",F211,1)-1)</f>
        <v>76</v>
      </c>
      <c r="N211" s="1" t="str">
        <f aca="false">MID(F211,FIND("°",F211,1)+1,(FIND("′",F211,1)-FIND("°",F211,1))-1)</f>
        <v>07</v>
      </c>
      <c r="O211" s="1" t="str">
        <f aca="false">MID(F211,FIND("′",F211,1)+1,(FIND("″",F211,1)-FIND("′",F211,1))-1)</f>
        <v>55</v>
      </c>
      <c r="P211" s="2" t="n">
        <f aca="false">((((L211/60)+K211)/60)+J211)*IF(C211="S",-1, 1)</f>
        <v>25.1522222222222</v>
      </c>
      <c r="Q211" s="2" t="n">
        <f aca="false">((((O211/60)+N211)/60)+M211)*IF(D211="W",-1, 1)</f>
        <v>-76.1319444444444</v>
      </c>
      <c r="R211" s="16" t="s">
        <v>400</v>
      </c>
    </row>
    <row r="212" customFormat="false" ht="15" hidden="false" customHeight="false" outlineLevel="0" collapsed="false">
      <c r="A212" s="1" t="n">
        <v>211</v>
      </c>
      <c r="B212" s="1" t="s">
        <v>18</v>
      </c>
      <c r="C212" s="1" t="s">
        <v>19</v>
      </c>
      <c r="D212" s="1" t="s">
        <v>20</v>
      </c>
      <c r="E212" s="7" t="s">
        <v>442</v>
      </c>
      <c r="F212" s="7" t="s">
        <v>443</v>
      </c>
      <c r="G212" s="7" t="s">
        <v>398</v>
      </c>
      <c r="H212" s="1" t="s">
        <v>340</v>
      </c>
      <c r="I212" s="7" t="s">
        <v>439</v>
      </c>
      <c r="J212" s="1" t="str">
        <f aca="false">MID(E212,1,FIND("°",E212,1)-1)</f>
        <v>23</v>
      </c>
      <c r="K212" s="1" t="str">
        <f aca="false">MID(E212,FIND("°",E212,1)+1,(FIND("′",E212,1)-FIND("°",E212,1))-1)</f>
        <v>37</v>
      </c>
      <c r="L212" s="1" t="str">
        <f aca="false">MID(E212,FIND("′",E212,1)+1,(FIND("″",E212,1)-FIND("′",E212,1))-1)</f>
        <v>51</v>
      </c>
      <c r="M212" s="1" t="str">
        <f aca="false">MID(F212,1,FIND("°",F212,1)-1)</f>
        <v>77</v>
      </c>
      <c r="N212" s="1" t="str">
        <f aca="false">MID(F212,FIND("°",F212,1)+1,(FIND("′",F212,1)-FIND("°",F212,1))-1)</f>
        <v>40</v>
      </c>
      <c r="O212" s="1" t="str">
        <f aca="false">MID(F212,FIND("′",F212,1)+1,(FIND("″",F212,1)-FIND("′",F212,1))-1)</f>
        <v>56</v>
      </c>
      <c r="P212" s="2" t="n">
        <f aca="false">((((L212/60)+K212)/60)+J212)*IF(C212="S",-1, 1)</f>
        <v>23.6308333333333</v>
      </c>
      <c r="Q212" s="2" t="n">
        <f aca="false">((((O212/60)+N212)/60)+M212)*IF(D212="W",-1, 1)</f>
        <v>-77.6822222222222</v>
      </c>
      <c r="R212" s="16" t="s">
        <v>400</v>
      </c>
    </row>
    <row r="213" customFormat="false" ht="15" hidden="false" customHeight="false" outlineLevel="0" collapsed="false">
      <c r="A213" s="1" t="n">
        <v>212</v>
      </c>
      <c r="B213" s="1" t="s">
        <v>18</v>
      </c>
      <c r="C213" s="1" t="s">
        <v>19</v>
      </c>
      <c r="D213" s="1" t="s">
        <v>20</v>
      </c>
      <c r="E213" s="7" t="s">
        <v>444</v>
      </c>
      <c r="F213" s="7" t="s">
        <v>445</v>
      </c>
      <c r="G213" s="7" t="s">
        <v>398</v>
      </c>
      <c r="H213" s="1" t="s">
        <v>340</v>
      </c>
      <c r="I213" s="7" t="s">
        <v>439</v>
      </c>
      <c r="J213" s="1" t="str">
        <f aca="false">MID(E213,1,FIND("°",E213,1)-1)</f>
        <v>24</v>
      </c>
      <c r="K213" s="1" t="str">
        <f aca="false">MID(E213,FIND("°",E213,1)+1,(FIND("′",E213,1)-FIND("°",E213,1))-1)</f>
        <v>22</v>
      </c>
      <c r="L213" s="1" t="str">
        <f aca="false">MID(E213,FIND("′",E213,1)+1,(FIND("″",E213,1)-FIND("′",E213,1))-1)</f>
        <v>23</v>
      </c>
      <c r="M213" s="1" t="str">
        <f aca="false">MID(F213,1,FIND("°",F213,1)-1)</f>
        <v>78</v>
      </c>
      <c r="N213" s="1" t="str">
        <f aca="false">MID(F213,FIND("°",F213,1)+1,(FIND("′",F213,1)-FIND("°",F213,1))-1)</f>
        <v>08</v>
      </c>
      <c r="O213" s="1" t="str">
        <f aca="false">MID(F213,FIND("′",F213,1)+1,(FIND("″",F213,1)-FIND("′",F213,1))-1)</f>
        <v>46</v>
      </c>
      <c r="P213" s="2" t="n">
        <f aca="false">((((L213/60)+K213)/60)+J213)*IF(C213="S",-1, 1)</f>
        <v>24.3730555555556</v>
      </c>
      <c r="Q213" s="2" t="n">
        <f aca="false">((((O213/60)+N213)/60)+M213)*IF(D213="W",-1, 1)</f>
        <v>-78.1461111111111</v>
      </c>
      <c r="R213" s="16" t="s">
        <v>400</v>
      </c>
    </row>
    <row r="214" customFormat="false" ht="15" hidden="false" customHeight="false" outlineLevel="0" collapsed="false">
      <c r="A214" s="1" t="n">
        <v>213</v>
      </c>
      <c r="B214" s="1" t="s">
        <v>18</v>
      </c>
      <c r="C214" s="1" t="s">
        <v>19</v>
      </c>
      <c r="D214" s="1" t="s">
        <v>20</v>
      </c>
      <c r="E214" s="7" t="s">
        <v>446</v>
      </c>
      <c r="F214" s="7" t="s">
        <v>447</v>
      </c>
      <c r="G214" s="7" t="s">
        <v>398</v>
      </c>
      <c r="H214" s="1" t="s">
        <v>340</v>
      </c>
      <c r="I214" s="7" t="s">
        <v>439</v>
      </c>
      <c r="J214" s="1" t="str">
        <f aca="false">MID(E214,1,FIND("°",E214,1)-1)</f>
        <v>24</v>
      </c>
      <c r="K214" s="1" t="str">
        <f aca="false">MID(E214,FIND("°",E214,1)+1,(FIND("′",E214,1)-FIND("°",E214,1))-1)</f>
        <v>38</v>
      </c>
      <c r="L214" s="1" t="str">
        <f aca="false">MID(E214,FIND("′",E214,1)+1,(FIND("″",E214,1)-FIND("′",E214,1))-1)</f>
        <v>59</v>
      </c>
      <c r="M214" s="1" t="str">
        <f aca="false">MID(F214,1,FIND("°",F214,1)-1)</f>
        <v>78</v>
      </c>
      <c r="N214" s="1" t="str">
        <f aca="false">MID(F214,FIND("°",F214,1)+1,(FIND("′",F214,1)-FIND("°",F214,1))-1)</f>
        <v>29</v>
      </c>
      <c r="O214" s="1" t="str">
        <f aca="false">MID(F214,FIND("′",F214,1)+1,(FIND("″",F214,1)-FIND("′",F214,1))-1)</f>
        <v>17</v>
      </c>
      <c r="P214" s="2" t="n">
        <f aca="false">((((L214/60)+K214)/60)+J214)*IF(C214="S",-1, 1)</f>
        <v>24.6497222222222</v>
      </c>
      <c r="Q214" s="2" t="n">
        <f aca="false">((((O214/60)+N214)/60)+M214)*IF(D214="W",-1, 1)</f>
        <v>-78.4880555555556</v>
      </c>
      <c r="R214" s="16" t="s">
        <v>400</v>
      </c>
    </row>
    <row r="215" customFormat="false" ht="15" hidden="false" customHeight="false" outlineLevel="0" collapsed="false">
      <c r="A215" s="1" t="n">
        <v>214</v>
      </c>
      <c r="B215" s="1" t="s">
        <v>18</v>
      </c>
      <c r="C215" s="1" t="s">
        <v>19</v>
      </c>
      <c r="D215" s="1" t="s">
        <v>20</v>
      </c>
      <c r="E215" s="7" t="s">
        <v>448</v>
      </c>
      <c r="F215" s="7" t="s">
        <v>449</v>
      </c>
      <c r="G215" s="7" t="s">
        <v>398</v>
      </c>
      <c r="H215" s="1" t="s">
        <v>340</v>
      </c>
      <c r="I215" s="7" t="s">
        <v>439</v>
      </c>
      <c r="J215" s="1" t="str">
        <f aca="false">MID(E215,1,FIND("°",E215,1)-1)</f>
        <v>25</v>
      </c>
      <c r="K215" s="1" t="str">
        <f aca="false">MID(E215,FIND("°",E215,1)+1,(FIND("′",E215,1)-FIND("°",E215,1))-1)</f>
        <v>45</v>
      </c>
      <c r="L215" s="1" t="str">
        <f aca="false">MID(E215,FIND("′",E215,1)+1,(FIND("″",E215,1)-FIND("′",E215,1))-1)</f>
        <v>28</v>
      </c>
      <c r="M215" s="1" t="str">
        <f aca="false">MID(F215,1,FIND("°",F215,1)-1)</f>
        <v>77</v>
      </c>
      <c r="N215" s="1" t="str">
        <f aca="false">MID(F215,FIND("°",F215,1)+1,(FIND("′",F215,1)-FIND("°",F215,1))-1)</f>
        <v>52</v>
      </c>
      <c r="O215" s="1" t="str">
        <f aca="false">MID(F215,FIND("′",F215,1)+1,(FIND("″",F215,1)-FIND("′",F215,1))-1)</f>
        <v>41</v>
      </c>
      <c r="P215" s="2" t="n">
        <f aca="false">((((L215/60)+K215)/60)+J215)*IF(C215="S",-1, 1)</f>
        <v>25.7577777777778</v>
      </c>
      <c r="Q215" s="2" t="n">
        <f aca="false">((((O215/60)+N215)/60)+M215)*IF(D215="W",-1, 1)</f>
        <v>-77.8780555555556</v>
      </c>
      <c r="R215" s="16" t="s">
        <v>400</v>
      </c>
    </row>
    <row r="216" customFormat="false" ht="15" hidden="false" customHeight="false" outlineLevel="0" collapsed="false">
      <c r="A216" s="1" t="n">
        <v>215</v>
      </c>
      <c r="B216" s="1" t="s">
        <v>18</v>
      </c>
      <c r="C216" s="1" t="s">
        <v>19</v>
      </c>
      <c r="D216" s="1" t="s">
        <v>20</v>
      </c>
      <c r="E216" s="7" t="s">
        <v>450</v>
      </c>
      <c r="F216" s="7" t="s">
        <v>451</v>
      </c>
      <c r="G216" s="7" t="s">
        <v>398</v>
      </c>
      <c r="H216" s="1" t="s">
        <v>340</v>
      </c>
      <c r="I216" s="7" t="s">
        <v>439</v>
      </c>
      <c r="J216" s="1" t="str">
        <f aca="false">MID(E216,1,FIND("°",E216,1)-1)</f>
        <v>26</v>
      </c>
      <c r="K216" s="1" t="str">
        <f aca="false">MID(E216,FIND("°",E216,1)+1,(FIND("′",E216,1)-FIND("°",E216,1))-1)</f>
        <v>35</v>
      </c>
      <c r="L216" s="1" t="str">
        <f aca="false">MID(E216,FIND("′",E216,1)+1,(FIND("″",E216,1)-FIND("′",E216,1))-1)</f>
        <v>20</v>
      </c>
      <c r="M216" s="1" t="str">
        <f aca="false">MID(F216,1,FIND("°",F216,1)-1)</f>
        <v>78</v>
      </c>
      <c r="N216" s="1" t="str">
        <f aca="false">MID(F216,FIND("°",F216,1)+1,(FIND("′",F216,1)-FIND("°",F216,1))-1)</f>
        <v>43</v>
      </c>
      <c r="O216" s="1" t="str">
        <f aca="false">MID(F216,FIND("′",F216,1)+1,(FIND("″",F216,1)-FIND("′",F216,1))-1)</f>
        <v>54</v>
      </c>
      <c r="P216" s="2" t="n">
        <f aca="false">((((L216/60)+K216)/60)+J216)*IF(C216="S",-1, 1)</f>
        <v>26.5888888888889</v>
      </c>
      <c r="Q216" s="2" t="n">
        <f aca="false">((((O216/60)+N216)/60)+M216)*IF(D216="W",-1, 1)</f>
        <v>-78.7316666666667</v>
      </c>
      <c r="R216" s="16" t="s">
        <v>400</v>
      </c>
    </row>
    <row r="217" customFormat="false" ht="15" hidden="false" customHeight="false" outlineLevel="0" collapsed="false">
      <c r="A217" s="1" t="n">
        <v>216</v>
      </c>
      <c r="B217" s="1" t="s">
        <v>18</v>
      </c>
      <c r="C217" s="1" t="s">
        <v>19</v>
      </c>
      <c r="D217" s="1" t="s">
        <v>20</v>
      </c>
      <c r="E217" s="7" t="s">
        <v>452</v>
      </c>
      <c r="F217" s="7" t="s">
        <v>453</v>
      </c>
      <c r="G217" s="7" t="s">
        <v>454</v>
      </c>
      <c r="H217" s="1" t="s">
        <v>340</v>
      </c>
      <c r="I217" s="7" t="s">
        <v>455</v>
      </c>
      <c r="J217" s="1" t="str">
        <f aca="false">MID(E217,1,FIND("°",E217,1)-1)</f>
        <v>25</v>
      </c>
      <c r="K217" s="1" t="str">
        <f aca="false">MID(E217,FIND("°",E217,1)+1,(FIND("′",E217,1)-FIND("°",E217,1))-1)</f>
        <v>32</v>
      </c>
      <c r="L217" s="1" t="str">
        <f aca="false">MID(E217,FIND("′",E217,1)+1,(FIND("″",E217,1)-FIND("′",E217,1))-1)</f>
        <v>00</v>
      </c>
      <c r="M217" s="1" t="str">
        <f aca="false">MID(F217,1,FIND("°",F217,1)-1)</f>
        <v>79</v>
      </c>
      <c r="N217" s="1" t="str">
        <f aca="false">MID(F217,FIND("°",F217,1)+1,(FIND("′",F217,1)-FIND("°",F217,1))-1)</f>
        <v>17</v>
      </c>
      <c r="O217" s="1" t="str">
        <f aca="false">MID(F217,FIND("′",F217,1)+1,(FIND("″",F217,1)-FIND("′",F217,1))-1)</f>
        <v>00</v>
      </c>
      <c r="P217" s="2" t="n">
        <f aca="false">((((L217/60)+K217)/60)+J217)*IF(C217="S",-1, 1)</f>
        <v>25.5333333333333</v>
      </c>
      <c r="Q217" s="2" t="n">
        <f aca="false">((((O217/60)+N217)/60)+M217)*IF(D217="W",-1, 1)</f>
        <v>-79.2833333333333</v>
      </c>
      <c r="R217" s="16" t="s">
        <v>456</v>
      </c>
    </row>
    <row r="218" customFormat="false" ht="15" hidden="false" customHeight="false" outlineLevel="0" collapsed="false">
      <c r="A218" s="1" t="n">
        <v>217</v>
      </c>
      <c r="B218" s="1" t="s">
        <v>18</v>
      </c>
      <c r="C218" s="1" t="s">
        <v>19</v>
      </c>
      <c r="D218" s="1" t="s">
        <v>20</v>
      </c>
      <c r="E218" s="7" t="s">
        <v>457</v>
      </c>
      <c r="F218" s="7" t="s">
        <v>458</v>
      </c>
      <c r="G218" s="7" t="s">
        <v>454</v>
      </c>
      <c r="H218" s="1" t="s">
        <v>340</v>
      </c>
      <c r="I218" s="7" t="s">
        <v>455</v>
      </c>
      <c r="J218" s="1" t="str">
        <f aca="false">MID(E218,1,FIND("°",E218,1)-1)</f>
        <v>25</v>
      </c>
      <c r="K218" s="1" t="str">
        <f aca="false">MID(E218,FIND("°",E218,1)+1,(FIND("′",E218,1)-FIND("°",E218,1))-1)</f>
        <v>40</v>
      </c>
      <c r="L218" s="1" t="str">
        <f aca="false">MID(E218,FIND("′",E218,1)+1,(FIND("″",E218,1)-FIND("′",E218,1))-1)</f>
        <v>15</v>
      </c>
      <c r="M218" s="1" t="str">
        <f aca="false">MID(F218,1,FIND("°",F218,1)-1)</f>
        <v>79</v>
      </c>
      <c r="N218" s="1" t="str">
        <f aca="false">MID(F218,FIND("°",F218,1)+1,(FIND("′",F218,1)-FIND("°",F218,1))-1)</f>
        <v>18</v>
      </c>
      <c r="O218" s="1" t="str">
        <f aca="false">MID(F218,FIND("′",F218,1)+1,(FIND("″",F218,1)-FIND("′",F218,1))-1)</f>
        <v>30</v>
      </c>
      <c r="P218" s="2" t="n">
        <f aca="false">((((L218/60)+K218)/60)+J218)*IF(C218="S",-1, 1)</f>
        <v>25.6708333333333</v>
      </c>
      <c r="Q218" s="2" t="n">
        <f aca="false">((((O218/60)+N218)/60)+M218)*IF(D218="W",-1, 1)</f>
        <v>-79.3083333333333</v>
      </c>
      <c r="R218" s="16" t="s">
        <v>456</v>
      </c>
    </row>
    <row r="219" customFormat="false" ht="15" hidden="false" customHeight="false" outlineLevel="0" collapsed="false">
      <c r="A219" s="1" t="n">
        <v>218</v>
      </c>
      <c r="B219" s="1" t="s">
        <v>18</v>
      </c>
      <c r="C219" s="1" t="s">
        <v>19</v>
      </c>
      <c r="D219" s="1" t="s">
        <v>20</v>
      </c>
      <c r="E219" s="7" t="s">
        <v>459</v>
      </c>
      <c r="F219" s="7" t="s">
        <v>460</v>
      </c>
      <c r="G219" s="7" t="s">
        <v>454</v>
      </c>
      <c r="H219" s="1" t="s">
        <v>340</v>
      </c>
      <c r="I219" s="7" t="s">
        <v>455</v>
      </c>
      <c r="J219" s="1" t="str">
        <f aca="false">MID(E219,1,FIND("°",E219,1)-1)</f>
        <v>25</v>
      </c>
      <c r="K219" s="1" t="str">
        <f aca="false">MID(E219,FIND("°",E219,1)+1,(FIND("′",E219,1)-FIND("°",E219,1))-1)</f>
        <v>44</v>
      </c>
      <c r="L219" s="1" t="str">
        <f aca="false">MID(E219,FIND("′",E219,1)+1,(FIND("″",E219,1)-FIND("′",E219,1))-1)</f>
        <v>51</v>
      </c>
      <c r="M219" s="1" t="str">
        <f aca="false">MID(F219,1,FIND("°",F219,1)-1)</f>
        <v>79</v>
      </c>
      <c r="N219" s="1" t="str">
        <f aca="false">MID(F219,FIND("°",F219,1)+1,(FIND("′",F219,1)-FIND("°",F219,1))-1)</f>
        <v>17</v>
      </c>
      <c r="O219" s="1" t="str">
        <f aca="false">MID(F219,FIND("′",F219,1)+1,(FIND("″",F219,1)-FIND("′",F219,1))-1)</f>
        <v>49</v>
      </c>
      <c r="P219" s="2" t="n">
        <f aca="false">((((L219/60)+K219)/60)+J219)*IF(C219="S",-1, 1)</f>
        <v>25.7475</v>
      </c>
      <c r="Q219" s="2" t="n">
        <f aca="false">((((O219/60)+N219)/60)+M219)*IF(D219="W",-1, 1)</f>
        <v>-79.2969444444445</v>
      </c>
      <c r="R219" s="16" t="s">
        <v>456</v>
      </c>
    </row>
    <row r="220" customFormat="false" ht="15" hidden="false" customHeight="false" outlineLevel="0" collapsed="false">
      <c r="A220" s="1" t="n">
        <v>219</v>
      </c>
      <c r="B220" s="1" t="s">
        <v>18</v>
      </c>
      <c r="C220" s="1" t="s">
        <v>19</v>
      </c>
      <c r="D220" s="1" t="s">
        <v>20</v>
      </c>
      <c r="E220" s="7" t="s">
        <v>461</v>
      </c>
      <c r="F220" s="7" t="s">
        <v>462</v>
      </c>
      <c r="G220" s="7" t="s">
        <v>454</v>
      </c>
      <c r="H220" s="1" t="s">
        <v>340</v>
      </c>
      <c r="I220" s="7" t="s">
        <v>455</v>
      </c>
      <c r="J220" s="1" t="str">
        <f aca="false">MID(E220,1,FIND("°",E220,1)-1)</f>
        <v>25</v>
      </c>
      <c r="K220" s="1" t="str">
        <f aca="false">MID(E220,FIND("°",E220,1)+1,(FIND("′",E220,1)-FIND("°",E220,1))-1)</f>
        <v>47</v>
      </c>
      <c r="L220" s="1" t="str">
        <f aca="false">MID(E220,FIND("′",E220,1)+1,(FIND("″",E220,1)-FIND("′",E220,1))-1)</f>
        <v>19</v>
      </c>
      <c r="M220" s="1" t="str">
        <f aca="false">MID(F220,1,FIND("°",F220,1)-1)</f>
        <v>79</v>
      </c>
      <c r="N220" s="1" t="str">
        <f aca="false">MID(F220,FIND("°",F220,1)+1,(FIND("′",F220,1)-FIND("°",F220,1))-1)</f>
        <v>15</v>
      </c>
      <c r="O220" s="1" t="str">
        <f aca="false">MID(F220,FIND("′",F220,1)+1,(FIND("″",F220,1)-FIND("′",F220,1))-1)</f>
        <v>34</v>
      </c>
      <c r="P220" s="2" t="n">
        <f aca="false">((((L220/60)+K220)/60)+J220)*IF(C220="S",-1, 1)</f>
        <v>25.7886111111111</v>
      </c>
      <c r="Q220" s="2" t="n">
        <f aca="false">((((O220/60)+N220)/60)+M220)*IF(D220="W",-1, 1)</f>
        <v>-79.2594444444444</v>
      </c>
      <c r="R220" s="16" t="s">
        <v>456</v>
      </c>
    </row>
    <row r="221" customFormat="false" ht="15" hidden="false" customHeight="false" outlineLevel="0" collapsed="false">
      <c r="A221" s="1" t="n">
        <v>220</v>
      </c>
      <c r="B221" s="1" t="s">
        <v>18</v>
      </c>
      <c r="C221" s="1" t="s">
        <v>19</v>
      </c>
      <c r="D221" s="1" t="s">
        <v>20</v>
      </c>
      <c r="E221" s="7" t="s">
        <v>463</v>
      </c>
      <c r="F221" s="7" t="s">
        <v>464</v>
      </c>
      <c r="G221" s="7" t="s">
        <v>454</v>
      </c>
      <c r="H221" s="1" t="s">
        <v>340</v>
      </c>
      <c r="I221" s="7" t="s">
        <v>455</v>
      </c>
      <c r="J221" s="1" t="str">
        <f aca="false">MID(E221,1,FIND("°",E221,1)-1)</f>
        <v>25</v>
      </c>
      <c r="K221" s="1" t="str">
        <f aca="false">MID(E221,FIND("°",E221,1)+1,(FIND("′",E221,1)-FIND("°",E221,1))-1)</f>
        <v>39</v>
      </c>
      <c r="L221" s="1" t="str">
        <f aca="false">MID(E221,FIND("′",E221,1)+1,(FIND("″",E221,1)-FIND("′",E221,1))-1)</f>
        <v>02</v>
      </c>
      <c r="M221" s="1" t="str">
        <f aca="false">MID(F221,1,FIND("°",F221,1)-1)</f>
        <v>79</v>
      </c>
      <c r="N221" s="1" t="str">
        <f aca="false">MID(F221,FIND("°",F221,1)+1,(FIND("′",F221,1)-FIND("°",F221,1))-1)</f>
        <v>17</v>
      </c>
      <c r="O221" s="1" t="str">
        <f aca="false">MID(F221,FIND("′",F221,1)+1,(FIND("″",F221,1)-FIND("′",F221,1))-1)</f>
        <v>36</v>
      </c>
      <c r="P221" s="2" t="n">
        <f aca="false">((((L221/60)+K221)/60)+J221)*IF(C221="S",-1, 1)</f>
        <v>25.6505555555556</v>
      </c>
      <c r="Q221" s="2" t="n">
        <f aca="false">((((O221/60)+N221)/60)+M221)*IF(D221="W",-1, 1)</f>
        <v>-79.2933333333333</v>
      </c>
      <c r="R221" s="16" t="s">
        <v>456</v>
      </c>
    </row>
    <row r="222" customFormat="false" ht="15" hidden="false" customHeight="false" outlineLevel="0" collapsed="false">
      <c r="A222" s="1" t="n">
        <v>221</v>
      </c>
      <c r="B222" s="1" t="s">
        <v>18</v>
      </c>
      <c r="C222" s="1" t="s">
        <v>19</v>
      </c>
      <c r="D222" s="1" t="s">
        <v>20</v>
      </c>
      <c r="E222" s="7" t="s">
        <v>465</v>
      </c>
      <c r="F222" s="7" t="s">
        <v>466</v>
      </c>
      <c r="G222" s="7" t="s">
        <v>454</v>
      </c>
      <c r="H222" s="1" t="s">
        <v>340</v>
      </c>
      <c r="I222" s="7" t="s">
        <v>455</v>
      </c>
      <c r="J222" s="1" t="str">
        <f aca="false">MID(E222,1,FIND("°",E222,1)-1)</f>
        <v>26</v>
      </c>
      <c r="K222" s="1" t="str">
        <f aca="false">MID(E222,FIND("°",E222,1)+1,(FIND("′",E222,1)-FIND("°",E222,1))-1)</f>
        <v>02</v>
      </c>
      <c r="L222" s="1" t="str">
        <f aca="false">MID(E222,FIND("′",E222,1)+1,(FIND("″",E222,1)-FIND("′",E222,1))-1)</f>
        <v>00</v>
      </c>
      <c r="M222" s="1" t="str">
        <f aca="false">MID(F222,1,FIND("°",F222,1)-1)</f>
        <v>79</v>
      </c>
      <c r="N222" s="1" t="str">
        <f aca="false">MID(F222,FIND("°",F222,1)+1,(FIND("′",F222,1)-FIND("°",F222,1))-1)</f>
        <v>06</v>
      </c>
      <c r="O222" s="1" t="str">
        <f aca="false">MID(F222,FIND("′",F222,1)+1,(FIND("″",F222,1)-FIND("′",F222,1))-1)</f>
        <v>00</v>
      </c>
      <c r="P222" s="2" t="n">
        <f aca="false">((((L222/60)+K222)/60)+J222)*IF(C222="S",-1, 1)</f>
        <v>26.0333333333333</v>
      </c>
      <c r="Q222" s="2" t="n">
        <f aca="false">((((O222/60)+N222)/60)+M222)*IF(D222="W",-1, 1)</f>
        <v>-79.1</v>
      </c>
      <c r="R222" s="16" t="s">
        <v>456</v>
      </c>
    </row>
    <row r="223" customFormat="false" ht="15" hidden="false" customHeight="false" outlineLevel="0" collapsed="false">
      <c r="A223" s="1" t="n">
        <v>222</v>
      </c>
      <c r="B223" s="1" t="s">
        <v>18</v>
      </c>
      <c r="C223" s="1" t="s">
        <v>19</v>
      </c>
      <c r="D223" s="1" t="s">
        <v>20</v>
      </c>
      <c r="E223" s="2" t="s">
        <v>467</v>
      </c>
      <c r="F223" s="7" t="s">
        <v>468</v>
      </c>
      <c r="G223" s="7" t="s">
        <v>469</v>
      </c>
      <c r="H223" s="1" t="s">
        <v>340</v>
      </c>
      <c r="I223" s="1" t="s">
        <v>470</v>
      </c>
      <c r="J223" s="1" t="str">
        <f aca="false">MID(E223,1,FIND("°",E223,1)-1)</f>
        <v>24</v>
      </c>
      <c r="K223" s="1" t="str">
        <f aca="false">MID(E223,FIND("°",E223,1)+1,(FIND("′",E223,1)-FIND("°",E223,1))-1)</f>
        <v>43</v>
      </c>
      <c r="L223" s="1" t="str">
        <f aca="false">MID(E223,FIND("′",E223,1)+1,(FIND("″",E223,1)-FIND("′",E223,1))-1)</f>
        <v>57</v>
      </c>
      <c r="M223" s="1" t="str">
        <f aca="false">MID(F223,1,FIND("°",F223,1)-1)</f>
        <v>81</v>
      </c>
      <c r="N223" s="1" t="str">
        <f aca="false">MID(F223,FIND("°",F223,1)+1,(FIND("′",F223,1)-FIND("°",F223,1))-1)</f>
        <v>05</v>
      </c>
      <c r="O223" s="1" t="str">
        <f aca="false">MID(F223,FIND("′",F223,1)+1,(FIND("″",F223,1)-FIND("′",F223,1))-1)</f>
        <v>38</v>
      </c>
      <c r="P223" s="2" t="n">
        <f aca="false">((((L223/60)+K223)/60)+J223)*IF(C223="S",-1, 1)</f>
        <v>24.7325</v>
      </c>
      <c r="Q223" s="2" t="n">
        <f aca="false">((((O223/60)+N223)/60)+M223)*IF(D223="W",-1, 1)</f>
        <v>-81.0938888888889</v>
      </c>
      <c r="R223" s="16" t="s">
        <v>471</v>
      </c>
    </row>
    <row r="224" customFormat="false" ht="15" hidden="false" customHeight="false" outlineLevel="0" collapsed="false">
      <c r="A224" s="1" t="n">
        <v>223</v>
      </c>
      <c r="B224" s="1" t="s">
        <v>18</v>
      </c>
      <c r="C224" s="1" t="s">
        <v>19</v>
      </c>
      <c r="D224" s="1" t="s">
        <v>20</v>
      </c>
      <c r="E224" s="7" t="s">
        <v>472</v>
      </c>
      <c r="F224" s="7" t="s">
        <v>473</v>
      </c>
      <c r="G224" s="7" t="s">
        <v>469</v>
      </c>
      <c r="H224" s="1" t="s">
        <v>340</v>
      </c>
      <c r="I224" s="1" t="s">
        <v>470</v>
      </c>
      <c r="J224" s="1" t="str">
        <f aca="false">MID(E224,1,FIND("°",E224,1)-1)</f>
        <v>24</v>
      </c>
      <c r="K224" s="1" t="str">
        <f aca="false">MID(E224,FIND("°",E224,1)+1,(FIND("′",E224,1)-FIND("°",E224,1))-1)</f>
        <v>44</v>
      </c>
      <c r="L224" s="1" t="str">
        <f aca="false">MID(E224,FIND("′",E224,1)+1,(FIND("″",E224,1)-FIND("′",E224,1))-1)</f>
        <v>56</v>
      </c>
      <c r="M224" s="1" t="str">
        <f aca="false">MID(F224,1,FIND("°",F224,1)-1)</f>
        <v>81</v>
      </c>
      <c r="N224" s="1" t="str">
        <f aca="false">MID(F224,FIND("°",F224,1)+1,(FIND("′",F224,1)-FIND("°",F224,1))-1)</f>
        <v>02</v>
      </c>
      <c r="O224" s="1" t="str">
        <f aca="false">MID(F224,FIND("′",F224,1)+1,(FIND("″",F224,1)-FIND("′",F224,1))-1)</f>
        <v>50</v>
      </c>
      <c r="P224" s="2" t="n">
        <f aca="false">((((L224/60)+K224)/60)+J224)*IF(C224="S",-1, 1)</f>
        <v>24.7488888888889</v>
      </c>
      <c r="Q224" s="2" t="n">
        <f aca="false">((((O224/60)+N224)/60)+M224)*IF(D224="W",-1, 1)</f>
        <v>-81.0472222222222</v>
      </c>
      <c r="R224" s="16" t="s">
        <v>471</v>
      </c>
    </row>
    <row r="225" customFormat="false" ht="15" hidden="false" customHeight="false" outlineLevel="0" collapsed="false">
      <c r="A225" s="1" t="n">
        <v>224</v>
      </c>
      <c r="B225" s="1" t="s">
        <v>18</v>
      </c>
      <c r="C225" s="1" t="s">
        <v>19</v>
      </c>
      <c r="D225" s="1" t="s">
        <v>20</v>
      </c>
      <c r="E225" s="7" t="s">
        <v>474</v>
      </c>
      <c r="F225" s="7" t="s">
        <v>475</v>
      </c>
      <c r="G225" s="7" t="s">
        <v>469</v>
      </c>
      <c r="H225" s="1" t="s">
        <v>340</v>
      </c>
      <c r="I225" s="1" t="s">
        <v>470</v>
      </c>
      <c r="J225" s="1" t="str">
        <f aca="false">MID(E225,1,FIND("°",E225,1)-1)</f>
        <v>24</v>
      </c>
      <c r="K225" s="1" t="str">
        <f aca="false">MID(E225,FIND("°",E225,1)+1,(FIND("′",E225,1)-FIND("°",E225,1))-1)</f>
        <v>46</v>
      </c>
      <c r="L225" s="1" t="str">
        <f aca="false">MID(E225,FIND("′",E225,1)+1,(FIND("″",E225,1)-FIND("′",E225,1))-1)</f>
        <v>10</v>
      </c>
      <c r="M225" s="1" t="str">
        <f aca="false">MID(F225,1,FIND("°",F225,1)-1)</f>
        <v>80</v>
      </c>
      <c r="N225" s="1" t="str">
        <f aca="false">MID(F225,FIND("°",F225,1)+1,(FIND("′",F225,1)-FIND("°",F225,1))-1)</f>
        <v>58</v>
      </c>
      <c r="O225" s="1" t="str">
        <f aca="false">MID(F225,FIND("′",F225,1)+1,(FIND("″",F225,1)-FIND("′",F225,1))-1)</f>
        <v>45</v>
      </c>
      <c r="P225" s="2" t="n">
        <f aca="false">((((L225/60)+K225)/60)+J225)*IF(C225="S",-1, 1)</f>
        <v>24.7694444444444</v>
      </c>
      <c r="Q225" s="2" t="n">
        <f aca="false">((((O225/60)+N225)/60)+M225)*IF(D225="W",-1, 1)</f>
        <v>-80.9791666666667</v>
      </c>
      <c r="R225" s="16" t="s">
        <v>471</v>
      </c>
    </row>
    <row r="226" customFormat="false" ht="15" hidden="false" customHeight="false" outlineLevel="0" collapsed="false">
      <c r="A226" s="1" t="n">
        <v>225</v>
      </c>
      <c r="B226" s="1" t="s">
        <v>18</v>
      </c>
      <c r="C226" s="1" t="s">
        <v>19</v>
      </c>
      <c r="D226" s="1" t="s">
        <v>20</v>
      </c>
      <c r="E226" s="7" t="s">
        <v>476</v>
      </c>
      <c r="F226" s="7" t="s">
        <v>477</v>
      </c>
      <c r="G226" s="7" t="s">
        <v>469</v>
      </c>
      <c r="H226" s="1" t="s">
        <v>340</v>
      </c>
      <c r="I226" s="1" t="s">
        <v>470</v>
      </c>
      <c r="J226" s="1" t="str">
        <f aca="false">MID(E226,1,FIND("°",E226,1)-1)</f>
        <v>24</v>
      </c>
      <c r="K226" s="1" t="str">
        <f aca="false">MID(E226,FIND("°",E226,1)+1,(FIND("′",E226,1)-FIND("°",E226,1))-1)</f>
        <v>47</v>
      </c>
      <c r="L226" s="1" t="str">
        <f aca="false">MID(E226,FIND("′",E226,1)+1,(FIND("″",E226,1)-FIND("′",E226,1))-1)</f>
        <v>50</v>
      </c>
      <c r="M226" s="1" t="str">
        <f aca="false">MID(F226,1,FIND("°",F226,1)-1)</f>
        <v>81</v>
      </c>
      <c r="N226" s="1" t="str">
        <f aca="false">MID(F226,FIND("°",F226,1)+1,(FIND("′",F226,1)-FIND("°",F226,1))-1)</f>
        <v>01</v>
      </c>
      <c r="O226" s="1" t="str">
        <f aca="false">MID(F226,FIND("′",F226,1)+1,(FIND("″",F226,1)-FIND("′",F226,1))-1)</f>
        <v>35</v>
      </c>
      <c r="P226" s="2" t="n">
        <f aca="false">((((L226/60)+K226)/60)+J226)*IF(C226="S",-1, 1)</f>
        <v>24.7972222222222</v>
      </c>
      <c r="Q226" s="2" t="n">
        <f aca="false">((((O226/60)+N226)/60)+M226)*IF(D226="W",-1, 1)</f>
        <v>-81.0263888888889</v>
      </c>
      <c r="R226" s="16" t="s">
        <v>471</v>
      </c>
    </row>
    <row r="227" customFormat="false" ht="15" hidden="false" customHeight="false" outlineLevel="0" collapsed="false">
      <c r="A227" s="1" t="n">
        <v>226</v>
      </c>
      <c r="B227" s="1" t="s">
        <v>18</v>
      </c>
      <c r="C227" s="1" t="s">
        <v>19</v>
      </c>
      <c r="D227" s="1" t="s">
        <v>20</v>
      </c>
      <c r="E227" s="7" t="s">
        <v>478</v>
      </c>
      <c r="F227" s="7" t="s">
        <v>479</v>
      </c>
      <c r="G227" s="7" t="s">
        <v>469</v>
      </c>
      <c r="H227" s="1" t="s">
        <v>340</v>
      </c>
      <c r="I227" s="1" t="s">
        <v>470</v>
      </c>
      <c r="J227" s="1" t="str">
        <f aca="false">MID(E227,1,FIND("°",E227,1)-1)</f>
        <v>24</v>
      </c>
      <c r="K227" s="1" t="str">
        <f aca="false">MID(E227,FIND("°",E227,1)+1,(FIND("′",E227,1)-FIND("°",E227,1))-1)</f>
        <v>49</v>
      </c>
      <c r="L227" s="1" t="str">
        <f aca="false">MID(E227,FIND("′",E227,1)+1,(FIND("″",E227,1)-FIND("′",E227,1))-1)</f>
        <v>35</v>
      </c>
      <c r="M227" s="1" t="str">
        <f aca="false">MID(F227,1,FIND("°",F227,1)-1)</f>
        <v>80</v>
      </c>
      <c r="N227" s="1" t="str">
        <f aca="false">MID(F227,FIND("°",F227,1)+1,(FIND("′",F227,1)-FIND("°",F227,1))-1)</f>
        <v>58</v>
      </c>
      <c r="O227" s="1" t="str">
        <f aca="false">MID(F227,FIND("′",F227,1)+1,(FIND("″",F227,1)-FIND("′",F227,1))-1)</f>
        <v>55</v>
      </c>
      <c r="P227" s="2" t="n">
        <f aca="false">((((L227/60)+K227)/60)+J227)*IF(C227="S",-1, 1)</f>
        <v>24.8263888888889</v>
      </c>
      <c r="Q227" s="2" t="n">
        <f aca="false">((((O227/60)+N227)/60)+M227)*IF(D227="W",-1, 1)</f>
        <v>-80.9819444444445</v>
      </c>
      <c r="R227" s="16" t="s">
        <v>471</v>
      </c>
    </row>
    <row r="228" customFormat="false" ht="15" hidden="false" customHeight="false" outlineLevel="0" collapsed="false">
      <c r="A228" s="1" t="n">
        <v>227</v>
      </c>
      <c r="B228" s="1" t="s">
        <v>18</v>
      </c>
      <c r="C228" s="1" t="s">
        <v>19</v>
      </c>
      <c r="D228" s="1" t="s">
        <v>20</v>
      </c>
      <c r="E228" s="7" t="s">
        <v>480</v>
      </c>
      <c r="F228" s="7" t="s">
        <v>481</v>
      </c>
      <c r="G228" s="7" t="s">
        <v>469</v>
      </c>
      <c r="H228" s="1" t="s">
        <v>340</v>
      </c>
      <c r="I228" s="1" t="s">
        <v>470</v>
      </c>
      <c r="J228" s="1" t="str">
        <f aca="false">MID(E228,1,FIND("°",E228,1)-1)</f>
        <v>24</v>
      </c>
      <c r="K228" s="1" t="str">
        <f aca="false">MID(E228,FIND("°",E228,1)+1,(FIND("′",E228,1)-FIND("°",E228,1))-1)</f>
        <v>49</v>
      </c>
      <c r="L228" s="1" t="str">
        <f aca="false">MID(E228,FIND("′",E228,1)+1,(FIND("″",E228,1)-FIND("′",E228,1))-1)</f>
        <v>15</v>
      </c>
      <c r="M228" s="1" t="str">
        <f aca="false">MID(F228,1,FIND("°",F228,1)-1)</f>
        <v>80</v>
      </c>
      <c r="N228" s="1" t="str">
        <f aca="false">MID(F228,FIND("°",F228,1)+1,(FIND("′",F228,1)-FIND("°",F228,1))-1)</f>
        <v>55</v>
      </c>
      <c r="O228" s="1" t="str">
        <f aca="false">MID(F228,FIND("′",F228,1)+1,(FIND("″",F228,1)-FIND("′",F228,1))-1)</f>
        <v>21</v>
      </c>
      <c r="P228" s="2" t="n">
        <f aca="false">((((L228/60)+K228)/60)+J228)*IF(C228="S",-1, 1)</f>
        <v>24.8208333333333</v>
      </c>
      <c r="Q228" s="2" t="n">
        <f aca="false">((((O228/60)+N228)/60)+M228)*IF(D228="W",-1, 1)</f>
        <v>-80.9225</v>
      </c>
      <c r="R228" s="16" t="s">
        <v>471</v>
      </c>
    </row>
    <row r="229" customFormat="false" ht="15" hidden="false" customHeight="false" outlineLevel="0" collapsed="false">
      <c r="A229" s="1" t="n">
        <v>228</v>
      </c>
      <c r="B229" s="1" t="s">
        <v>18</v>
      </c>
      <c r="C229" s="1" t="s">
        <v>19</v>
      </c>
      <c r="D229" s="1" t="s">
        <v>20</v>
      </c>
      <c r="E229" s="7" t="s">
        <v>482</v>
      </c>
      <c r="F229" s="7" t="s">
        <v>483</v>
      </c>
      <c r="G229" s="7" t="s">
        <v>469</v>
      </c>
      <c r="H229" s="1" t="s">
        <v>340</v>
      </c>
      <c r="I229" s="1" t="s">
        <v>470</v>
      </c>
      <c r="J229" s="1" t="str">
        <f aca="false">MID(E229,1,FIND("°",E229,1)-1)</f>
        <v>24</v>
      </c>
      <c r="K229" s="1" t="str">
        <f aca="false">MID(E229,FIND("°",E229,1)+1,(FIND("′",E229,1)-FIND("°",E229,1))-1)</f>
        <v>49</v>
      </c>
      <c r="L229" s="1" t="str">
        <f aca="false">MID(E229,FIND("′",E229,1)+1,(FIND("″",E229,1)-FIND("′",E229,1))-1)</f>
        <v>05</v>
      </c>
      <c r="M229" s="1" t="str">
        <f aca="false">MID(F229,1,FIND("°",F229,1)-1)</f>
        <v>80</v>
      </c>
      <c r="N229" s="1" t="str">
        <f aca="false">MID(F229,FIND("°",F229,1)+1,(FIND("′",F229,1)-FIND("°",F229,1))-1)</f>
        <v>52</v>
      </c>
      <c r="O229" s="1" t="str">
        <f aca="false">MID(F229,FIND("′",F229,1)+1,(FIND("″",F229,1)-FIND("′",F229,1))-1)</f>
        <v>01</v>
      </c>
      <c r="P229" s="2" t="n">
        <f aca="false">((((L229/60)+K229)/60)+J229)*IF(C229="S",-1, 1)</f>
        <v>24.8180555555556</v>
      </c>
      <c r="Q229" s="2" t="n">
        <f aca="false">((((O229/60)+N229)/60)+M229)*IF(D229="W",-1, 1)</f>
        <v>-80.8669444444444</v>
      </c>
      <c r="R229" s="16" t="s">
        <v>471</v>
      </c>
    </row>
    <row r="230" customFormat="false" ht="15" hidden="false" customHeight="false" outlineLevel="0" collapsed="false">
      <c r="A230" s="1" t="n">
        <v>229</v>
      </c>
      <c r="B230" s="1" t="s">
        <v>18</v>
      </c>
      <c r="C230" s="1" t="s">
        <v>19</v>
      </c>
      <c r="D230" s="1" t="s">
        <v>20</v>
      </c>
      <c r="E230" s="7" t="s">
        <v>484</v>
      </c>
      <c r="F230" s="7" t="s">
        <v>485</v>
      </c>
      <c r="G230" s="7" t="s">
        <v>469</v>
      </c>
      <c r="H230" s="1" t="s">
        <v>340</v>
      </c>
      <c r="I230" s="1" t="s">
        <v>470</v>
      </c>
      <c r="J230" s="1" t="str">
        <f aca="false">MID(E230,1,FIND("°",E230,1)-1)</f>
        <v>24</v>
      </c>
      <c r="K230" s="1" t="str">
        <f aca="false">MID(E230,FIND("°",E230,1)+1,(FIND("′",E230,1)-FIND("°",E230,1))-1)</f>
        <v>52</v>
      </c>
      <c r="L230" s="1" t="str">
        <f aca="false">MID(E230,FIND("′",E230,1)+1,(FIND("″",E230,1)-FIND("′",E230,1))-1)</f>
        <v>08</v>
      </c>
      <c r="M230" s="1" t="str">
        <f aca="false">MID(F230,1,FIND("°",F230,1)-1)</f>
        <v>80</v>
      </c>
      <c r="N230" s="1" t="str">
        <f aca="false">MID(F230,FIND("°",F230,1)+1,(FIND("′",F230,1)-FIND("°",F230,1))-1)</f>
        <v>50</v>
      </c>
      <c r="O230" s="1" t="str">
        <f aca="false">MID(F230,FIND("′",F230,1)+1,(FIND("″",F230,1)-FIND("′",F230,1))-1)</f>
        <v>48</v>
      </c>
      <c r="P230" s="2" t="n">
        <f aca="false">((((L230/60)+K230)/60)+J230)*IF(C230="S",-1, 1)</f>
        <v>24.8688888888889</v>
      </c>
      <c r="Q230" s="2" t="n">
        <f aca="false">((((O230/60)+N230)/60)+M230)*IF(D230="W",-1, 1)</f>
        <v>-80.8466666666667</v>
      </c>
      <c r="R230" s="16" t="s">
        <v>471</v>
      </c>
    </row>
    <row r="231" customFormat="false" ht="15" hidden="false" customHeight="false" outlineLevel="0" collapsed="false">
      <c r="A231" s="1" t="n">
        <v>230</v>
      </c>
      <c r="B231" s="1" t="s">
        <v>18</v>
      </c>
      <c r="C231" s="1" t="s">
        <v>19</v>
      </c>
      <c r="D231" s="1" t="s">
        <v>20</v>
      </c>
      <c r="E231" s="7" t="s">
        <v>486</v>
      </c>
      <c r="F231" s="7" t="s">
        <v>487</v>
      </c>
      <c r="G231" s="7" t="s">
        <v>469</v>
      </c>
      <c r="H231" s="1" t="s">
        <v>340</v>
      </c>
      <c r="I231" s="1" t="s">
        <v>470</v>
      </c>
      <c r="J231" s="1" t="str">
        <f aca="false">MID(E231,1,FIND("°",E231,1)-1)</f>
        <v>24</v>
      </c>
      <c r="K231" s="1" t="str">
        <f aca="false">MID(E231,FIND("°",E231,1)+1,(FIND("′",E231,1)-FIND("°",E231,1))-1)</f>
        <v>51</v>
      </c>
      <c r="L231" s="1" t="str">
        <f aca="false">MID(E231,FIND("′",E231,1)+1,(FIND("″",E231,1)-FIND("′",E231,1))-1)</f>
        <v>13</v>
      </c>
      <c r="M231" s="1" t="str">
        <f aca="false">MID(F231,1,FIND("°",F231,1)-1)</f>
        <v>80</v>
      </c>
      <c r="N231" s="1" t="str">
        <f aca="false">MID(F231,FIND("°",F231,1)+1,(FIND("′",F231,1)-FIND("°",F231,1))-1)</f>
        <v>46</v>
      </c>
      <c r="O231" s="1" t="str">
        <f aca="false">MID(F231,FIND("′",F231,1)+1,(FIND("″",F231,1)-FIND("′",F231,1))-1)</f>
        <v>57</v>
      </c>
      <c r="P231" s="2" t="n">
        <f aca="false">((((L231/60)+K231)/60)+J231)*IF(C231="S",-1, 1)</f>
        <v>24.8536111111111</v>
      </c>
      <c r="Q231" s="2" t="n">
        <f aca="false">((((O231/60)+N231)/60)+M231)*IF(D231="W",-1, 1)</f>
        <v>-80.7825</v>
      </c>
      <c r="R231" s="16" t="s">
        <v>471</v>
      </c>
    </row>
    <row r="232" customFormat="false" ht="15" hidden="false" customHeight="false" outlineLevel="0" collapsed="false">
      <c r="A232" s="1" t="n">
        <v>231</v>
      </c>
      <c r="B232" s="1" t="s">
        <v>18</v>
      </c>
      <c r="C232" s="1" t="s">
        <v>19</v>
      </c>
      <c r="D232" s="1" t="s">
        <v>20</v>
      </c>
      <c r="E232" s="7" t="s">
        <v>488</v>
      </c>
      <c r="F232" s="7" t="s">
        <v>489</v>
      </c>
      <c r="G232" s="7" t="s">
        <v>469</v>
      </c>
      <c r="H232" s="1" t="s">
        <v>340</v>
      </c>
      <c r="I232" s="1" t="s">
        <v>470</v>
      </c>
      <c r="J232" s="1" t="str">
        <f aca="false">MID(E232,1,FIND("°",E232,1)-1)</f>
        <v>24</v>
      </c>
      <c r="K232" s="1" t="str">
        <f aca="false">MID(E232,FIND("°",E232,1)+1,(FIND("′",E232,1)-FIND("°",E232,1))-1)</f>
        <v>53</v>
      </c>
      <c r="L232" s="1" t="str">
        <f aca="false">MID(E232,FIND("′",E232,1)+1,(FIND("″",E232,1)-FIND("′",E232,1))-1)</f>
        <v>06</v>
      </c>
      <c r="M232" s="1" t="str">
        <f aca="false">MID(F232,1,FIND("°",F232,1)-1)</f>
        <v>80</v>
      </c>
      <c r="N232" s="1" t="str">
        <f aca="false">MID(F232,FIND("°",F232,1)+1,(FIND("′",F232,1)-FIND("°",F232,1))-1)</f>
        <v>45</v>
      </c>
      <c r="O232" s="1" t="str">
        <f aca="false">MID(F232,FIND("′",F232,1)+1,(FIND("″",F232,1)-FIND("′",F232,1))-1)</f>
        <v>27</v>
      </c>
      <c r="P232" s="2" t="n">
        <f aca="false">((((L232/60)+K232)/60)+J232)*IF(C232="S",-1, 1)</f>
        <v>24.885</v>
      </c>
      <c r="Q232" s="2" t="n">
        <f aca="false">((((O232/60)+N232)/60)+M232)*IF(D232="W",-1, 1)</f>
        <v>-80.7575</v>
      </c>
      <c r="R232" s="16" t="s">
        <v>471</v>
      </c>
    </row>
    <row r="233" customFormat="false" ht="15" hidden="false" customHeight="false" outlineLevel="0" collapsed="false">
      <c r="A233" s="1" t="n">
        <v>232</v>
      </c>
      <c r="B233" s="1" t="s">
        <v>18</v>
      </c>
      <c r="C233" s="1" t="s">
        <v>19</v>
      </c>
      <c r="D233" s="1" t="s">
        <v>20</v>
      </c>
      <c r="E233" s="7" t="s">
        <v>490</v>
      </c>
      <c r="F233" s="7" t="s">
        <v>491</v>
      </c>
      <c r="G233" s="7" t="s">
        <v>469</v>
      </c>
      <c r="H233" s="1" t="s">
        <v>340</v>
      </c>
      <c r="I233" s="1" t="s">
        <v>470</v>
      </c>
      <c r="J233" s="1" t="str">
        <f aca="false">MID(E233,1,FIND("°",E233,1)-1)</f>
        <v>24</v>
      </c>
      <c r="K233" s="1" t="str">
        <f aca="false">MID(E233,FIND("°",E233,1)+1,(FIND("′",E233,1)-FIND("°",E233,1))-1)</f>
        <v>41</v>
      </c>
      <c r="L233" s="1" t="str">
        <f aca="false">MID(E233,FIND("′",E233,1)+1,(FIND("″",E233,1)-FIND("′",E233,1))-1)</f>
        <v>55</v>
      </c>
      <c r="M233" s="1" t="str">
        <f aca="false">MID(F233,1,FIND("°",F233,1)-1)</f>
        <v>81</v>
      </c>
      <c r="N233" s="1" t="str">
        <f aca="false">MID(F233,FIND("°",F233,1)+1,(FIND("′",F233,1)-FIND("°",F233,1))-1)</f>
        <v>23</v>
      </c>
      <c r="O233" s="1" t="str">
        <f aca="false">MID(F233,FIND("′",F233,1)+1,(FIND("″",F233,1)-FIND("′",F233,1))-1)</f>
        <v>50</v>
      </c>
      <c r="P233" s="2" t="n">
        <f aca="false">((((L233/60)+K233)/60)+J233)*IF(C233="S",-1, 1)</f>
        <v>24.6986111111111</v>
      </c>
      <c r="Q233" s="2" t="n">
        <f aca="false">((((O233/60)+N233)/60)+M233)*IF(D233="W",-1, 1)</f>
        <v>-81.3972222222222</v>
      </c>
      <c r="R233" s="16" t="s">
        <v>471</v>
      </c>
    </row>
    <row r="234" customFormat="false" ht="15" hidden="false" customHeight="false" outlineLevel="0" collapsed="false">
      <c r="A234" s="1" t="n">
        <v>233</v>
      </c>
      <c r="B234" s="1" t="s">
        <v>18</v>
      </c>
      <c r="C234" s="1" t="s">
        <v>19</v>
      </c>
      <c r="D234" s="1" t="s">
        <v>20</v>
      </c>
      <c r="E234" s="7" t="s">
        <v>492</v>
      </c>
      <c r="F234" s="7" t="s">
        <v>493</v>
      </c>
      <c r="G234" s="7" t="s">
        <v>469</v>
      </c>
      <c r="H234" s="1" t="s">
        <v>340</v>
      </c>
      <c r="I234" s="1" t="s">
        <v>470</v>
      </c>
      <c r="J234" s="1" t="str">
        <f aca="false">MID(E234,1,FIND("°",E234,1)-1)</f>
        <v>24</v>
      </c>
      <c r="K234" s="1" t="str">
        <f aca="false">MID(E234,FIND("°",E234,1)+1,(FIND("′",E234,1)-FIND("°",E234,1))-1)</f>
        <v>44</v>
      </c>
      <c r="L234" s="1" t="str">
        <f aca="false">MID(E234,FIND("′",E234,1)+1,(FIND("″",E234,1)-FIND("′",E234,1))-1)</f>
        <v>45</v>
      </c>
      <c r="M234" s="1" t="str">
        <f aca="false">MID(F234,1,FIND("°",F234,1)-1)</f>
        <v>81</v>
      </c>
      <c r="N234" s="1" t="str">
        <f aca="false">MID(F234,FIND("°",F234,1)+1,(FIND("′",F234,1)-FIND("°",F234,1))-1)</f>
        <v>26</v>
      </c>
      <c r="O234" s="1" t="str">
        <f aca="false">MID(F234,FIND("′",F234,1)+1,(FIND("″",F234,1)-FIND("′",F234,1))-1)</f>
        <v>07</v>
      </c>
      <c r="P234" s="2" t="n">
        <f aca="false">((((L234/60)+K234)/60)+J234)*IF(C234="S",-1, 1)</f>
        <v>24.7458333333333</v>
      </c>
      <c r="Q234" s="2" t="n">
        <f aca="false">((((O234/60)+N234)/60)+M234)*IF(D234="W",-1, 1)</f>
        <v>-81.4352777777778</v>
      </c>
      <c r="R234" s="16" t="s">
        <v>471</v>
      </c>
    </row>
    <row r="235" customFormat="false" ht="15" hidden="false" customHeight="false" outlineLevel="0" collapsed="false">
      <c r="A235" s="1" t="n">
        <v>234</v>
      </c>
      <c r="B235" s="1" t="s">
        <v>45</v>
      </c>
      <c r="C235" s="1" t="s">
        <v>19</v>
      </c>
      <c r="D235" s="1" t="s">
        <v>20</v>
      </c>
      <c r="E235" s="7" t="s">
        <v>494</v>
      </c>
      <c r="F235" s="7" t="s">
        <v>495</v>
      </c>
      <c r="G235" s="1" t="s">
        <v>496</v>
      </c>
      <c r="H235" s="1" t="s">
        <v>340</v>
      </c>
      <c r="I235" s="1" t="s">
        <v>497</v>
      </c>
      <c r="J235" s="1" t="str">
        <f aca="false">MID(E235,1,FIND("°",E235,1)-1)</f>
        <v>19</v>
      </c>
      <c r="K235" s="1" t="str">
        <f aca="false">MID(E235,FIND("°",E235,1)+1,(FIND("′",E235,1)-FIND("°",E235,1))-1)</f>
        <v>41</v>
      </c>
      <c r="L235" s="1" t="str">
        <f aca="false">MID(E235,FIND("′",E235,1)+1,(FIND("″",E235,1)-FIND("′",E235,1))-1)</f>
        <v>54</v>
      </c>
      <c r="M235" s="1" t="str">
        <f aca="false">MID(F235,1,FIND("°",F235,1)-1)</f>
        <v>87</v>
      </c>
      <c r="N235" s="1" t="str">
        <f aca="false">MID(F235,FIND("°",F235,1)+1,(FIND("′",F235,1)-FIND("°",F235,1))-1)</f>
        <v>27</v>
      </c>
      <c r="O235" s="1" t="str">
        <f aca="false">MID(F235,FIND("′",F235,1)+1,(FIND("″",F235,1)-FIND("′",F235,1))-1)</f>
        <v>43</v>
      </c>
      <c r="P235" s="2" t="n">
        <f aca="false">((((L235/60)+K235)/60)+J235)*IF(C235="S",-1, 1)</f>
        <v>19.6983333333333</v>
      </c>
      <c r="Q235" s="2" t="n">
        <f aca="false">((((O235/60)+N235)/60)+M235)*IF(D235="W",-1, 1)</f>
        <v>-87.4619444444444</v>
      </c>
      <c r="R235" s="16" t="s">
        <v>498</v>
      </c>
    </row>
    <row r="236" customFormat="false" ht="15" hidden="false" customHeight="false" outlineLevel="0" collapsed="false">
      <c r="A236" s="1" t="n">
        <v>235</v>
      </c>
      <c r="B236" s="1" t="s">
        <v>45</v>
      </c>
      <c r="C236" s="1" t="s">
        <v>19</v>
      </c>
      <c r="D236" s="1" t="s">
        <v>20</v>
      </c>
      <c r="E236" s="7" t="s">
        <v>499</v>
      </c>
      <c r="F236" s="7" t="s">
        <v>500</v>
      </c>
      <c r="G236" s="1" t="s">
        <v>496</v>
      </c>
      <c r="H236" s="1" t="s">
        <v>340</v>
      </c>
      <c r="I236" s="1" t="s">
        <v>497</v>
      </c>
      <c r="J236" s="1" t="str">
        <f aca="false">MID(E236,1,FIND("°",E236,1)-1)</f>
        <v>19</v>
      </c>
      <c r="K236" s="1" t="str">
        <f aca="false">MID(E236,FIND("°",E236,1)+1,(FIND("′",E236,1)-FIND("°",E236,1))-1)</f>
        <v>43</v>
      </c>
      <c r="L236" s="1" t="str">
        <f aca="false">MID(E236,FIND("′",E236,1)+1,(FIND("″",E236,1)-FIND("′",E236,1))-1)</f>
        <v>35</v>
      </c>
      <c r="M236" s="1" t="str">
        <f aca="false">MID(F236,1,FIND("°",F236,1)-1)</f>
        <v>87</v>
      </c>
      <c r="N236" s="1" t="str">
        <f aca="false">MID(F236,FIND("°",F236,1)+1,(FIND("′",F236,1)-FIND("°",F236,1))-1)</f>
        <v>25</v>
      </c>
      <c r="O236" s="1" t="str">
        <f aca="false">MID(F236,FIND("′",F236,1)+1,(FIND("″",F236,1)-FIND("′",F236,1))-1)</f>
        <v>06</v>
      </c>
      <c r="P236" s="2" t="n">
        <f aca="false">((((L236/60)+K236)/60)+J236)*IF(C236="S",-1, 1)</f>
        <v>19.7263888888889</v>
      </c>
      <c r="Q236" s="2" t="n">
        <f aca="false">((((O236/60)+N236)/60)+M236)*IF(D236="W",-1, 1)</f>
        <v>-87.4183333333333</v>
      </c>
      <c r="R236" s="16" t="s">
        <v>498</v>
      </c>
    </row>
    <row r="237" customFormat="false" ht="15" hidden="false" customHeight="false" outlineLevel="0" collapsed="false">
      <c r="A237" s="1" t="n">
        <v>236</v>
      </c>
      <c r="B237" s="1" t="s">
        <v>44</v>
      </c>
      <c r="C237" s="1" t="s">
        <v>19</v>
      </c>
      <c r="D237" s="1" t="s">
        <v>20</v>
      </c>
      <c r="E237" s="7" t="s">
        <v>501</v>
      </c>
      <c r="F237" s="7" t="s">
        <v>502</v>
      </c>
      <c r="G237" s="1" t="s">
        <v>496</v>
      </c>
      <c r="H237" s="1" t="s">
        <v>340</v>
      </c>
      <c r="I237" s="1" t="s">
        <v>497</v>
      </c>
      <c r="J237" s="1" t="str">
        <f aca="false">MID(E237,1,FIND("°",E237,1)-1)</f>
        <v>19</v>
      </c>
      <c r="K237" s="1" t="str">
        <f aca="false">MID(E237,FIND("°",E237,1)+1,(FIND("′",E237,1)-FIND("°",E237,1))-1)</f>
        <v>44</v>
      </c>
      <c r="L237" s="1" t="str">
        <f aca="false">MID(E237,FIND("′",E237,1)+1,(FIND("″",E237,1)-FIND("′",E237,1))-1)</f>
        <v>04</v>
      </c>
      <c r="M237" s="1" t="str">
        <f aca="false">MID(F237,1,FIND("°",F237,1)-1)</f>
        <v>87</v>
      </c>
      <c r="N237" s="1" t="str">
        <f aca="false">MID(F237,FIND("°",F237,1)+1,(FIND("′",F237,1)-FIND("°",F237,1))-1)</f>
        <v>25</v>
      </c>
      <c r="O237" s="1" t="str">
        <f aca="false">MID(F237,FIND("′",F237,1)+1,(FIND("″",F237,1)-FIND("′",F237,1))-1)</f>
        <v>23</v>
      </c>
      <c r="P237" s="2" t="n">
        <f aca="false">((((L237/60)+K237)/60)+J237)*IF(C237="S",-1, 1)</f>
        <v>19.7344444444444</v>
      </c>
      <c r="Q237" s="2" t="n">
        <f aca="false">((((O237/60)+N237)/60)+M237)*IF(D237="W",-1, 1)</f>
        <v>-87.4230555555556</v>
      </c>
      <c r="R237" s="16" t="s">
        <v>498</v>
      </c>
    </row>
    <row r="238" customFormat="false" ht="15" hidden="false" customHeight="false" outlineLevel="0" collapsed="false">
      <c r="A238" s="1" t="n">
        <v>237</v>
      </c>
      <c r="B238" s="1" t="s">
        <v>44</v>
      </c>
      <c r="C238" s="1" t="s">
        <v>19</v>
      </c>
      <c r="D238" s="1" t="s">
        <v>20</v>
      </c>
      <c r="E238" s="7" t="s">
        <v>503</v>
      </c>
      <c r="F238" s="7" t="s">
        <v>504</v>
      </c>
      <c r="G238" s="1" t="s">
        <v>496</v>
      </c>
      <c r="H238" s="1" t="s">
        <v>340</v>
      </c>
      <c r="I238" s="1" t="s">
        <v>497</v>
      </c>
      <c r="J238" s="1" t="str">
        <f aca="false">MID(E238,1,FIND("°",E238,1)-1)</f>
        <v>19</v>
      </c>
      <c r="K238" s="1" t="str">
        <f aca="false">MID(E238,FIND("°",E238,1)+1,(FIND("′",E238,1)-FIND("°",E238,1))-1)</f>
        <v>46</v>
      </c>
      <c r="L238" s="1" t="str">
        <f aca="false">MID(E238,FIND("′",E238,1)+1,(FIND("″",E238,1)-FIND("′",E238,1))-1)</f>
        <v>33</v>
      </c>
      <c r="M238" s="1" t="str">
        <f aca="false">MID(F238,1,FIND("°",F238,1)-1)</f>
        <v>87</v>
      </c>
      <c r="N238" s="1" t="str">
        <f aca="false">MID(F238,FIND("°",F238,1)+1,(FIND("′",F238,1)-FIND("°",F238,1))-1)</f>
        <v>28</v>
      </c>
      <c r="O238" s="1" t="str">
        <f aca="false">MID(F238,FIND("′",F238,1)+1,(FIND("″",F238,1)-FIND("′",F238,1))-1)</f>
        <v>37</v>
      </c>
      <c r="P238" s="2" t="n">
        <f aca="false">((((L238/60)+K238)/60)+J238)*IF(C238="S",-1, 1)</f>
        <v>19.7758333333333</v>
      </c>
      <c r="Q238" s="2" t="n">
        <f aca="false">((((O238/60)+N238)/60)+M238)*IF(D238="W",-1, 1)</f>
        <v>-87.4769444444444</v>
      </c>
      <c r="R238" s="16" t="s">
        <v>498</v>
      </c>
    </row>
    <row r="239" customFormat="false" ht="15" hidden="false" customHeight="false" outlineLevel="0" collapsed="false">
      <c r="A239" s="1" t="n">
        <v>238</v>
      </c>
      <c r="B239" s="1" t="s">
        <v>44</v>
      </c>
      <c r="C239" s="1" t="s">
        <v>19</v>
      </c>
      <c r="D239" s="1" t="s">
        <v>20</v>
      </c>
      <c r="E239" s="7" t="s">
        <v>505</v>
      </c>
      <c r="F239" s="7" t="s">
        <v>506</v>
      </c>
      <c r="G239" s="1" t="s">
        <v>496</v>
      </c>
      <c r="H239" s="1" t="s">
        <v>340</v>
      </c>
      <c r="I239" s="1" t="s">
        <v>497</v>
      </c>
      <c r="J239" s="1" t="str">
        <f aca="false">MID(E239,1,FIND("°",E239,1)-1)</f>
        <v>19</v>
      </c>
      <c r="K239" s="1" t="str">
        <f aca="false">MID(E239,FIND("°",E239,1)+1,(FIND("′",E239,1)-FIND("°",E239,1))-1)</f>
        <v>38</v>
      </c>
      <c r="L239" s="1" t="str">
        <f aca="false">MID(E239,FIND("′",E239,1)+1,(FIND("″",E239,1)-FIND("′",E239,1))-1)</f>
        <v>59</v>
      </c>
      <c r="M239" s="1" t="str">
        <f aca="false">MID(F239,1,FIND("°",F239,1)-1)</f>
        <v>87</v>
      </c>
      <c r="N239" s="1" t="str">
        <f aca="false">MID(F239,FIND("°",F239,1)+1,(FIND("′",F239,1)-FIND("°",F239,1))-1)</f>
        <v>27</v>
      </c>
      <c r="O239" s="1" t="str">
        <f aca="false">MID(F239,FIND("′",F239,1)+1,(FIND("″",F239,1)-FIND("′",F239,1))-1)</f>
        <v>21</v>
      </c>
      <c r="P239" s="2" t="n">
        <f aca="false">((((L239/60)+K239)/60)+J239)*IF(C239="S",-1, 1)</f>
        <v>19.6497222222222</v>
      </c>
      <c r="Q239" s="2" t="n">
        <f aca="false">((((O239/60)+N239)/60)+M239)*IF(D239="W",-1, 1)</f>
        <v>-87.4558333333333</v>
      </c>
      <c r="R239" s="16" t="s">
        <v>498</v>
      </c>
    </row>
    <row r="240" customFormat="false" ht="15" hidden="false" customHeight="false" outlineLevel="0" collapsed="false">
      <c r="A240" s="1" t="n">
        <v>239</v>
      </c>
      <c r="B240" s="1" t="s">
        <v>44</v>
      </c>
      <c r="C240" s="1" t="s">
        <v>19</v>
      </c>
      <c r="D240" s="1" t="s">
        <v>20</v>
      </c>
      <c r="E240" s="7" t="s">
        <v>507</v>
      </c>
      <c r="F240" s="7" t="s">
        <v>508</v>
      </c>
      <c r="G240" s="1" t="s">
        <v>496</v>
      </c>
      <c r="H240" s="1" t="s">
        <v>340</v>
      </c>
      <c r="I240" s="1" t="s">
        <v>497</v>
      </c>
      <c r="J240" s="1" t="str">
        <f aca="false">MID(E240,1,FIND("°",E240,1)-1)</f>
        <v>19</v>
      </c>
      <c r="K240" s="1" t="str">
        <f aca="false">MID(E240,FIND("°",E240,1)+1,(FIND("′",E240,1)-FIND("°",E240,1))-1)</f>
        <v>38</v>
      </c>
      <c r="L240" s="1" t="str">
        <f aca="false">MID(E240,FIND("′",E240,1)+1,(FIND("″",E240,1)-FIND("′",E240,1))-1)</f>
        <v>36</v>
      </c>
      <c r="M240" s="1" t="str">
        <f aca="false">MID(F240,1,FIND("°",F240,1)-1)</f>
        <v>87</v>
      </c>
      <c r="N240" s="1" t="str">
        <f aca="false">MID(F240,FIND("°",F240,1)+1,(FIND("′",F240,1)-FIND("°",F240,1))-1)</f>
        <v>27</v>
      </c>
      <c r="O240" s="1" t="str">
        <f aca="false">MID(F240,FIND("′",F240,1)+1,(FIND("″",F240,1)-FIND("′",F240,1))-1)</f>
        <v>36</v>
      </c>
      <c r="P240" s="2" t="n">
        <f aca="false">((((L240/60)+K240)/60)+J240)*IF(C240="S",-1, 1)</f>
        <v>19.6433333333333</v>
      </c>
      <c r="Q240" s="2" t="n">
        <f aca="false">((((O240/60)+N240)/60)+M240)*IF(D241="W",-1, 1)</f>
        <v>-87.46</v>
      </c>
      <c r="R240" s="16" t="s">
        <v>498</v>
      </c>
    </row>
    <row r="241" customFormat="false" ht="15" hidden="false" customHeight="false" outlineLevel="0" collapsed="false">
      <c r="A241" s="1" t="n">
        <v>240</v>
      </c>
      <c r="B241" s="1" t="s">
        <v>18</v>
      </c>
      <c r="C241" s="1" t="s">
        <v>19</v>
      </c>
      <c r="D241" s="1" t="s">
        <v>20</v>
      </c>
      <c r="E241" s="7" t="s">
        <v>509</v>
      </c>
      <c r="F241" s="7" t="s">
        <v>510</v>
      </c>
      <c r="G241" s="7" t="s">
        <v>511</v>
      </c>
      <c r="H241" s="1" t="s">
        <v>340</v>
      </c>
      <c r="I241" s="1" t="s">
        <v>302</v>
      </c>
      <c r="J241" s="1" t="str">
        <f aca="false">MID(E241,1,FIND("°",E241,1)-1)</f>
        <v>22</v>
      </c>
      <c r="K241" s="1" t="str">
        <f aca="false">MID(E241,FIND("°",E241,1)+1,(FIND("′",E241,1)-FIND("°",E241,1))-1)</f>
        <v>20</v>
      </c>
      <c r="L241" s="1" t="str">
        <f aca="false">MID(E241,FIND("′",E241,1)+1,(FIND("″",E241,1)-FIND("′",E241,1))-1)</f>
        <v>56</v>
      </c>
      <c r="M241" s="1" t="str">
        <f aca="false">MID(F241,1,FIND("°",F241,1)-1)</f>
        <v>82</v>
      </c>
      <c r="N241" s="1" t="str">
        <f aca="false">MID(F241,FIND("°",F241,1)+1,(FIND("′",F241,1)-FIND("°",F241,1))-1)</f>
        <v>20</v>
      </c>
      <c r="O241" s="1" t="str">
        <f aca="false">MID(F241,FIND("′",F241,1)+1,(FIND("″",F241,1)-FIND("′",F241,1))-1)</f>
        <v>09</v>
      </c>
      <c r="P241" s="2" t="n">
        <f aca="false">((((L241/60)+K241)/60)+J241)*IF(C241="S",-1, 1)</f>
        <v>22.3488888888889</v>
      </c>
      <c r="Q241" s="2" t="n">
        <f aca="false">((((O241/60)+N241)/60)+M241)*IF(D242="W",-1, 1)</f>
        <v>-82.3358333333333</v>
      </c>
      <c r="R241" s="16" t="s">
        <v>512</v>
      </c>
    </row>
    <row r="242" customFormat="false" ht="15" hidden="false" customHeight="false" outlineLevel="0" collapsed="false">
      <c r="A242" s="1" t="n">
        <v>241</v>
      </c>
      <c r="B242" s="1" t="s">
        <v>18</v>
      </c>
      <c r="C242" s="1" t="s">
        <v>19</v>
      </c>
      <c r="D242" s="1" t="s">
        <v>20</v>
      </c>
      <c r="E242" s="7" t="s">
        <v>513</v>
      </c>
      <c r="F242" s="7" t="s">
        <v>514</v>
      </c>
      <c r="G242" s="7" t="s">
        <v>511</v>
      </c>
      <c r="H242" s="1" t="s">
        <v>340</v>
      </c>
      <c r="I242" s="1" t="s">
        <v>302</v>
      </c>
      <c r="J242" s="1" t="str">
        <f aca="false">MID(E242,1,FIND("°",E242,1)-1)</f>
        <v>22</v>
      </c>
      <c r="K242" s="1" t="str">
        <f aca="false">MID(E242,FIND("°",E242,1)+1,(FIND("′",E242,1)-FIND("°",E242,1))-1)</f>
        <v>13</v>
      </c>
      <c r="L242" s="1" t="str">
        <f aca="false">MID(E242,FIND("′",E242,1)+1,(FIND("″",E242,1)-FIND("′",E242,1))-1)</f>
        <v>21</v>
      </c>
      <c r="M242" s="1" t="str">
        <f aca="false">MID(F242,1,FIND("°",F242,1)-1)</f>
        <v>82</v>
      </c>
      <c r="N242" s="1" t="str">
        <f aca="false">MID(F242,FIND("°",F242,1)+1,(FIND("′",F242,1)-FIND("°",F242,1))-1)</f>
        <v>22</v>
      </c>
      <c r="O242" s="1" t="str">
        <f aca="false">MID(F242,FIND("′",F242,1)+1,(FIND("″",F242,1)-FIND("′",F242,1))-1)</f>
        <v>28</v>
      </c>
      <c r="P242" s="2" t="n">
        <f aca="false">((((L242/60)+K242)/60)+J242)*IF(C242="S",-1, 1)</f>
        <v>22.2225</v>
      </c>
      <c r="Q242" s="2" t="n">
        <f aca="false">((((O242/60)+N242)/60)+M242)*IF(D243="W",-1, 1)</f>
        <v>-82.3744444444445</v>
      </c>
      <c r="R242" s="16" t="s">
        <v>512</v>
      </c>
    </row>
    <row r="243" customFormat="false" ht="15" hidden="false" customHeight="false" outlineLevel="0" collapsed="false">
      <c r="A243" s="1" t="n">
        <v>242</v>
      </c>
      <c r="B243" s="1" t="s">
        <v>18</v>
      </c>
      <c r="C243" s="1" t="s">
        <v>19</v>
      </c>
      <c r="D243" s="1" t="s">
        <v>20</v>
      </c>
      <c r="E243" s="7" t="s">
        <v>515</v>
      </c>
      <c r="F243" s="7" t="s">
        <v>516</v>
      </c>
      <c r="G243" s="7" t="s">
        <v>511</v>
      </c>
      <c r="H243" s="1" t="s">
        <v>340</v>
      </c>
      <c r="I243" s="1" t="s">
        <v>302</v>
      </c>
      <c r="J243" s="1" t="str">
        <f aca="false">MID(E243,1,FIND("°",E243,1)-1)</f>
        <v>22</v>
      </c>
      <c r="K243" s="1" t="str">
        <f aca="false">MID(E243,FIND("°",E243,1)+1,(FIND("′",E243,1)-FIND("°",E243,1))-1)</f>
        <v>18</v>
      </c>
      <c r="L243" s="1" t="str">
        <f aca="false">MID(E243,FIND("′",E243,1)+1,(FIND("″",E243,1)-FIND("′",E243,1))-1)</f>
        <v>23</v>
      </c>
      <c r="M243" s="1" t="str">
        <f aca="false">MID(F243,1,FIND("°",F243,1)-1)</f>
        <v>82</v>
      </c>
      <c r="N243" s="1" t="str">
        <f aca="false">MID(F243,FIND("°",F243,1)+1,(FIND("′",F243,1)-FIND("°",F243,1))-1)</f>
        <v>45</v>
      </c>
      <c r="O243" s="1" t="str">
        <f aca="false">MID(F243,FIND("′",F243,1)+1,(FIND("″",F243,1)-FIND("′",F243,1))-1)</f>
        <v>03</v>
      </c>
      <c r="P243" s="2" t="n">
        <f aca="false">((((L243/60)+K243)/60)+J243)*IF(C243="S",-1, 1)</f>
        <v>22.3063888888889</v>
      </c>
      <c r="Q243" s="2" t="n">
        <f aca="false">((((O243/60)+N243)/60)+M243)*IF(D244="W",-1, 1)</f>
        <v>-82.7508333333333</v>
      </c>
      <c r="R243" s="16" t="s">
        <v>512</v>
      </c>
    </row>
    <row r="244" customFormat="false" ht="15" hidden="false" customHeight="false" outlineLevel="0" collapsed="false">
      <c r="A244" s="1" t="n">
        <v>243</v>
      </c>
      <c r="B244" s="1" t="s">
        <v>18</v>
      </c>
      <c r="C244" s="1" t="s">
        <v>19</v>
      </c>
      <c r="D244" s="1" t="s">
        <v>20</v>
      </c>
      <c r="E244" s="7" t="s">
        <v>515</v>
      </c>
      <c r="F244" s="7" t="s">
        <v>517</v>
      </c>
      <c r="G244" s="7" t="s">
        <v>511</v>
      </c>
      <c r="H244" s="1" t="s">
        <v>340</v>
      </c>
      <c r="I244" s="1" t="s">
        <v>302</v>
      </c>
      <c r="J244" s="1" t="str">
        <f aca="false">MID(E244,1,FIND("°",E244,1)-1)</f>
        <v>22</v>
      </c>
      <c r="K244" s="1" t="str">
        <f aca="false">MID(E244,FIND("°",E244,1)+1,(FIND("′",E244,1)-FIND("°",E244,1))-1)</f>
        <v>18</v>
      </c>
      <c r="L244" s="1" t="str">
        <f aca="false">MID(E244,FIND("′",E244,1)+1,(FIND("″",E244,1)-FIND("′",E244,1))-1)</f>
        <v>23</v>
      </c>
      <c r="M244" s="1" t="str">
        <f aca="false">MID(F244,1,FIND("°",F244,1)-1)</f>
        <v>83</v>
      </c>
      <c r="N244" s="1" t="str">
        <f aca="false">MID(F244,FIND("°",F244,1)+1,(FIND("′",F244,1)-FIND("°",F244,1))-1)</f>
        <v>04</v>
      </c>
      <c r="O244" s="1" t="str">
        <f aca="false">MID(F244,FIND("′",F244,1)+1,(FIND("″",F244,1)-FIND("′",F244,1))-1)</f>
        <v>41</v>
      </c>
      <c r="P244" s="2" t="n">
        <f aca="false">((((L244/60)+K244)/60)+J244)*IF(C244="S",-1, 1)</f>
        <v>22.3063888888889</v>
      </c>
      <c r="Q244" s="2" t="n">
        <f aca="false">((((O244/60)+N244)/60)+M244)*IF(D245="W",-1, 1)</f>
        <v>-83.0780555555556</v>
      </c>
      <c r="R244" s="16" t="s">
        <v>512</v>
      </c>
    </row>
    <row r="245" customFormat="false" ht="15" hidden="false" customHeight="false" outlineLevel="0" collapsed="false">
      <c r="A245" s="1" t="n">
        <v>244</v>
      </c>
      <c r="B245" s="1" t="s">
        <v>18</v>
      </c>
      <c r="C245" s="1" t="s">
        <v>19</v>
      </c>
      <c r="D245" s="1" t="s">
        <v>20</v>
      </c>
      <c r="E245" s="7" t="s">
        <v>518</v>
      </c>
      <c r="F245" s="7" t="s">
        <v>519</v>
      </c>
      <c r="G245" s="7" t="s">
        <v>511</v>
      </c>
      <c r="H245" s="1" t="s">
        <v>340</v>
      </c>
      <c r="I245" s="1" t="s">
        <v>302</v>
      </c>
      <c r="J245" s="1" t="str">
        <f aca="false">MID(E245,1,FIND("°",E245,1)-1)</f>
        <v>22</v>
      </c>
      <c r="K245" s="1" t="str">
        <f aca="false">MID(E245,FIND("°",E245,1)+1,(FIND("′",E245,1)-FIND("°",E245,1))-1)</f>
        <v>10</v>
      </c>
      <c r="L245" s="1" t="str">
        <f aca="false">MID(E245,FIND("′",E245,1)+1,(FIND("″",E245,1)-FIND("′",E245,1))-1)</f>
        <v>42</v>
      </c>
      <c r="M245" s="1" t="str">
        <f aca="false">MID(F245,1,FIND("°",F245,1)-1)</f>
        <v>83</v>
      </c>
      <c r="N245" s="1" t="str">
        <f aca="false">MID(F245,FIND("°",F245,1)+1,(FIND("′",F245,1)-FIND("°",F245,1))-1)</f>
        <v>12</v>
      </c>
      <c r="O245" s="1" t="str">
        <f aca="false">MID(F245,FIND("′",F245,1)+1,(FIND("″",F245,1)-FIND("′",F245,1))-1)</f>
        <v>51</v>
      </c>
      <c r="P245" s="2" t="n">
        <f aca="false">((((L245/60)+K245)/60)+J245)*IF(C245="S",-1, 1)</f>
        <v>22.1783333333333</v>
      </c>
      <c r="Q245" s="2" t="n">
        <f aca="false">((((O245/60)+N245)/60)+M245)*IF(D246="W",-1, 1)</f>
        <v>-83.2141666666667</v>
      </c>
      <c r="R245" s="16" t="s">
        <v>512</v>
      </c>
    </row>
    <row r="246" customFormat="false" ht="15" hidden="false" customHeight="false" outlineLevel="0" collapsed="false">
      <c r="A246" s="1" t="n">
        <v>245</v>
      </c>
      <c r="B246" s="1" t="s">
        <v>18</v>
      </c>
      <c r="C246" s="1" t="s">
        <v>19</v>
      </c>
      <c r="D246" s="1" t="s">
        <v>20</v>
      </c>
      <c r="E246" s="7" t="s">
        <v>520</v>
      </c>
      <c r="F246" s="7" t="s">
        <v>521</v>
      </c>
      <c r="G246" s="7" t="s">
        <v>511</v>
      </c>
      <c r="H246" s="1" t="s">
        <v>340</v>
      </c>
      <c r="I246" s="1" t="s">
        <v>302</v>
      </c>
      <c r="J246" s="1" t="str">
        <f aca="false">MID(E246,1,FIND("°",E246,1)-1)</f>
        <v>22</v>
      </c>
      <c r="K246" s="1" t="str">
        <f aca="false">MID(E246,FIND("°",E246,1)+1,(FIND("′",E246,1)-FIND("°",E246,1))-1)</f>
        <v>03</v>
      </c>
      <c r="L246" s="1" t="str">
        <f aca="false">MID(E246,FIND("′",E246,1)+1,(FIND("″",E246,1)-FIND("′",E246,1))-1)</f>
        <v>43</v>
      </c>
      <c r="M246" s="1" t="str">
        <f aca="false">MID(F246,1,FIND("°",F246,1)-1)</f>
        <v>83</v>
      </c>
      <c r="N246" s="1" t="str">
        <f aca="false">MID(F246,FIND("°",F246,1)+1,(FIND("′",F246,1)-FIND("°",F246,1))-1)</f>
        <v>04</v>
      </c>
      <c r="O246" s="1" t="str">
        <f aca="false">MID(F246,FIND("′",F246,1)+1,(FIND("″",F246,1)-FIND("′",F246,1))-1)</f>
        <v>22</v>
      </c>
      <c r="P246" s="2" t="n">
        <f aca="false">((((L246/60)+K246)/60)+J246)*IF(C246="S",-1, 1)</f>
        <v>22.0619444444444</v>
      </c>
      <c r="Q246" s="2" t="n">
        <f aca="false">((((O246/60)+N246)/60)+M246)*IF(D247="W",-1, 1)</f>
        <v>-83.0727777777778</v>
      </c>
      <c r="R246" s="16" t="s">
        <v>512</v>
      </c>
    </row>
    <row r="247" customFormat="false" ht="15" hidden="false" customHeight="false" outlineLevel="0" collapsed="false">
      <c r="A247" s="1" t="n">
        <v>246</v>
      </c>
      <c r="B247" s="1" t="s">
        <v>18</v>
      </c>
      <c r="C247" s="1" t="s">
        <v>19</v>
      </c>
      <c r="D247" s="1" t="s">
        <v>20</v>
      </c>
      <c r="E247" s="7" t="s">
        <v>522</v>
      </c>
      <c r="F247" s="7" t="s">
        <v>523</v>
      </c>
      <c r="G247" s="7" t="s">
        <v>511</v>
      </c>
      <c r="H247" s="1" t="s">
        <v>340</v>
      </c>
      <c r="I247" s="1" t="s">
        <v>302</v>
      </c>
      <c r="J247" s="1" t="str">
        <f aca="false">MID(E247,1,FIND("°",E247,1)-1)</f>
        <v>21</v>
      </c>
      <c r="K247" s="1" t="str">
        <f aca="false">MID(E247,FIND("°",E247,1)+1,(FIND("′",E247,1)-FIND("°",E247,1))-1)</f>
        <v>55</v>
      </c>
      <c r="L247" s="1" t="str">
        <f aca="false">MID(E247,FIND("′",E247,1)+1,(FIND("″",E247,1)-FIND("′",E247,1))-1)</f>
        <v>27</v>
      </c>
      <c r="M247" s="1" t="str">
        <f aca="false">MID(F247,1,FIND("°",F247,1)-1)</f>
        <v>82</v>
      </c>
      <c r="N247" s="1" t="str">
        <f aca="false">MID(F247,FIND("°",F247,1)+1,(FIND("′",F247,1)-FIND("°",F247,1))-1)</f>
        <v>47</v>
      </c>
      <c r="O247" s="1" t="str">
        <f aca="false">MID(F247,FIND("′",F247,1)+1,(FIND("″",F247,1)-FIND("′",F247,1))-1)</f>
        <v>22</v>
      </c>
      <c r="P247" s="2" t="n">
        <f aca="false">((((L247/60)+K247)/60)+J247)*IF(C247="S",-1, 1)</f>
        <v>21.9241666666667</v>
      </c>
      <c r="Q247" s="2" t="n">
        <f aca="false">((((O247/60)+N247)/60)+M247)*IF(D248="W",-1, 1)</f>
        <v>-82.7894444444444</v>
      </c>
      <c r="R247" s="16" t="s">
        <v>512</v>
      </c>
    </row>
    <row r="248" customFormat="false" ht="15" hidden="false" customHeight="false" outlineLevel="0" collapsed="false">
      <c r="A248" s="1" t="n">
        <v>247</v>
      </c>
      <c r="B248" s="1" t="s">
        <v>18</v>
      </c>
      <c r="C248" s="1" t="s">
        <v>19</v>
      </c>
      <c r="D248" s="1" t="s">
        <v>20</v>
      </c>
      <c r="E248" s="7" t="s">
        <v>524</v>
      </c>
      <c r="F248" s="7" t="s">
        <v>525</v>
      </c>
      <c r="G248" s="7" t="s">
        <v>511</v>
      </c>
      <c r="H248" s="1" t="s">
        <v>340</v>
      </c>
      <c r="I248" s="1" t="s">
        <v>302</v>
      </c>
      <c r="J248" s="1" t="str">
        <f aca="false">MID(E248,1,FIND("°",E248,1)-1)</f>
        <v>21</v>
      </c>
      <c r="K248" s="1" t="str">
        <f aca="false">MID(E248,FIND("°",E248,1)+1,(FIND("′",E248,1)-FIND("°",E248,1))-1)</f>
        <v>45</v>
      </c>
      <c r="L248" s="1" t="str">
        <f aca="false">MID(E248,FIND("′",E248,1)+1,(FIND("″",E248,1)-FIND("′",E248,1))-1)</f>
        <v>33</v>
      </c>
      <c r="M248" s="1" t="str">
        <f aca="false">MID(F248,1,FIND("°",F248,1)-1)</f>
        <v>82</v>
      </c>
      <c r="N248" s="1" t="str">
        <f aca="false">MID(F248,FIND("°",F248,1)+1,(FIND("′",F248,1)-FIND("°",F248,1))-1)</f>
        <v>29</v>
      </c>
      <c r="O248" s="1" t="str">
        <f aca="false">MID(F248,FIND("′",F248,1)+1,(FIND("″",F248,1)-FIND("′",F248,1))-1)</f>
        <v>48</v>
      </c>
      <c r="P248" s="2" t="n">
        <f aca="false">((((L248/60)+K248)/60)+J248)*IF(C248="S",-1, 1)</f>
        <v>21.7591666666667</v>
      </c>
      <c r="Q248" s="2" t="n">
        <f aca="false">((((O248/60)+N248)/60)+M248)*IF(D249="W",-1, 1)</f>
        <v>-82.4966666666667</v>
      </c>
      <c r="R248" s="16" t="s">
        <v>512</v>
      </c>
    </row>
    <row r="249" customFormat="false" ht="15" hidden="false" customHeight="false" outlineLevel="0" collapsed="false">
      <c r="A249" s="1" t="n">
        <v>248</v>
      </c>
      <c r="B249" s="1" t="s">
        <v>18</v>
      </c>
      <c r="C249" s="1" t="s">
        <v>19</v>
      </c>
      <c r="D249" s="1" t="s">
        <v>20</v>
      </c>
      <c r="E249" s="7" t="s">
        <v>526</v>
      </c>
      <c r="F249" s="7" t="s">
        <v>527</v>
      </c>
      <c r="G249" s="7" t="s">
        <v>511</v>
      </c>
      <c r="H249" s="1" t="s">
        <v>340</v>
      </c>
      <c r="I249" s="1" t="s">
        <v>302</v>
      </c>
      <c r="J249" s="1" t="str">
        <f aca="false">MID(E249,1,FIND("°",E249,1)-1)</f>
        <v>21</v>
      </c>
      <c r="K249" s="1" t="str">
        <f aca="false">MID(E249,FIND("°",E249,1)+1,(FIND("′",E249,1)-FIND("°",E249,1))-1)</f>
        <v>35</v>
      </c>
      <c r="L249" s="1" t="str">
        <f aca="false">MID(E249,FIND("′",E249,1)+1,(FIND("″",E249,1)-FIND("′",E249,1))-1)</f>
        <v>36</v>
      </c>
      <c r="M249" s="1" t="str">
        <f aca="false">MID(F249,1,FIND("°",F249,1)-1)</f>
        <v>82</v>
      </c>
      <c r="N249" s="1" t="str">
        <f aca="false">MID(F249,FIND("°",F249,1)+1,(FIND("′",F249,1)-FIND("°",F249,1))-1)</f>
        <v>20</v>
      </c>
      <c r="O249" s="1" t="str">
        <f aca="false">MID(F249,FIND("′",F249,1)+1,(FIND("″",F249,1)-FIND("′",F249,1))-1)</f>
        <v>44</v>
      </c>
      <c r="P249" s="2" t="n">
        <f aca="false">((((L249/60)+K249)/60)+J249)*IF(C249="S",-1, 1)</f>
        <v>21.5933333333333</v>
      </c>
      <c r="Q249" s="2" t="n">
        <f aca="false">((((O249/60)+N249)/60)+M249)*IF(D250="W",-1, 1)</f>
        <v>-82.3455555555556</v>
      </c>
      <c r="R249" s="16" t="s">
        <v>512</v>
      </c>
    </row>
    <row r="250" customFormat="false" ht="15" hidden="false" customHeight="false" outlineLevel="0" collapsed="false">
      <c r="A250" s="1" t="n">
        <v>249</v>
      </c>
      <c r="B250" s="1" t="s">
        <v>18</v>
      </c>
      <c r="C250" s="1" t="s">
        <v>19</v>
      </c>
      <c r="D250" s="1" t="s">
        <v>20</v>
      </c>
      <c r="E250" s="7" t="s">
        <v>528</v>
      </c>
      <c r="F250" s="7" t="s">
        <v>529</v>
      </c>
      <c r="G250" s="7" t="s">
        <v>511</v>
      </c>
      <c r="H250" s="1" t="s">
        <v>340</v>
      </c>
      <c r="I250" s="1" t="s">
        <v>302</v>
      </c>
      <c r="J250" s="1" t="str">
        <f aca="false">MID(E250,1,FIND("°",E250,1)-1)</f>
        <v>21</v>
      </c>
      <c r="K250" s="1" t="str">
        <f aca="false">MID(E250,FIND("°",E250,1)+1,(FIND("′",E250,1)-FIND("°",E250,1))-1)</f>
        <v>43</v>
      </c>
      <c r="L250" s="1" t="str">
        <f aca="false">MID(E250,FIND("′",E250,1)+1,(FIND("″",E250,1)-FIND("′",E250,1))-1)</f>
        <v>01</v>
      </c>
      <c r="M250" s="1" t="str">
        <f aca="false">MID(F250,1,FIND("°",F250,1)-1)</f>
        <v>82</v>
      </c>
      <c r="N250" s="1" t="str">
        <f aca="false">MID(F250,FIND("°",F250,1)+1,(FIND("′",F250,1)-FIND("°",F250,1))-1)</f>
        <v>03</v>
      </c>
      <c r="O250" s="1" t="str">
        <f aca="false">MID(F250,FIND("′",F250,1)+1,(FIND("″",F250,1)-FIND("′",F250,1))-1)</f>
        <v>38</v>
      </c>
      <c r="P250" s="2" t="n">
        <f aca="false">((((L250/60)+K250)/60)+J250)*IF(C250="S",-1, 1)</f>
        <v>21.7169444444444</v>
      </c>
      <c r="Q250" s="2" t="n">
        <f aca="false">((((O250/60)+N250)/60)+M250)*IF(D251="W",-1, 1)</f>
        <v>-82.0605555555556</v>
      </c>
      <c r="R250" s="16" t="s">
        <v>512</v>
      </c>
    </row>
    <row r="251" customFormat="false" ht="15" hidden="false" customHeight="false" outlineLevel="0" collapsed="false">
      <c r="A251" s="1" t="n">
        <v>250</v>
      </c>
      <c r="B251" s="1" t="s">
        <v>18</v>
      </c>
      <c r="C251" s="1" t="s">
        <v>19</v>
      </c>
      <c r="D251" s="1" t="s">
        <v>20</v>
      </c>
      <c r="E251" s="7" t="s">
        <v>530</v>
      </c>
      <c r="F251" s="7" t="s">
        <v>531</v>
      </c>
      <c r="G251" s="7" t="s">
        <v>511</v>
      </c>
      <c r="H251" s="1" t="s">
        <v>340</v>
      </c>
      <c r="I251" s="1" t="s">
        <v>302</v>
      </c>
      <c r="J251" s="1" t="str">
        <f aca="false">MID(E251,1,FIND("°",E251,1)-1)</f>
        <v>21</v>
      </c>
      <c r="K251" s="1" t="str">
        <f aca="false">MID(E251,FIND("°",E251,1)+1,(FIND("′",E251,1)-FIND("°",E251,1))-1)</f>
        <v>52</v>
      </c>
      <c r="L251" s="1" t="str">
        <f aca="false">MID(E251,FIND("′",E251,1)+1,(FIND("″",E251,1)-FIND("′",E251,1))-1)</f>
        <v>06</v>
      </c>
      <c r="M251" s="1" t="str">
        <f aca="false">MID(F251,1,FIND("°",F251,1)-1)</f>
        <v>81</v>
      </c>
      <c r="N251" s="1" t="str">
        <f aca="false">MID(F251,FIND("°",F251,1)+1,(FIND("′",F251,1)-FIND("°",F251,1))-1)</f>
        <v>49</v>
      </c>
      <c r="O251" s="1" t="str">
        <f aca="false">MID(F251,FIND("′",F251,1)+1,(FIND("″",F251,1)-FIND("′",F251,1))-1)</f>
        <v>32</v>
      </c>
      <c r="P251" s="2" t="n">
        <f aca="false">((((L251/60)+K251)/60)+J251)*IF(C251="S",-1, 1)</f>
        <v>21.8683333333333</v>
      </c>
      <c r="Q251" s="2" t="n">
        <f aca="false">((((O251/60)+N251)/60)+M251)*IF(D252="W",-1, 1)</f>
        <v>-81.8255555555556</v>
      </c>
      <c r="R251" s="16" t="s">
        <v>512</v>
      </c>
    </row>
    <row r="252" customFormat="false" ht="15" hidden="false" customHeight="false" outlineLevel="0" collapsed="false">
      <c r="A252" s="1" t="n">
        <v>251</v>
      </c>
      <c r="B252" s="1" t="s">
        <v>18</v>
      </c>
      <c r="C252" s="1" t="s">
        <v>19</v>
      </c>
      <c r="D252" s="1" t="s">
        <v>20</v>
      </c>
      <c r="E252" s="7" t="s">
        <v>532</v>
      </c>
      <c r="F252" s="7" t="s">
        <v>533</v>
      </c>
      <c r="G252" s="7" t="s">
        <v>511</v>
      </c>
      <c r="H252" s="1" t="s">
        <v>340</v>
      </c>
      <c r="I252" s="1" t="s">
        <v>302</v>
      </c>
      <c r="J252" s="1" t="str">
        <f aca="false">MID(E252,1,FIND("°",E252,1)-1)</f>
        <v>22</v>
      </c>
      <c r="K252" s="1" t="str">
        <f aca="false">MID(E252,FIND("°",E252,1)+1,(FIND("′",E252,1)-FIND("°",E252,1))-1)</f>
        <v>02</v>
      </c>
      <c r="L252" s="1" t="str">
        <f aca="false">MID(E252,FIND("′",E252,1)+1,(FIND("″",E252,1)-FIND("′",E252,1))-1)</f>
        <v>00</v>
      </c>
      <c r="M252" s="1" t="str">
        <f aca="false">MID(F252,1,FIND("°",F252,1)-1)</f>
        <v>81</v>
      </c>
      <c r="N252" s="1" t="str">
        <f aca="false">MID(F252,FIND("°",F252,1)+1,(FIND("′",F252,1)-FIND("°",F252,1))-1)</f>
        <v>35</v>
      </c>
      <c r="O252" s="1" t="str">
        <f aca="false">MID(F252,FIND("′",F252,1)+1,(FIND("″",F252,1)-FIND("′",F252,1))-1)</f>
        <v>18</v>
      </c>
      <c r="P252" s="2" t="n">
        <f aca="false">((((L252/60)+K252)/60)+J252)*IF(C252="S",-1, 1)</f>
        <v>22.0333333333333</v>
      </c>
      <c r="Q252" s="2" t="n">
        <f aca="false">((((O252/60)+N252)/60)+M252)*IF(D253="W",-1, 1)</f>
        <v>-81.5883333333333</v>
      </c>
      <c r="R252" s="16" t="s">
        <v>512</v>
      </c>
    </row>
    <row r="253" customFormat="false" ht="15" hidden="false" customHeight="false" outlineLevel="0" collapsed="false">
      <c r="A253" s="1" t="n">
        <v>252</v>
      </c>
      <c r="B253" s="1" t="s">
        <v>18</v>
      </c>
      <c r="C253" s="1" t="s">
        <v>19</v>
      </c>
      <c r="D253" s="1" t="s">
        <v>20</v>
      </c>
      <c r="E253" s="7" t="s">
        <v>534</v>
      </c>
      <c r="F253" s="7" t="s">
        <v>535</v>
      </c>
      <c r="G253" s="7" t="s">
        <v>536</v>
      </c>
      <c r="H253" s="1" t="s">
        <v>340</v>
      </c>
      <c r="I253" s="1" t="s">
        <v>537</v>
      </c>
      <c r="J253" s="1" t="str">
        <f aca="false">MID(E253,1,FIND("°",E253,1)-1)</f>
        <v>20</v>
      </c>
      <c r="K253" s="1" t="str">
        <f aca="false">MID(E253,FIND("°",E253,1)+1,(FIND("′",E253,1)-FIND("°",E253,1))-1)</f>
        <v>32</v>
      </c>
      <c r="L253" s="1" t="str">
        <f aca="false">MID(E253,FIND("′",E253,1)+1,(FIND("″",E253,1)-FIND("′",E253,1))-1)</f>
        <v>36</v>
      </c>
      <c r="M253" s="1" t="str">
        <f aca="false">MID(F253,1,FIND("°",F253,1)-1)</f>
        <v>78</v>
      </c>
      <c r="N253" s="1" t="str">
        <f aca="false">MID(F253,FIND("°",F253,1)+1,(FIND("′",F253,1)-FIND("°",F253,1))-1)</f>
        <v>21</v>
      </c>
      <c r="O253" s="1" t="str">
        <f aca="false">MID(F253,FIND("′",F253,1)+1,(FIND("″",F253,1)-FIND("′",F253,1))-1)</f>
        <v>00</v>
      </c>
      <c r="P253" s="2" t="n">
        <f aca="false">((((L253/60)+K253)/60)+J253)*IF(C253="S",-1, 1)</f>
        <v>20.5433333333333</v>
      </c>
      <c r="Q253" s="2" t="n">
        <f aca="false">((((O253/60)+N253)/60)+M253)*IF(D254="W",-1, 1)</f>
        <v>-78.35</v>
      </c>
      <c r="R253" s="16" t="s">
        <v>538</v>
      </c>
    </row>
    <row r="254" customFormat="false" ht="15" hidden="false" customHeight="false" outlineLevel="0" collapsed="false">
      <c r="A254" s="1" t="n">
        <v>253</v>
      </c>
      <c r="B254" s="1" t="s">
        <v>18</v>
      </c>
      <c r="C254" s="1" t="s">
        <v>19</v>
      </c>
      <c r="D254" s="1" t="s">
        <v>20</v>
      </c>
      <c r="E254" s="7" t="s">
        <v>539</v>
      </c>
      <c r="F254" s="7" t="s">
        <v>540</v>
      </c>
      <c r="G254" s="7" t="s">
        <v>536</v>
      </c>
      <c r="H254" s="1" t="s">
        <v>340</v>
      </c>
      <c r="I254" s="1" t="s">
        <v>537</v>
      </c>
      <c r="J254" s="1" t="str">
        <f aca="false">MID(E254,1,FIND("°",E254,1)-1)</f>
        <v>20</v>
      </c>
      <c r="K254" s="1" t="str">
        <f aca="false">MID(E254,FIND("°",E254,1)+1,(FIND("′",E254,1)-FIND("°",E254,1))-1)</f>
        <v>40</v>
      </c>
      <c r="L254" s="1" t="str">
        <f aca="false">MID(E254,FIND("′",E254,1)+1,(FIND("″",E254,1)-FIND("′",E254,1))-1)</f>
        <v>14</v>
      </c>
      <c r="M254" s="1" t="str">
        <f aca="false">MID(F254,1,FIND("°",F254,1)-1)</f>
        <v>78</v>
      </c>
      <c r="N254" s="1" t="str">
        <f aca="false">MID(F254,FIND("°",F254,1)+1,(FIND("′",F254,1)-FIND("°",F254,1))-1)</f>
        <v>41</v>
      </c>
      <c r="O254" s="1" t="str">
        <f aca="false">MID(F254,FIND("′",F254,1)+1,(FIND("″",F254,1)-FIND("′",F254,1))-1)</f>
        <v>15</v>
      </c>
      <c r="P254" s="2" t="n">
        <f aca="false">((((L254/60)+K254)/60)+J254)*IF(C254="S",-1, 1)</f>
        <v>20.6705555555556</v>
      </c>
      <c r="Q254" s="2" t="n">
        <f aca="false">((((O254/60)+N254)/60)+M254)*IF(D255="W",-1, 1)</f>
        <v>-78.6875</v>
      </c>
      <c r="R254" s="16" t="s">
        <v>538</v>
      </c>
    </row>
    <row r="255" customFormat="false" ht="15" hidden="false" customHeight="false" outlineLevel="0" collapsed="false">
      <c r="A255" s="1" t="n">
        <v>254</v>
      </c>
      <c r="B255" s="1" t="s">
        <v>18</v>
      </c>
      <c r="C255" s="1" t="s">
        <v>19</v>
      </c>
      <c r="D255" s="1" t="s">
        <v>20</v>
      </c>
      <c r="E255" s="7" t="s">
        <v>541</v>
      </c>
      <c r="F255" s="7" t="s">
        <v>542</v>
      </c>
      <c r="G255" s="7" t="s">
        <v>536</v>
      </c>
      <c r="H255" s="1" t="s">
        <v>340</v>
      </c>
      <c r="I255" s="1" t="s">
        <v>537</v>
      </c>
      <c r="J255" s="1" t="str">
        <f aca="false">MID(E255,1,FIND("°",E255,1)-1)</f>
        <v>21</v>
      </c>
      <c r="K255" s="1" t="str">
        <f aca="false">MID(E255,FIND("°",E255,1)+1,(FIND("′",E255,1)-FIND("°",E255,1))-1)</f>
        <v>01</v>
      </c>
      <c r="L255" s="1" t="str">
        <f aca="false">MID(E255,FIND("′",E255,1)+1,(FIND("″",E255,1)-FIND("′",E255,1))-1)</f>
        <v>12</v>
      </c>
      <c r="M255" s="1" t="str">
        <f aca="false">MID(F255,1,FIND("°",F255,1)-1)</f>
        <v>79</v>
      </c>
      <c r="N255" s="1" t="str">
        <f aca="false">MID(F255,FIND("°",F255,1)+1,(FIND("′",F255,1)-FIND("°",F255,1))-1)</f>
        <v>11</v>
      </c>
      <c r="O255" s="1" t="str">
        <f aca="false">MID(F255,FIND("′",F255,1)+1,(FIND("″",F255,1)-FIND("′",F255,1))-1)</f>
        <v>32</v>
      </c>
      <c r="P255" s="2" t="n">
        <f aca="false">((((L255/60)+K255)/60)+J255)*IF(C255="S",-1, 1)</f>
        <v>21.02</v>
      </c>
      <c r="Q255" s="2" t="n">
        <f aca="false">((((O255/60)+N255)/60)+M255)*IF(D256="W",-1, 1)</f>
        <v>-79.1922222222222</v>
      </c>
      <c r="R255" s="16" t="s">
        <v>538</v>
      </c>
    </row>
    <row r="256" customFormat="false" ht="15" hidden="false" customHeight="false" outlineLevel="0" collapsed="false">
      <c r="A256" s="1" t="n">
        <v>255</v>
      </c>
      <c r="B256" s="1" t="s">
        <v>18</v>
      </c>
      <c r="C256" s="1" t="s">
        <v>19</v>
      </c>
      <c r="D256" s="1" t="s">
        <v>20</v>
      </c>
      <c r="E256" s="7" t="s">
        <v>543</v>
      </c>
      <c r="F256" s="7" t="s">
        <v>544</v>
      </c>
      <c r="G256" s="7" t="s">
        <v>536</v>
      </c>
      <c r="H256" s="1" t="s">
        <v>340</v>
      </c>
      <c r="I256" s="1" t="s">
        <v>302</v>
      </c>
      <c r="J256" s="1" t="str">
        <f aca="false">MID(E256,1,FIND("°",E256,1)-1)</f>
        <v>22</v>
      </c>
      <c r="K256" s="1" t="str">
        <f aca="false">MID(E256,FIND("°",E256,1)+1,(FIND("′",E256,1)-FIND("°",E256,1))-1)</f>
        <v>02</v>
      </c>
      <c r="L256" s="1" t="str">
        <f aca="false">MID(E256,FIND("′",E256,1)+1,(FIND("″",E256,1)-FIND("′",E256,1))-1)</f>
        <v>36</v>
      </c>
      <c r="M256" s="1" t="str">
        <f aca="false">MID(F256,1,FIND("°",F256,1)-1)</f>
        <v>81</v>
      </c>
      <c r="N256" s="1" t="str">
        <f aca="false">MID(F256,FIND("°",F256,1)+1,(FIND("′",F256,1)-FIND("°",F256,1))-1)</f>
        <v>38</v>
      </c>
      <c r="O256" s="1" t="str">
        <f aca="false">MID(F256,FIND("′",F256,1)+1,(FIND("″",F256,1)-FIND("′",F256,1))-1)</f>
        <v>11</v>
      </c>
      <c r="P256" s="2" t="n">
        <f aca="false">((((L256/60)+K256)/60)+J256)*IF(C256="S",-1, 1)</f>
        <v>22.0433333333333</v>
      </c>
      <c r="Q256" s="2" t="n">
        <f aca="false">((((O256/60)+N256)/60)+M256)*IF(D257="W",-1, 1)</f>
        <v>-81.6363888888889</v>
      </c>
      <c r="R256" s="16" t="s">
        <v>538</v>
      </c>
    </row>
    <row r="257" customFormat="false" ht="15" hidden="false" customHeight="false" outlineLevel="0" collapsed="false">
      <c r="A257" s="1" t="n">
        <v>256</v>
      </c>
      <c r="B257" s="1" t="s">
        <v>18</v>
      </c>
      <c r="C257" s="1" t="s">
        <v>19</v>
      </c>
      <c r="D257" s="1" t="s">
        <v>20</v>
      </c>
      <c r="E257" s="7" t="s">
        <v>545</v>
      </c>
      <c r="F257" s="7" t="s">
        <v>546</v>
      </c>
      <c r="G257" s="7" t="s">
        <v>536</v>
      </c>
      <c r="H257" s="1" t="s">
        <v>340</v>
      </c>
      <c r="I257" s="1" t="s">
        <v>302</v>
      </c>
      <c r="J257" s="1" t="str">
        <f aca="false">MID(E257,1,FIND("°",E257,1)-1)</f>
        <v>22</v>
      </c>
      <c r="K257" s="1" t="str">
        <f aca="false">MID(E257,FIND("°",E257,1)+1,(FIND("′",E257,1)-FIND("°",E257,1))-1)</f>
        <v>05</v>
      </c>
      <c r="L257" s="1" t="str">
        <f aca="false">MID(E257,FIND("′",E257,1)+1,(FIND("″",E257,1)-FIND("′",E257,1))-1)</f>
        <v>54</v>
      </c>
      <c r="M257" s="1" t="str">
        <f aca="false">MID(F257,1,FIND("°",F257,1)-1)</f>
        <v>81</v>
      </c>
      <c r="N257" s="1" t="str">
        <f aca="false">MID(F257,FIND("°",F257,1)+1,(FIND("′",F257,1)-FIND("°",F257,1))-1)</f>
        <v>33</v>
      </c>
      <c r="O257" s="1" t="str">
        <f aca="false">MID(F257,FIND("′",F257,1)+1,(FIND("″",F257,1)-FIND("′",F257,1))-1)</f>
        <v>56</v>
      </c>
      <c r="P257" s="2" t="n">
        <f aca="false">((((L257/60)+K257)/60)+J257)*IF(C257="S",-1, 1)</f>
        <v>22.0983333333333</v>
      </c>
      <c r="Q257" s="2" t="n">
        <f aca="false">((((O257/60)+N257)/60)+M257)*IF(D258="W",-1, 1)</f>
        <v>-81.5655555555556</v>
      </c>
      <c r="R257" s="16" t="s">
        <v>538</v>
      </c>
    </row>
    <row r="258" customFormat="false" ht="15" hidden="false" customHeight="false" outlineLevel="0" collapsed="false">
      <c r="A258" s="1" t="n">
        <v>257</v>
      </c>
      <c r="B258" s="1" t="s">
        <v>18</v>
      </c>
      <c r="C258" s="1" t="s">
        <v>19</v>
      </c>
      <c r="D258" s="1" t="s">
        <v>20</v>
      </c>
      <c r="E258" s="7" t="s">
        <v>547</v>
      </c>
      <c r="F258" s="7" t="s">
        <v>548</v>
      </c>
      <c r="G258" s="7" t="s">
        <v>536</v>
      </c>
      <c r="H258" s="1" t="s">
        <v>340</v>
      </c>
      <c r="I258" s="1" t="s">
        <v>302</v>
      </c>
      <c r="J258" s="1" t="str">
        <f aca="false">MID(E258,1,FIND("°",E258,1)-1)</f>
        <v>22</v>
      </c>
      <c r="K258" s="1" t="str">
        <f aca="false">MID(E258,FIND("°",E258,1)+1,(FIND("′",E258,1)-FIND("°",E258,1))-1)</f>
        <v>01</v>
      </c>
      <c r="L258" s="1" t="str">
        <f aca="false">MID(E258,FIND("′",E258,1)+1,(FIND("″",E258,1)-FIND("′",E258,1))-1)</f>
        <v>07</v>
      </c>
      <c r="M258" s="1" t="str">
        <f aca="false">MID(F258,1,FIND("°",F258,1)-1)</f>
        <v>81</v>
      </c>
      <c r="N258" s="1" t="str">
        <f aca="false">MID(F258,FIND("°",F258,1)+1,(FIND("′",F258,1)-FIND("°",F258,1))-1)</f>
        <v>21</v>
      </c>
      <c r="O258" s="1" t="str">
        <f aca="false">MID(F258,FIND("′",F258,1)+1,(FIND("″",F258,1)-FIND("′",F258,1))-1)</f>
        <v>43</v>
      </c>
      <c r="P258" s="2" t="n">
        <f aca="false">((((L258/60)+K258)/60)+J258)*IF(C258="S",-1, 1)</f>
        <v>22.0186111111111</v>
      </c>
      <c r="Q258" s="2" t="n">
        <f aca="false">((((O258/60)+N258)/60)+M258)*IF(D259="W",-1, 1)</f>
        <v>-81.3619444444445</v>
      </c>
      <c r="R258" s="16" t="s">
        <v>538</v>
      </c>
    </row>
    <row r="259" customFormat="false" ht="15" hidden="false" customHeight="false" outlineLevel="0" collapsed="false">
      <c r="A259" s="1" t="n">
        <v>258</v>
      </c>
      <c r="B259" s="1" t="s">
        <v>18</v>
      </c>
      <c r="C259" s="1" t="s">
        <v>19</v>
      </c>
      <c r="D259" s="1" t="s">
        <v>20</v>
      </c>
      <c r="E259" s="7" t="s">
        <v>549</v>
      </c>
      <c r="F259" s="7" t="s">
        <v>550</v>
      </c>
      <c r="G259" s="1" t="s">
        <v>551</v>
      </c>
      <c r="H259" s="1" t="s">
        <v>340</v>
      </c>
      <c r="I259" s="1" t="s">
        <v>552</v>
      </c>
      <c r="J259" s="1" t="str">
        <f aca="false">MID(E259,1,FIND("°",E259,1)-1)</f>
        <v>09</v>
      </c>
      <c r="K259" s="1" t="str">
        <f aca="false">MID(E259,FIND("°",E259,1)+1,(FIND("′",E259,1)-FIND("°",E259,1))-1)</f>
        <v>44</v>
      </c>
      <c r="L259" s="1" t="str">
        <f aca="false">MID(E259,FIND("′",E259,1)+1,(FIND("″",E259,1)-FIND("′",E259,1))-1)</f>
        <v>15</v>
      </c>
      <c r="M259" s="1" t="str">
        <f aca="false">MID(F259,1,FIND("°",F259,1)-1)</f>
        <v>82</v>
      </c>
      <c r="N259" s="1" t="str">
        <f aca="false">MID(F259,FIND("°",F259,1)+1,(FIND("′",F259,1)-FIND("°",F259,1))-1)</f>
        <v>49</v>
      </c>
      <c r="O259" s="1" t="str">
        <f aca="false">MID(F259,FIND("′",F259,1)+1,(FIND("″",F259,1)-FIND("′",F259,1))-1)</f>
        <v>28</v>
      </c>
      <c r="P259" s="2" t="n">
        <f aca="false">((((L259/60)+K259)/60)+J259)*IF(C259="S",-1, 1)</f>
        <v>9.7375</v>
      </c>
      <c r="Q259" s="2" t="n">
        <f aca="false">((((O259/60)+N259)/60)+M259)*IF(D260="W",-1, 1)</f>
        <v>-82.8244444444444</v>
      </c>
      <c r="R259" s="16" t="s">
        <v>553</v>
      </c>
    </row>
    <row r="260" customFormat="false" ht="15" hidden="false" customHeight="false" outlineLevel="0" collapsed="false">
      <c r="A260" s="1" t="n">
        <v>259</v>
      </c>
      <c r="B260" s="1" t="s">
        <v>18</v>
      </c>
      <c r="C260" s="1" t="s">
        <v>19</v>
      </c>
      <c r="D260" s="1" t="s">
        <v>20</v>
      </c>
      <c r="E260" s="7" t="s">
        <v>288</v>
      </c>
      <c r="F260" s="7" t="s">
        <v>554</v>
      </c>
      <c r="G260" s="1" t="s">
        <v>551</v>
      </c>
      <c r="H260" s="1" t="s">
        <v>340</v>
      </c>
      <c r="I260" s="1" t="s">
        <v>552</v>
      </c>
      <c r="J260" s="1" t="str">
        <f aca="false">MID(E260,1,FIND("°",E260,1)-1)</f>
        <v>09</v>
      </c>
      <c r="K260" s="1" t="str">
        <f aca="false">MID(E260,FIND("°",E260,1)+1,(FIND("′",E260,1)-FIND("°",E260,1))-1)</f>
        <v>44</v>
      </c>
      <c r="L260" s="1" t="str">
        <f aca="false">MID(E260,FIND("′",E260,1)+1,(FIND("″",E260,1)-FIND("′",E260,1))-1)</f>
        <v>24</v>
      </c>
      <c r="M260" s="1" t="str">
        <f aca="false">MID(F260,1,FIND("°",F260,1)-1)</f>
        <v>82</v>
      </c>
      <c r="N260" s="1" t="str">
        <f aca="false">MID(F260,FIND("°",F260,1)+1,(FIND("′",F260,1)-FIND("°",F260,1))-1)</f>
        <v>49</v>
      </c>
      <c r="O260" s="1" t="str">
        <f aca="false">MID(F260,FIND("′",F260,1)+1,(FIND("″",F260,1)-FIND("′",F260,1))-1)</f>
        <v>19</v>
      </c>
      <c r="P260" s="2" t="n">
        <f aca="false">((((L260/60)+K260)/60)+J260)*IF(C260="S",-1, 1)</f>
        <v>9.74</v>
      </c>
      <c r="Q260" s="2" t="n">
        <f aca="false">((((O260/60)+N260)/60)+M260)*IF(D261="W",-1, 1)</f>
        <v>-82.8219444444444</v>
      </c>
      <c r="R260" s="16" t="s">
        <v>553</v>
      </c>
    </row>
    <row r="261" customFormat="false" ht="15" hidden="false" customHeight="false" outlineLevel="0" collapsed="false">
      <c r="A261" s="1" t="n">
        <v>260</v>
      </c>
      <c r="B261" s="1" t="s">
        <v>18</v>
      </c>
      <c r="C261" s="1" t="s">
        <v>19</v>
      </c>
      <c r="D261" s="1" t="s">
        <v>20</v>
      </c>
      <c r="E261" s="7" t="s">
        <v>555</v>
      </c>
      <c r="F261" s="7" t="s">
        <v>556</v>
      </c>
      <c r="G261" s="1" t="s">
        <v>551</v>
      </c>
      <c r="H261" s="1" t="s">
        <v>340</v>
      </c>
      <c r="I261" s="1" t="s">
        <v>552</v>
      </c>
      <c r="J261" s="1" t="str">
        <f aca="false">MID(E261,1,FIND("°",E261,1)-1)</f>
        <v>09</v>
      </c>
      <c r="K261" s="1" t="str">
        <f aca="false">MID(E261,FIND("°",E261,1)+1,(FIND("′",E261,1)-FIND("°",E261,1))-1)</f>
        <v>44</v>
      </c>
      <c r="L261" s="1" t="str">
        <f aca="false">MID(E261,FIND("′",E261,1)+1,(FIND("″",E261,1)-FIND("′",E261,1))-1)</f>
        <v>48</v>
      </c>
      <c r="M261" s="1" t="str">
        <f aca="false">MID(F261,1,FIND("°",F261,1)-1)</f>
        <v>82</v>
      </c>
      <c r="N261" s="1" t="str">
        <f aca="false">MID(F261,FIND("°",F261,1)+1,(FIND("′",F261,1)-FIND("°",F261,1))-1)</f>
        <v>49</v>
      </c>
      <c r="O261" s="1" t="str">
        <f aca="false">MID(F261,FIND("′",F261,1)+1,(FIND("″",F261,1)-FIND("′",F261,1))-1)</f>
        <v>08</v>
      </c>
      <c r="P261" s="2" t="n">
        <f aca="false">((((L261/60)+K261)/60)+J261)*IF(C261="S",-1, 1)</f>
        <v>9.74666666666667</v>
      </c>
      <c r="Q261" s="2" t="n">
        <f aca="false">((((O261/60)+N261)/60)+M261)*IF(D262="W",-1, 1)</f>
        <v>-82.8188888888889</v>
      </c>
      <c r="R261" s="16" t="s">
        <v>553</v>
      </c>
    </row>
    <row r="262" customFormat="false" ht="15" hidden="false" customHeight="false" outlineLevel="0" collapsed="false">
      <c r="A262" s="1" t="n">
        <v>261</v>
      </c>
      <c r="B262" s="1" t="s">
        <v>18</v>
      </c>
      <c r="C262" s="1" t="s">
        <v>19</v>
      </c>
      <c r="D262" s="1" t="s">
        <v>20</v>
      </c>
      <c r="E262" s="7" t="s">
        <v>557</v>
      </c>
      <c r="F262" s="7" t="s">
        <v>558</v>
      </c>
      <c r="G262" s="1" t="s">
        <v>551</v>
      </c>
      <c r="H262" s="1" t="s">
        <v>340</v>
      </c>
      <c r="I262" s="1" t="s">
        <v>552</v>
      </c>
      <c r="J262" s="1" t="str">
        <f aca="false">MID(E262,1,FIND("°",E262,1)-1)</f>
        <v>09</v>
      </c>
      <c r="K262" s="1" t="str">
        <f aca="false">MID(E262,FIND("°",E262,1)+1,(FIND("′",E262,1)-FIND("°",E262,1))-1)</f>
        <v>44</v>
      </c>
      <c r="L262" s="1" t="str">
        <f aca="false">MID(E262,FIND("′",E262,1)+1,(FIND("″",E262,1)-FIND("′",E262,1))-1)</f>
        <v>36</v>
      </c>
      <c r="M262" s="1" t="str">
        <f aca="false">MID(F262,1,FIND("°",F262,1)-1)</f>
        <v>82</v>
      </c>
      <c r="N262" s="1" t="str">
        <f aca="false">MID(F262,FIND("°",F262,1)+1,(FIND("′",F262,1)-FIND("°",F262,1))-1)</f>
        <v>48</v>
      </c>
      <c r="O262" s="1" t="str">
        <f aca="false">MID(F262,FIND("′",F262,1)+1,(FIND("″",F262,1)-FIND("′",F262,1))-1)</f>
        <v>23</v>
      </c>
      <c r="P262" s="2" t="n">
        <f aca="false">((((L262/60)+K262)/60)+J262)*IF(C262="S",-1, 1)</f>
        <v>9.74333333333333</v>
      </c>
      <c r="Q262" s="2" t="n">
        <f aca="false">((((O262/60)+N262)/60)+M262)*IF(D263="W",-1, 1)</f>
        <v>-82.8063888888889</v>
      </c>
      <c r="R262" s="16" t="s">
        <v>553</v>
      </c>
    </row>
    <row r="263" customFormat="false" ht="15" hidden="false" customHeight="false" outlineLevel="0" collapsed="false">
      <c r="A263" s="1" t="n">
        <v>262</v>
      </c>
      <c r="B263" s="1" t="s">
        <v>18</v>
      </c>
      <c r="C263" s="1" t="s">
        <v>19</v>
      </c>
      <c r="D263" s="1" t="s">
        <v>20</v>
      </c>
      <c r="E263" s="7" t="s">
        <v>559</v>
      </c>
      <c r="F263" s="7" t="s">
        <v>560</v>
      </c>
      <c r="G263" s="1" t="s">
        <v>551</v>
      </c>
      <c r="H263" s="1" t="s">
        <v>340</v>
      </c>
      <c r="I263" s="1" t="s">
        <v>552</v>
      </c>
      <c r="J263" s="1" t="str">
        <f aca="false">MID(E263,1,FIND("°",E263,1)-1)</f>
        <v>09</v>
      </c>
      <c r="K263" s="1" t="str">
        <f aca="false">MID(E263,FIND("°",E263,1)+1,(FIND("′",E263,1)-FIND("°",E263,1))-1)</f>
        <v>44</v>
      </c>
      <c r="L263" s="1" t="str">
        <f aca="false">MID(E263,FIND("′",E263,1)+1,(FIND("″",E263,1)-FIND("′",E263,1))-1)</f>
        <v>29</v>
      </c>
      <c r="M263" s="1" t="str">
        <f aca="false">MID(F263,1,FIND("°",F263,1)-1)</f>
        <v>82</v>
      </c>
      <c r="N263" s="1" t="str">
        <f aca="false">MID(F263,FIND("°",F263,1)+1,(FIND("′",F263,1)-FIND("°",F263,1))-1)</f>
        <v>48</v>
      </c>
      <c r="O263" s="1" t="str">
        <f aca="false">MID(F263,FIND("′",F263,1)+1,(FIND("″",F263,1)-FIND("′",F263,1))-1)</f>
        <v>32</v>
      </c>
      <c r="P263" s="2" t="n">
        <f aca="false">((((L263/60)+K263)/60)+J263)*IF(C263="S",-1, 1)</f>
        <v>9.74138888888889</v>
      </c>
      <c r="Q263" s="2" t="n">
        <f aca="false">((((O263/60)+N263)/60)+M263)*IF(D264="W",-1, 1)</f>
        <v>-82.8088888888889</v>
      </c>
      <c r="R263" s="16" t="s">
        <v>553</v>
      </c>
    </row>
    <row r="264" customFormat="false" ht="15" hidden="false" customHeight="false" outlineLevel="0" collapsed="false">
      <c r="A264" s="1" t="n">
        <v>263</v>
      </c>
      <c r="B264" s="1" t="s">
        <v>18</v>
      </c>
      <c r="C264" s="1" t="s">
        <v>19</v>
      </c>
      <c r="D264" s="1" t="s">
        <v>20</v>
      </c>
      <c r="E264" s="7" t="s">
        <v>561</v>
      </c>
      <c r="F264" s="7" t="s">
        <v>562</v>
      </c>
      <c r="G264" s="1" t="s">
        <v>551</v>
      </c>
      <c r="H264" s="1" t="s">
        <v>340</v>
      </c>
      <c r="I264" s="1" t="s">
        <v>552</v>
      </c>
      <c r="J264" s="1" t="str">
        <f aca="false">MID(E264,1,FIND("°",E264,1)-1)</f>
        <v>09</v>
      </c>
      <c r="K264" s="1" t="str">
        <f aca="false">MID(E264,FIND("°",E264,1)+1,(FIND("′",E264,1)-FIND("°",E264,1))-1)</f>
        <v>44</v>
      </c>
      <c r="L264" s="1" t="str">
        <f aca="false">MID(E264,FIND("′",E264,1)+1,(FIND("″",E264,1)-FIND("′",E264,1))-1)</f>
        <v>16</v>
      </c>
      <c r="M264" s="1" t="str">
        <f aca="false">MID(F264,1,FIND("°",F264,1)-1)</f>
        <v>82</v>
      </c>
      <c r="N264" s="1" t="str">
        <f aca="false">MID(F264,FIND("°",F264,1)+1,(FIND("′",F264,1)-FIND("°",F264,1))-1)</f>
        <v>48</v>
      </c>
      <c r="O264" s="1" t="str">
        <f aca="false">MID(F264,FIND("′",F264,1)+1,(FIND("″",F264,1)-FIND("′",F264,1))-1)</f>
        <v>30</v>
      </c>
      <c r="P264" s="2" t="n">
        <f aca="false">((((L264/60)+K264)/60)+J264)*IF(C264="S",-1, 1)</f>
        <v>9.73777777777778</v>
      </c>
      <c r="Q264" s="2" t="n">
        <f aca="false">((((O264/60)+N264)/60)+M264)*IF(D265="W",-1, 1)</f>
        <v>82.8083333333333</v>
      </c>
      <c r="R264" s="16" t="s">
        <v>553</v>
      </c>
    </row>
    <row r="265" customFormat="false" ht="15" hidden="false" customHeight="false" outlineLevel="0" collapsed="false">
      <c r="E265" s="17"/>
      <c r="F265" s="17"/>
      <c r="J265" s="1" t="e">
        <f aca="false">MID(E265,1,FIND("°",E265,1)-1)</f>
        <v>#VALUE!</v>
      </c>
      <c r="K265" s="1" t="e">
        <f aca="false">MID(E265,FIND("°",E265,1)+1,(FIND("′",E265,1)-FIND("°",E265,1))-1)</f>
        <v>#VALUE!</v>
      </c>
      <c r="L265" s="1" t="e">
        <f aca="false">MID(E265,FIND("′",E265,1)+1,(FIND("″",E265,1)-FIND("′",E265,1))-1)</f>
        <v>#VALUE!</v>
      </c>
      <c r="M265" s="1" t="e">
        <f aca="false">MID(F265,1,FIND("°",F265,1)-1)</f>
        <v>#VALUE!</v>
      </c>
      <c r="N265" s="1" t="e">
        <f aca="false">MID(F265,FIND("°",F265,1)+1,(FIND("′",F265,1)-FIND("°",F265,1))-1)</f>
        <v>#VALUE!</v>
      </c>
      <c r="O265" s="1" t="e">
        <f aca="false">MID(F265,FIND("′",F265,1)+1,(FIND("″",F265,1)-FIND("′",F265,1))-1)</f>
        <v>#VALUE!</v>
      </c>
      <c r="P265" s="2" t="e">
        <f aca="false">((((L265/60)+K265)/60)+J265)*IF(C265="S",-1, 1)</f>
        <v>#VALUE!</v>
      </c>
      <c r="Q265" s="2" t="e">
        <f aca="false">((((O265/60)+N265)/60)+M265)*IF(D266="W",-1, 1)</f>
        <v>#VALUE!</v>
      </c>
      <c r="R265" s="16"/>
    </row>
    <row r="266" customFormat="false" ht="15" hidden="false" customHeight="false" outlineLevel="0" collapsed="false">
      <c r="E266" s="17"/>
      <c r="F266" s="17"/>
      <c r="J266" s="1" t="e">
        <f aca="false">MID(E266,1,FIND("°",E266,1)-1)</f>
        <v>#VALUE!</v>
      </c>
      <c r="K266" s="1" t="e">
        <f aca="false">MID(E266,FIND("°",E266,1)+1,(FIND("′",E266,1)-FIND("°",E266,1))-1)</f>
        <v>#VALUE!</v>
      </c>
      <c r="L266" s="1" t="e">
        <f aca="false">MID(E266,FIND("′",E266,1)+1,(FIND("″",E266,1)-FIND("′",E266,1))-1)</f>
        <v>#VALUE!</v>
      </c>
      <c r="M266" s="1" t="e">
        <f aca="false">MID(F266,1,FIND("°",F266,1)-1)</f>
        <v>#VALUE!</v>
      </c>
      <c r="N266" s="1" t="e">
        <f aca="false">MID(F266,FIND("°",F266,1)+1,(FIND("′",F266,1)-FIND("°",F266,1))-1)</f>
        <v>#VALUE!</v>
      </c>
      <c r="O266" s="1" t="e">
        <f aca="false">MID(F266,FIND("′",F266,1)+1,(FIND("″",F266,1)-FIND("′",F266,1))-1)</f>
        <v>#VALUE!</v>
      </c>
      <c r="P266" s="2" t="e">
        <f aca="false">((((L266/60)+K266)/60)+J266)*IF(C266="S",-1, 1)</f>
        <v>#VALUE!</v>
      </c>
      <c r="Q266" s="2" t="e">
        <f aca="false">((((O266/60)+N266)/60)+M266)*IF(D267="W",-1, 1)</f>
        <v>#VALUE!</v>
      </c>
      <c r="R266" s="16"/>
    </row>
    <row r="267" customFormat="false" ht="15" hidden="false" customHeight="false" outlineLevel="0" collapsed="false">
      <c r="E267" s="17"/>
      <c r="F267" s="17"/>
      <c r="J267" s="1" t="e">
        <f aca="false">MID(E267,1,FIND("°",E267,1)-1)</f>
        <v>#VALUE!</v>
      </c>
      <c r="K267" s="1" t="e">
        <f aca="false">MID(E267,FIND("°",E267,1)+1,(FIND("′",E267,1)-FIND("°",E267,1))-1)</f>
        <v>#VALUE!</v>
      </c>
      <c r="L267" s="1" t="e">
        <f aca="false">MID(E267,FIND("′",E267,1)+1,(FIND("″",E267,1)-FIND("′",E267,1))-1)</f>
        <v>#VALUE!</v>
      </c>
      <c r="M267" s="1" t="e">
        <f aca="false">MID(F267,1,FIND("°",F267,1)-1)</f>
        <v>#VALUE!</v>
      </c>
      <c r="N267" s="1" t="e">
        <f aca="false">MID(F267,FIND("°",F267,1)+1,(FIND("′",F267,1)-FIND("°",F267,1))-1)</f>
        <v>#VALUE!</v>
      </c>
      <c r="O267" s="1" t="e">
        <f aca="false">MID(F267,FIND("′",F267,1)+1,(FIND("″",F267,1)-FIND("′",F267,1))-1)</f>
        <v>#VALUE!</v>
      </c>
      <c r="P267" s="2" t="e">
        <f aca="false">((((L267/60)+K267)/60)+J267)*IF(C267="S",-1, 1)</f>
        <v>#VALUE!</v>
      </c>
      <c r="Q267" s="2" t="e">
        <f aca="false">((((O267/60)+N267)/60)+M267)*IF(D268="W",-1, 1)</f>
        <v>#VALUE!</v>
      </c>
      <c r="R267" s="16"/>
    </row>
    <row r="268" customFormat="false" ht="15" hidden="false" customHeight="false" outlineLevel="0" collapsed="false">
      <c r="E268" s="17"/>
      <c r="F268" s="17"/>
      <c r="J268" s="1" t="e">
        <f aca="false">MID(E268,1,FIND("°",E268,1)-1)</f>
        <v>#VALUE!</v>
      </c>
      <c r="K268" s="1" t="e">
        <f aca="false">MID(E268,FIND("°",E268,1)+1,(FIND("′",E268,1)-FIND("°",E268,1))-1)</f>
        <v>#VALUE!</v>
      </c>
      <c r="L268" s="1" t="e">
        <f aca="false">MID(E268,FIND("′",E268,1)+1,(FIND("″",E268,1)-FIND("′",E268,1))-1)</f>
        <v>#VALUE!</v>
      </c>
      <c r="M268" s="1" t="e">
        <f aca="false">MID(F268,1,FIND("°",F268,1)-1)</f>
        <v>#VALUE!</v>
      </c>
      <c r="N268" s="1" t="e">
        <f aca="false">MID(F268,FIND("°",F268,1)+1,(FIND("′",F268,1)-FIND("°",F268,1))-1)</f>
        <v>#VALUE!</v>
      </c>
      <c r="O268" s="1" t="e">
        <f aca="false">MID(F268,FIND("′",F268,1)+1,(FIND("″",F268,1)-FIND("′",F268,1))-1)</f>
        <v>#VALUE!</v>
      </c>
      <c r="P268" s="2" t="e">
        <f aca="false">((((L268/60)+K268)/60)+J268)*IF(C268="S",-1, 1)</f>
        <v>#VALUE!</v>
      </c>
      <c r="Q268" s="2" t="e">
        <f aca="false">((((O268/60)+N268)/60)+M268)*IF(D269="W",-1, 1)</f>
        <v>#VALUE!</v>
      </c>
      <c r="R268" s="16"/>
    </row>
    <row r="269" customFormat="false" ht="15" hidden="false" customHeight="false" outlineLevel="0" collapsed="false">
      <c r="E269" s="17"/>
      <c r="P269" s="2"/>
      <c r="Q269" s="2"/>
    </row>
    <row r="270" customFormat="false" ht="15" hidden="false" customHeight="false" outlineLevel="0" collapsed="false">
      <c r="E270" s="17"/>
      <c r="F270" s="17"/>
      <c r="P270" s="2"/>
      <c r="Q270" s="2"/>
    </row>
    <row r="271" customFormat="false" ht="15" hidden="false" customHeight="false" outlineLevel="0" collapsed="false">
      <c r="E271" s="17"/>
      <c r="F271" s="17"/>
      <c r="P271" s="2"/>
      <c r="Q271" s="2"/>
    </row>
    <row r="272" customFormat="false" ht="15" hidden="false" customHeight="false" outlineLevel="0" collapsed="false">
      <c r="E272" s="17"/>
      <c r="F272" s="17"/>
      <c r="P272" s="2"/>
      <c r="Q272" s="2"/>
    </row>
    <row r="273" customFormat="false" ht="15" hidden="false" customHeight="false" outlineLevel="0" collapsed="false">
      <c r="E273" s="17"/>
      <c r="F273" s="17"/>
      <c r="P273" s="2"/>
      <c r="Q273" s="2"/>
    </row>
    <row r="274" customFormat="false" ht="15" hidden="false" customHeight="false" outlineLevel="0" collapsed="false">
      <c r="E274" s="17"/>
      <c r="P274" s="2"/>
      <c r="Q274" s="2"/>
    </row>
    <row r="275" customFormat="false" ht="15" hidden="false" customHeight="false" outlineLevel="0" collapsed="false">
      <c r="E275" s="17"/>
      <c r="F275" s="17"/>
      <c r="P275" s="2"/>
      <c r="Q275" s="2"/>
    </row>
    <row r="276" customFormat="false" ht="15" hidden="false" customHeight="false" outlineLevel="0" collapsed="false">
      <c r="E276" s="17"/>
      <c r="F276" s="17"/>
      <c r="P276" s="2"/>
      <c r="Q276" s="2"/>
    </row>
    <row r="277" customFormat="false" ht="15" hidden="false" customHeight="false" outlineLevel="0" collapsed="false">
      <c r="E277" s="17"/>
      <c r="F277" s="17"/>
      <c r="P277" s="2"/>
      <c r="Q277" s="2"/>
    </row>
    <row r="278" customFormat="false" ht="15" hidden="false" customHeight="false" outlineLevel="0" collapsed="false">
      <c r="E278" s="17"/>
      <c r="F278" s="17"/>
      <c r="P278" s="2"/>
      <c r="Q278" s="2"/>
    </row>
    <row r="279" customFormat="false" ht="15" hidden="false" customHeight="false" outlineLevel="0" collapsed="false">
      <c r="E279" s="17"/>
      <c r="F279" s="17"/>
      <c r="P279" s="2"/>
      <c r="Q279" s="2"/>
    </row>
    <row r="280" customFormat="false" ht="15" hidden="false" customHeight="false" outlineLevel="0" collapsed="false">
      <c r="E280" s="17"/>
      <c r="F280" s="17"/>
      <c r="P280" s="2"/>
      <c r="Q280" s="2"/>
    </row>
    <row r="281" customFormat="false" ht="15" hidden="false" customHeight="false" outlineLevel="0" collapsed="false">
      <c r="E281" s="17"/>
      <c r="F281" s="17"/>
      <c r="P281" s="2"/>
      <c r="Q281" s="2"/>
    </row>
    <row r="282" customFormat="false" ht="15" hidden="false" customHeight="false" outlineLevel="0" collapsed="false">
      <c r="E282" s="17"/>
      <c r="F282" s="17"/>
      <c r="P282" s="2"/>
      <c r="Q282" s="2"/>
    </row>
    <row r="283" customFormat="false" ht="15" hidden="false" customHeight="false" outlineLevel="0" collapsed="false">
      <c r="E283" s="17"/>
      <c r="F283" s="17"/>
      <c r="P283" s="2"/>
      <c r="Q283" s="2"/>
    </row>
    <row r="284" customFormat="false" ht="15" hidden="false" customHeight="false" outlineLevel="0" collapsed="false">
      <c r="E284" s="17"/>
      <c r="F284" s="17"/>
      <c r="P284" s="2"/>
      <c r="Q284" s="2"/>
    </row>
    <row r="285" customFormat="false" ht="15" hidden="false" customHeight="false" outlineLevel="0" collapsed="false">
      <c r="E285" s="17"/>
      <c r="F285" s="17"/>
      <c r="P285" s="2"/>
      <c r="Q285" s="2"/>
    </row>
    <row r="286" customFormat="false" ht="15" hidden="false" customHeight="false" outlineLevel="0" collapsed="false">
      <c r="E286" s="17"/>
      <c r="F286" s="17"/>
      <c r="P286" s="2"/>
      <c r="Q286" s="2"/>
    </row>
    <row r="287" customFormat="false" ht="15" hidden="false" customHeight="false" outlineLevel="0" collapsed="false">
      <c r="E287" s="17"/>
      <c r="F287" s="17"/>
      <c r="P287" s="2"/>
      <c r="Q287" s="2"/>
    </row>
    <row r="288" customFormat="false" ht="15" hidden="false" customHeight="false" outlineLevel="0" collapsed="false">
      <c r="E288" s="17"/>
      <c r="P288" s="2"/>
      <c r="Q288" s="2"/>
    </row>
    <row r="289" customFormat="false" ht="15" hidden="false" customHeight="false" outlineLevel="0" collapsed="false">
      <c r="E289" s="17"/>
      <c r="F289" s="17"/>
      <c r="P289" s="2"/>
      <c r="Q289" s="2"/>
    </row>
    <row r="290" customFormat="false" ht="15" hidden="false" customHeight="false" outlineLevel="0" collapsed="false">
      <c r="E290" s="17"/>
      <c r="F290" s="17"/>
      <c r="P290" s="2"/>
      <c r="Q290" s="2"/>
    </row>
    <row r="291" customFormat="false" ht="15" hidden="false" customHeight="false" outlineLevel="0" collapsed="false">
      <c r="E291" s="17"/>
      <c r="F291" s="17"/>
      <c r="P291" s="2"/>
      <c r="Q291" s="2"/>
    </row>
    <row r="292" customFormat="false" ht="15" hidden="false" customHeight="false" outlineLevel="0" collapsed="false">
      <c r="E292" s="17"/>
      <c r="F292" s="17"/>
      <c r="P292" s="2"/>
      <c r="Q292" s="2"/>
    </row>
    <row r="293" customFormat="false" ht="15" hidden="false" customHeight="false" outlineLevel="0" collapsed="false">
      <c r="E293" s="17"/>
      <c r="F293" s="17"/>
      <c r="P293" s="2"/>
      <c r="Q293" s="2"/>
    </row>
    <row r="294" customFormat="false" ht="15" hidden="false" customHeight="false" outlineLevel="0" collapsed="false">
      <c r="E294" s="17"/>
      <c r="F294" s="17"/>
      <c r="P294" s="2"/>
      <c r="Q294" s="2"/>
    </row>
    <row r="295" customFormat="false" ht="15" hidden="false" customHeight="false" outlineLevel="0" collapsed="false">
      <c r="E295" s="17"/>
      <c r="F295" s="17"/>
      <c r="P295" s="2"/>
      <c r="Q295" s="2"/>
    </row>
    <row r="296" customFormat="false" ht="15" hidden="false" customHeight="false" outlineLevel="0" collapsed="false">
      <c r="E296" s="17"/>
      <c r="F296" s="17"/>
      <c r="P296" s="2"/>
      <c r="Q296" s="2"/>
    </row>
    <row r="297" customFormat="false" ht="15" hidden="false" customHeight="false" outlineLevel="0" collapsed="false">
      <c r="E297" s="17"/>
      <c r="F297" s="17"/>
      <c r="P297" s="2"/>
      <c r="Q297" s="2"/>
    </row>
    <row r="298" customFormat="false" ht="15" hidden="false" customHeight="false" outlineLevel="0" collapsed="false">
      <c r="E298" s="17"/>
      <c r="F298" s="17"/>
      <c r="P298" s="2"/>
      <c r="Q298" s="2"/>
    </row>
    <row r="299" customFormat="false" ht="15" hidden="false" customHeight="false" outlineLevel="0" collapsed="false">
      <c r="E299" s="17"/>
      <c r="F299" s="17"/>
      <c r="P299" s="2"/>
      <c r="Q299" s="2"/>
    </row>
    <row r="300" customFormat="false" ht="15" hidden="false" customHeight="false" outlineLevel="0" collapsed="false">
      <c r="E300" s="17"/>
      <c r="F300" s="17"/>
      <c r="P300" s="2"/>
      <c r="Q300" s="2"/>
    </row>
    <row r="301" customFormat="false" ht="15" hidden="false" customHeight="false" outlineLevel="0" collapsed="false">
      <c r="E301" s="17"/>
      <c r="F301" s="17"/>
      <c r="P301" s="2"/>
      <c r="Q301" s="2"/>
    </row>
    <row r="302" customFormat="false" ht="15" hidden="false" customHeight="false" outlineLevel="0" collapsed="false">
      <c r="E302" s="17"/>
      <c r="F302" s="17"/>
      <c r="P302" s="2"/>
      <c r="Q302" s="2"/>
    </row>
    <row r="303" customFormat="false" ht="15" hidden="false" customHeight="false" outlineLevel="0" collapsed="false">
      <c r="E303" s="17"/>
      <c r="F303" s="17"/>
      <c r="P303" s="2"/>
      <c r="Q303" s="2"/>
    </row>
    <row r="304" customFormat="false" ht="15" hidden="false" customHeight="false" outlineLevel="0" collapsed="false">
      <c r="E304" s="17"/>
      <c r="F304" s="17"/>
      <c r="P304" s="2"/>
      <c r="Q304" s="2"/>
    </row>
    <row r="305" customFormat="false" ht="15" hidden="false" customHeight="false" outlineLevel="0" collapsed="false">
      <c r="E305" s="17"/>
      <c r="F305" s="17"/>
      <c r="P305" s="2"/>
      <c r="Q305" s="2"/>
    </row>
    <row r="306" customFormat="false" ht="15" hidden="false" customHeight="false" outlineLevel="0" collapsed="false">
      <c r="E306" s="17"/>
      <c r="F306" s="17"/>
      <c r="P306" s="2"/>
      <c r="Q306" s="2"/>
    </row>
    <row r="307" customFormat="false" ht="15" hidden="false" customHeight="false" outlineLevel="0" collapsed="false">
      <c r="E307" s="17"/>
      <c r="F307" s="17"/>
      <c r="P307" s="2"/>
      <c r="Q307" s="2"/>
    </row>
    <row r="308" customFormat="false" ht="15" hidden="false" customHeight="false" outlineLevel="0" collapsed="false">
      <c r="E308" s="17"/>
      <c r="F308" s="17"/>
      <c r="P308" s="2"/>
      <c r="Q308" s="2"/>
    </row>
    <row r="309" customFormat="false" ht="15" hidden="false" customHeight="false" outlineLevel="0" collapsed="false">
      <c r="E309" s="17"/>
      <c r="F309" s="17"/>
      <c r="P309" s="2"/>
      <c r="Q309" s="2"/>
    </row>
    <row r="310" customFormat="false" ht="15" hidden="false" customHeight="false" outlineLevel="0" collapsed="false">
      <c r="E310" s="17"/>
      <c r="F310" s="17"/>
      <c r="P310" s="2"/>
      <c r="Q310" s="2"/>
    </row>
    <row r="311" customFormat="false" ht="15" hidden="false" customHeight="false" outlineLevel="0" collapsed="false">
      <c r="E311" s="17"/>
      <c r="F311" s="17"/>
      <c r="P311" s="2"/>
      <c r="Q311" s="2"/>
    </row>
    <row r="312" customFormat="false" ht="15" hidden="false" customHeight="false" outlineLevel="0" collapsed="false">
      <c r="E312" s="17"/>
      <c r="F312" s="17"/>
      <c r="P312" s="2"/>
      <c r="Q312" s="2"/>
    </row>
    <row r="313" customFormat="false" ht="15" hidden="false" customHeight="false" outlineLevel="0" collapsed="false">
      <c r="E313" s="17"/>
      <c r="F313" s="17"/>
      <c r="P313" s="2"/>
      <c r="Q313" s="2"/>
    </row>
    <row r="314" customFormat="false" ht="15" hidden="false" customHeight="false" outlineLevel="0" collapsed="false">
      <c r="E314" s="17"/>
      <c r="F314" s="17"/>
      <c r="P314" s="2"/>
      <c r="Q314" s="2"/>
    </row>
    <row r="315" customFormat="false" ht="15" hidden="false" customHeight="false" outlineLevel="0" collapsed="false">
      <c r="E315" s="17"/>
      <c r="F315" s="17"/>
      <c r="P315" s="2"/>
      <c r="Q315" s="2"/>
    </row>
    <row r="316" customFormat="false" ht="15" hidden="false" customHeight="false" outlineLevel="0" collapsed="false">
      <c r="E316" s="17"/>
      <c r="F316" s="17"/>
      <c r="P316" s="2"/>
      <c r="Q316" s="2"/>
    </row>
    <row r="317" customFormat="false" ht="15" hidden="false" customHeight="false" outlineLevel="0" collapsed="false">
      <c r="E317" s="17"/>
      <c r="F317" s="17"/>
      <c r="P317" s="2"/>
      <c r="Q317" s="2"/>
    </row>
    <row r="318" customFormat="false" ht="15" hidden="false" customHeight="false" outlineLevel="0" collapsed="false">
      <c r="E318" s="17"/>
      <c r="F318" s="17"/>
      <c r="P318" s="2"/>
      <c r="Q318" s="2"/>
    </row>
    <row r="319" customFormat="false" ht="15" hidden="false" customHeight="false" outlineLevel="0" collapsed="false">
      <c r="E319" s="17"/>
      <c r="F319" s="17"/>
      <c r="P319" s="2"/>
      <c r="Q319" s="2"/>
    </row>
    <row r="320" customFormat="false" ht="15" hidden="false" customHeight="false" outlineLevel="0" collapsed="false">
      <c r="E320" s="17"/>
      <c r="F320" s="17"/>
      <c r="P320" s="2"/>
      <c r="Q320" s="2"/>
    </row>
    <row r="321" customFormat="false" ht="15" hidden="false" customHeight="false" outlineLevel="0" collapsed="false">
      <c r="E321" s="17"/>
      <c r="F321" s="17"/>
      <c r="P321" s="2"/>
      <c r="Q321" s="2"/>
    </row>
    <row r="322" customFormat="false" ht="15" hidden="false" customHeight="false" outlineLevel="0" collapsed="false">
      <c r="E322" s="17"/>
      <c r="F322" s="17"/>
      <c r="P322" s="2"/>
      <c r="Q322" s="2"/>
    </row>
    <row r="323" customFormat="false" ht="15" hidden="false" customHeight="false" outlineLevel="0" collapsed="false">
      <c r="E323" s="17"/>
      <c r="F323" s="17"/>
      <c r="P323" s="2"/>
      <c r="Q323" s="2"/>
    </row>
    <row r="324" customFormat="false" ht="15" hidden="false" customHeight="false" outlineLevel="0" collapsed="false">
      <c r="E324" s="17"/>
      <c r="F324" s="17"/>
      <c r="P324" s="2"/>
      <c r="Q324" s="2"/>
    </row>
    <row r="325" customFormat="false" ht="15" hidden="false" customHeight="false" outlineLevel="0" collapsed="false">
      <c r="E325" s="17"/>
      <c r="F325" s="17"/>
      <c r="P325" s="2"/>
      <c r="Q325" s="2"/>
    </row>
    <row r="326" customFormat="false" ht="15" hidden="false" customHeight="false" outlineLevel="0" collapsed="false">
      <c r="E326" s="17"/>
      <c r="F326" s="17"/>
      <c r="P326" s="2"/>
      <c r="Q326" s="2"/>
    </row>
    <row r="327" customFormat="false" ht="15" hidden="false" customHeight="false" outlineLevel="0" collapsed="false">
      <c r="E327" s="17"/>
      <c r="F327" s="17"/>
      <c r="P327" s="2"/>
      <c r="Q327" s="2"/>
    </row>
    <row r="328" customFormat="false" ht="15" hidden="false" customHeight="false" outlineLevel="0" collapsed="false">
      <c r="E328" s="17"/>
      <c r="F328" s="17"/>
      <c r="P328" s="2"/>
      <c r="Q328" s="2"/>
    </row>
    <row r="329" customFormat="false" ht="15" hidden="false" customHeight="false" outlineLevel="0" collapsed="false">
      <c r="P329" s="2"/>
      <c r="Q329" s="2"/>
    </row>
    <row r="330" customFormat="false" ht="15" hidden="false" customHeight="false" outlineLevel="0" collapsed="false">
      <c r="P330" s="2"/>
      <c r="Q330" s="2"/>
    </row>
    <row r="331" customFormat="false" ht="15" hidden="false" customHeight="false" outlineLevel="0" collapsed="false">
      <c r="P331" s="2"/>
      <c r="Q331" s="2"/>
    </row>
    <row r="332" customFormat="false" ht="15" hidden="false" customHeight="false" outlineLevel="0" collapsed="false">
      <c r="P332" s="2"/>
      <c r="Q332" s="2"/>
    </row>
    <row r="333" customFormat="false" ht="15" hidden="false" customHeight="false" outlineLevel="0" collapsed="false">
      <c r="P333" s="2"/>
      <c r="Q333" s="2"/>
    </row>
    <row r="334" customFormat="false" ht="15" hidden="false" customHeight="false" outlineLevel="0" collapsed="false">
      <c r="P334" s="2"/>
      <c r="Q334" s="2"/>
    </row>
    <row r="335" customFormat="false" ht="15" hidden="false" customHeight="false" outlineLevel="0" collapsed="false">
      <c r="P335" s="2"/>
      <c r="Q335" s="2"/>
    </row>
    <row r="336" customFormat="false" ht="15" hidden="false" customHeight="false" outlineLevel="0" collapsed="false">
      <c r="P336" s="2"/>
      <c r="Q336" s="2"/>
    </row>
    <row r="337" customFormat="false" ht="15" hidden="false" customHeight="false" outlineLevel="0" collapsed="false">
      <c r="P337" s="2"/>
      <c r="Q337" s="2"/>
    </row>
    <row r="338" customFormat="false" ht="15" hidden="false" customHeight="false" outlineLevel="0" collapsed="false">
      <c r="P338" s="2"/>
      <c r="Q338" s="2"/>
    </row>
    <row r="339" customFormat="false" ht="15" hidden="false" customHeight="false" outlineLevel="0" collapsed="false">
      <c r="P339" s="2"/>
      <c r="Q339" s="2"/>
    </row>
    <row r="340" customFormat="false" ht="15" hidden="false" customHeight="false" outlineLevel="0" collapsed="false">
      <c r="P340" s="2"/>
      <c r="Q340" s="2"/>
    </row>
    <row r="341" customFormat="false" ht="15" hidden="false" customHeight="false" outlineLevel="0" collapsed="false">
      <c r="P341" s="2"/>
      <c r="Q341" s="2"/>
    </row>
    <row r="342" customFormat="false" ht="15" hidden="false" customHeight="false" outlineLevel="0" collapsed="false">
      <c r="P342" s="2"/>
      <c r="Q342" s="2"/>
    </row>
    <row r="343" customFormat="false" ht="15" hidden="false" customHeight="false" outlineLevel="0" collapsed="false">
      <c r="P343" s="2"/>
      <c r="Q343" s="2"/>
    </row>
    <row r="344" customFormat="false" ht="15" hidden="false" customHeight="false" outlineLevel="0" collapsed="false">
      <c r="P344" s="2"/>
      <c r="Q344" s="2"/>
    </row>
    <row r="345" customFormat="false" ht="15" hidden="false" customHeight="false" outlineLevel="0" collapsed="false">
      <c r="P345" s="2"/>
      <c r="Q345" s="2"/>
    </row>
    <row r="346" customFormat="false" ht="15" hidden="false" customHeight="false" outlineLevel="0" collapsed="false">
      <c r="P346" s="2"/>
      <c r="Q346" s="2"/>
    </row>
    <row r="347" customFormat="false" ht="15" hidden="false" customHeight="false" outlineLevel="0" collapsed="false">
      <c r="P347" s="2"/>
      <c r="Q347" s="2"/>
    </row>
    <row r="348" customFormat="false" ht="15" hidden="false" customHeight="false" outlineLevel="0" collapsed="false">
      <c r="P348" s="2"/>
      <c r="Q348" s="2"/>
    </row>
    <row r="349" customFormat="false" ht="15" hidden="false" customHeight="false" outlineLevel="0" collapsed="false">
      <c r="P349" s="2"/>
      <c r="Q349" s="2"/>
    </row>
    <row r="350" customFormat="false" ht="15" hidden="false" customHeight="false" outlineLevel="0" collapsed="false">
      <c r="P350" s="2"/>
      <c r="Q350" s="2"/>
    </row>
    <row r="351" customFormat="false" ht="15" hidden="false" customHeight="false" outlineLevel="0" collapsed="false">
      <c r="P351" s="2"/>
      <c r="Q351" s="2"/>
    </row>
    <row r="352" customFormat="false" ht="15" hidden="false" customHeight="false" outlineLevel="0" collapsed="false">
      <c r="P352" s="2"/>
      <c r="Q352" s="2"/>
    </row>
    <row r="353" customFormat="false" ht="15" hidden="false" customHeight="false" outlineLevel="0" collapsed="false">
      <c r="P353" s="2"/>
      <c r="Q353" s="2"/>
    </row>
    <row r="354" customFormat="false" ht="15" hidden="false" customHeight="false" outlineLevel="0" collapsed="false">
      <c r="P354" s="2"/>
      <c r="Q354" s="2"/>
    </row>
    <row r="355" customFormat="false" ht="15" hidden="false" customHeight="false" outlineLevel="0" collapsed="false">
      <c r="P355" s="2"/>
      <c r="Q355" s="2"/>
    </row>
    <row r="356" customFormat="false" ht="15" hidden="false" customHeight="false" outlineLevel="0" collapsed="false">
      <c r="P356" s="2"/>
      <c r="Q356" s="2"/>
    </row>
    <row r="357" customFormat="false" ht="15" hidden="false" customHeight="false" outlineLevel="0" collapsed="false">
      <c r="P357" s="2"/>
      <c r="Q357" s="2"/>
    </row>
    <row r="358" customFormat="false" ht="15" hidden="false" customHeight="false" outlineLevel="0" collapsed="false">
      <c r="P358" s="2"/>
      <c r="Q358" s="2"/>
    </row>
    <row r="359" customFormat="false" ht="15" hidden="false" customHeight="false" outlineLevel="0" collapsed="false">
      <c r="P359" s="2"/>
      <c r="Q359" s="2"/>
    </row>
    <row r="360" customFormat="false" ht="15" hidden="false" customHeight="false" outlineLevel="0" collapsed="false">
      <c r="P360" s="2"/>
      <c r="Q360" s="2"/>
    </row>
    <row r="361" customFormat="false" ht="15" hidden="false" customHeight="false" outlineLevel="0" collapsed="false">
      <c r="P361" s="2"/>
      <c r="Q361" s="2"/>
    </row>
    <row r="362" customFormat="false" ht="15" hidden="false" customHeight="false" outlineLevel="0" collapsed="false">
      <c r="P362" s="2"/>
      <c r="Q362" s="2"/>
    </row>
    <row r="363" customFormat="false" ht="15" hidden="false" customHeight="false" outlineLevel="0" collapsed="false">
      <c r="P363" s="2"/>
      <c r="Q363" s="2"/>
    </row>
    <row r="364" customFormat="false" ht="15" hidden="false" customHeight="false" outlineLevel="0" collapsed="false">
      <c r="P364" s="2"/>
      <c r="Q364" s="2"/>
    </row>
    <row r="365" customFormat="false" ht="15" hidden="false" customHeight="false" outlineLevel="0" collapsed="false">
      <c r="P365" s="2"/>
      <c r="Q365" s="2"/>
    </row>
    <row r="366" customFormat="false" ht="15" hidden="false" customHeight="false" outlineLevel="0" collapsed="false">
      <c r="P366" s="2"/>
      <c r="Q366" s="2"/>
    </row>
    <row r="367" customFormat="false" ht="15" hidden="false" customHeight="false" outlineLevel="0" collapsed="false">
      <c r="P367" s="2"/>
      <c r="Q367" s="2"/>
    </row>
    <row r="368" customFormat="false" ht="15" hidden="false" customHeight="false" outlineLevel="0" collapsed="false">
      <c r="P368" s="2"/>
      <c r="Q368" s="2"/>
    </row>
    <row r="369" customFormat="false" ht="15" hidden="false" customHeight="false" outlineLevel="0" collapsed="false">
      <c r="P369" s="2"/>
      <c r="Q369" s="2"/>
    </row>
    <row r="370" customFormat="false" ht="15" hidden="false" customHeight="false" outlineLevel="0" collapsed="false">
      <c r="P370" s="2"/>
      <c r="Q370" s="2"/>
    </row>
    <row r="371" customFormat="false" ht="15" hidden="false" customHeight="false" outlineLevel="0" collapsed="false">
      <c r="P371" s="2"/>
      <c r="Q371" s="2"/>
    </row>
    <row r="372" customFormat="false" ht="15" hidden="false" customHeight="false" outlineLevel="0" collapsed="false">
      <c r="P372" s="2"/>
      <c r="Q372" s="2"/>
    </row>
    <row r="373" customFormat="false" ht="15" hidden="false" customHeight="false" outlineLevel="0" collapsed="false">
      <c r="P373" s="2"/>
      <c r="Q373" s="2"/>
    </row>
    <row r="374" customFormat="false" ht="15" hidden="false" customHeight="false" outlineLevel="0" collapsed="false">
      <c r="P374" s="2"/>
      <c r="Q374" s="2"/>
    </row>
    <row r="375" customFormat="false" ht="15" hidden="false" customHeight="false" outlineLevel="0" collapsed="false">
      <c r="P375" s="2"/>
      <c r="Q375" s="2"/>
    </row>
    <row r="376" customFormat="false" ht="15" hidden="false" customHeight="false" outlineLevel="0" collapsed="false">
      <c r="P376" s="2"/>
      <c r="Q376" s="2"/>
    </row>
    <row r="377" customFormat="false" ht="15" hidden="false" customHeight="false" outlineLevel="0" collapsed="false">
      <c r="P377" s="2"/>
      <c r="Q377" s="2"/>
    </row>
    <row r="378" customFormat="false" ht="15" hidden="false" customHeight="false" outlineLevel="0" collapsed="false">
      <c r="P378" s="2"/>
      <c r="Q378" s="2"/>
    </row>
    <row r="379" customFormat="false" ht="15" hidden="false" customHeight="false" outlineLevel="0" collapsed="false">
      <c r="P379" s="2"/>
      <c r="Q379" s="2"/>
    </row>
    <row r="380" customFormat="false" ht="15" hidden="false" customHeight="false" outlineLevel="0" collapsed="false">
      <c r="P380" s="2"/>
      <c r="Q380" s="2"/>
    </row>
    <row r="381" customFormat="false" ht="15" hidden="false" customHeight="false" outlineLevel="0" collapsed="false">
      <c r="P381" s="2"/>
      <c r="Q381" s="2"/>
    </row>
    <row r="382" customFormat="false" ht="15" hidden="false" customHeight="false" outlineLevel="0" collapsed="false">
      <c r="P382" s="2"/>
      <c r="Q382" s="2"/>
    </row>
    <row r="383" customFormat="false" ht="15" hidden="false" customHeight="false" outlineLevel="0" collapsed="false">
      <c r="P383" s="2"/>
      <c r="Q383" s="2"/>
    </row>
    <row r="384" customFormat="false" ht="15" hidden="false" customHeight="false" outlineLevel="0" collapsed="false">
      <c r="P384" s="2"/>
      <c r="Q384" s="2"/>
    </row>
    <row r="385" customFormat="false" ht="15" hidden="false" customHeight="false" outlineLevel="0" collapsed="false">
      <c r="P385" s="2"/>
      <c r="Q385" s="2"/>
    </row>
    <row r="386" customFormat="false" ht="15" hidden="false" customHeight="false" outlineLevel="0" collapsed="false">
      <c r="B386" s="7"/>
      <c r="G386" s="7"/>
      <c r="H386" s="7"/>
      <c r="P386" s="2"/>
      <c r="Q386" s="2"/>
    </row>
    <row r="387" customFormat="false" ht="15" hidden="false" customHeight="false" outlineLevel="0" collapsed="false">
      <c r="B387" s="18"/>
      <c r="E387" s="18"/>
      <c r="F387" s="18"/>
      <c r="G387" s="7"/>
      <c r="H387" s="7"/>
      <c r="I387" s="10"/>
      <c r="P387" s="2"/>
      <c r="Q387" s="2"/>
    </row>
    <row r="388" customFormat="false" ht="15" hidden="false" customHeight="false" outlineLevel="0" collapsed="false">
      <c r="B388" s="18"/>
      <c r="E388" s="18"/>
      <c r="F388" s="18"/>
      <c r="G388" s="7"/>
      <c r="H388" s="7"/>
      <c r="I388" s="10"/>
      <c r="P388" s="2"/>
      <c r="Q388" s="2"/>
    </row>
    <row r="389" customFormat="false" ht="15" hidden="false" customHeight="false" outlineLevel="0" collapsed="false">
      <c r="B389" s="18"/>
      <c r="E389" s="18"/>
      <c r="F389" s="18"/>
      <c r="G389" s="7"/>
      <c r="H389" s="7"/>
      <c r="I389" s="10"/>
      <c r="P389" s="2"/>
      <c r="Q389" s="2"/>
    </row>
    <row r="390" customFormat="false" ht="15" hidden="false" customHeight="false" outlineLevel="0" collapsed="false">
      <c r="B390" s="18"/>
      <c r="E390" s="18"/>
      <c r="F390" s="18"/>
      <c r="G390" s="7"/>
      <c r="H390" s="7"/>
      <c r="I390" s="10"/>
      <c r="P390" s="2"/>
      <c r="Q390" s="2"/>
    </row>
    <row r="391" customFormat="false" ht="15" hidden="false" customHeight="false" outlineLevel="0" collapsed="false">
      <c r="B391" s="18"/>
      <c r="E391" s="18"/>
      <c r="F391" s="18"/>
      <c r="G391" s="7"/>
      <c r="H391" s="7"/>
      <c r="I391" s="10"/>
      <c r="P391" s="2"/>
      <c r="Q391" s="2"/>
    </row>
    <row r="392" customFormat="false" ht="15" hidden="false" customHeight="false" outlineLevel="0" collapsed="false">
      <c r="B392" s="18"/>
      <c r="E392" s="18"/>
      <c r="F392" s="18"/>
      <c r="G392" s="7"/>
      <c r="H392" s="7"/>
      <c r="I392" s="10"/>
      <c r="P392" s="2"/>
      <c r="Q392" s="2"/>
    </row>
    <row r="393" customFormat="false" ht="15" hidden="false" customHeight="false" outlineLevel="0" collapsed="false">
      <c r="B393" s="18"/>
      <c r="E393" s="10"/>
      <c r="F393" s="10"/>
      <c r="G393" s="7"/>
      <c r="H393" s="7"/>
      <c r="I393" s="10"/>
      <c r="P393" s="2"/>
      <c r="Q393" s="2"/>
    </row>
    <row r="394" customFormat="false" ht="15" hidden="false" customHeight="false" outlineLevel="0" collapsed="false">
      <c r="B394" s="18"/>
      <c r="E394" s="10"/>
      <c r="F394" s="10"/>
      <c r="G394" s="7"/>
      <c r="H394" s="7"/>
      <c r="I394" s="10"/>
      <c r="P394" s="2"/>
      <c r="Q394" s="2"/>
    </row>
    <row r="395" customFormat="false" ht="15" hidden="false" customHeight="false" outlineLevel="0" collapsed="false">
      <c r="B395" s="18"/>
      <c r="E395" s="10"/>
      <c r="F395" s="10"/>
      <c r="G395" s="7"/>
      <c r="H395" s="7"/>
      <c r="I395" s="10"/>
      <c r="P395" s="2"/>
      <c r="Q395" s="2"/>
    </row>
    <row r="396" customFormat="false" ht="15" hidden="false" customHeight="false" outlineLevel="0" collapsed="false">
      <c r="B396" s="18"/>
      <c r="E396" s="10"/>
      <c r="F396" s="10"/>
      <c r="G396" s="7"/>
      <c r="H396" s="7"/>
      <c r="I396" s="10"/>
      <c r="P396" s="2"/>
      <c r="Q396" s="2"/>
    </row>
    <row r="397" customFormat="false" ht="15" hidden="false" customHeight="false" outlineLevel="0" collapsed="false">
      <c r="B397" s="18"/>
      <c r="E397" s="10"/>
      <c r="F397" s="10"/>
      <c r="G397" s="7"/>
      <c r="H397" s="7"/>
      <c r="I397" s="10"/>
      <c r="P397" s="2"/>
      <c r="Q397" s="2"/>
    </row>
    <row r="398" customFormat="false" ht="15" hidden="false" customHeight="false" outlineLevel="0" collapsed="false">
      <c r="B398" s="18"/>
      <c r="E398" s="10"/>
      <c r="F398" s="10"/>
      <c r="G398" s="7"/>
      <c r="H398" s="7"/>
      <c r="I398" s="10"/>
      <c r="P398" s="2"/>
      <c r="Q398" s="2"/>
    </row>
    <row r="399" customFormat="false" ht="15" hidden="false" customHeight="false" outlineLevel="0" collapsed="false">
      <c r="B399" s="18"/>
      <c r="E399" s="10"/>
      <c r="F399" s="10"/>
      <c r="G399" s="7"/>
      <c r="H399" s="7"/>
      <c r="I399" s="10"/>
      <c r="P399" s="2"/>
      <c r="Q399" s="2"/>
    </row>
    <row r="400" customFormat="false" ht="15" hidden="false" customHeight="false" outlineLevel="0" collapsed="false">
      <c r="B400" s="18"/>
      <c r="E400" s="10"/>
      <c r="F400" s="10"/>
      <c r="G400" s="7"/>
      <c r="H400" s="7"/>
      <c r="I400" s="10"/>
      <c r="P400" s="2"/>
      <c r="Q400" s="2"/>
    </row>
    <row r="401" customFormat="false" ht="15" hidden="false" customHeight="false" outlineLevel="0" collapsed="false">
      <c r="B401" s="18"/>
      <c r="E401" s="10"/>
      <c r="F401" s="10"/>
      <c r="G401" s="7"/>
      <c r="H401" s="7"/>
      <c r="I401" s="10"/>
      <c r="P401" s="2"/>
      <c r="Q401" s="2"/>
    </row>
    <row r="402" customFormat="false" ht="15" hidden="false" customHeight="false" outlineLevel="0" collapsed="false">
      <c r="B402" s="18"/>
      <c r="E402" s="10"/>
      <c r="F402" s="10"/>
      <c r="G402" s="7"/>
      <c r="H402" s="7"/>
      <c r="I402" s="10"/>
      <c r="P402" s="2"/>
      <c r="Q402" s="2"/>
    </row>
    <row r="403" customFormat="false" ht="15" hidden="false" customHeight="false" outlineLevel="0" collapsed="false">
      <c r="B403" s="18"/>
      <c r="E403" s="10"/>
      <c r="F403" s="10"/>
      <c r="G403" s="7"/>
      <c r="H403" s="7"/>
      <c r="I403" s="10"/>
      <c r="P403" s="2"/>
      <c r="Q403" s="2"/>
    </row>
    <row r="404" customFormat="false" ht="15" hidden="false" customHeight="false" outlineLevel="0" collapsed="false">
      <c r="B404" s="18"/>
      <c r="E404" s="10"/>
      <c r="F404" s="10"/>
      <c r="G404" s="7"/>
      <c r="H404" s="7"/>
      <c r="I404" s="10"/>
      <c r="P404" s="2"/>
      <c r="Q404" s="2"/>
    </row>
    <row r="405" customFormat="false" ht="15" hidden="false" customHeight="false" outlineLevel="0" collapsed="false">
      <c r="B405" s="18"/>
      <c r="E405" s="10"/>
      <c r="F405" s="10"/>
      <c r="G405" s="7"/>
      <c r="H405" s="7"/>
      <c r="I405" s="10"/>
      <c r="P405" s="2"/>
      <c r="Q405" s="2"/>
    </row>
    <row r="406" customFormat="false" ht="15" hidden="false" customHeight="false" outlineLevel="0" collapsed="false">
      <c r="B406" s="18"/>
      <c r="E406" s="10"/>
      <c r="F406" s="10"/>
      <c r="G406" s="7"/>
      <c r="H406" s="7"/>
      <c r="I406" s="10"/>
      <c r="P406" s="2"/>
      <c r="Q406" s="2"/>
    </row>
    <row r="407" customFormat="false" ht="15" hidden="false" customHeight="false" outlineLevel="0" collapsed="false">
      <c r="B407" s="18"/>
      <c r="E407" s="10"/>
      <c r="F407" s="10"/>
      <c r="G407" s="7"/>
      <c r="H407" s="7"/>
      <c r="I407" s="10"/>
      <c r="P407" s="2"/>
      <c r="Q407" s="2"/>
    </row>
    <row r="408" customFormat="false" ht="15" hidden="false" customHeight="false" outlineLevel="0" collapsed="false">
      <c r="B408" s="18"/>
      <c r="E408" s="10"/>
      <c r="F408" s="10"/>
      <c r="G408" s="7"/>
      <c r="H408" s="7"/>
      <c r="I408" s="10"/>
      <c r="P408" s="2"/>
      <c r="Q408" s="2"/>
    </row>
    <row r="409" customFormat="false" ht="15" hidden="false" customHeight="false" outlineLevel="0" collapsed="false">
      <c r="B409" s="18"/>
      <c r="E409" s="10"/>
      <c r="F409" s="10"/>
      <c r="G409" s="7"/>
      <c r="H409" s="7"/>
      <c r="I409" s="10"/>
      <c r="P409" s="2"/>
      <c r="Q409" s="2"/>
    </row>
    <row r="410" customFormat="false" ht="15" hidden="false" customHeight="false" outlineLevel="0" collapsed="false">
      <c r="B410" s="18"/>
      <c r="E410" s="10"/>
      <c r="F410" s="10"/>
      <c r="G410" s="7"/>
      <c r="H410" s="7"/>
      <c r="I410" s="10"/>
      <c r="P410" s="2"/>
      <c r="Q410" s="2"/>
    </row>
    <row r="411" customFormat="false" ht="15" hidden="false" customHeight="false" outlineLevel="0" collapsed="false">
      <c r="B411" s="18"/>
      <c r="E411" s="10"/>
      <c r="F411" s="10"/>
      <c r="G411" s="7"/>
      <c r="H411" s="7"/>
      <c r="I411" s="10"/>
      <c r="P411" s="2"/>
      <c r="Q411" s="2"/>
    </row>
    <row r="412" customFormat="false" ht="15" hidden="false" customHeight="false" outlineLevel="0" collapsed="false">
      <c r="B412" s="10"/>
      <c r="E412" s="18"/>
      <c r="F412" s="18"/>
      <c r="G412" s="7"/>
      <c r="H412" s="7"/>
      <c r="I412" s="10"/>
      <c r="P412" s="2"/>
      <c r="Q412" s="2"/>
    </row>
    <row r="413" customFormat="false" ht="15" hidden="false" customHeight="false" outlineLevel="0" collapsed="false">
      <c r="B413" s="10"/>
      <c r="E413" s="18"/>
      <c r="F413" s="18"/>
      <c r="G413" s="7"/>
      <c r="H413" s="7"/>
      <c r="I413" s="10"/>
      <c r="P413" s="2"/>
      <c r="Q413" s="2"/>
    </row>
    <row r="414" customFormat="false" ht="15" hidden="false" customHeight="false" outlineLevel="0" collapsed="false">
      <c r="B414" s="10"/>
      <c r="E414" s="18"/>
      <c r="F414" s="18"/>
      <c r="G414" s="7"/>
      <c r="H414" s="7"/>
      <c r="I414" s="10"/>
      <c r="P414" s="2"/>
      <c r="Q414" s="2"/>
    </row>
    <row r="415" customFormat="false" ht="15" hidden="false" customHeight="false" outlineLevel="0" collapsed="false">
      <c r="B415" s="10"/>
      <c r="E415" s="10"/>
      <c r="F415" s="10"/>
      <c r="G415" s="7"/>
      <c r="H415" s="7"/>
      <c r="I415" s="10"/>
      <c r="P415" s="2"/>
      <c r="Q415" s="2"/>
    </row>
    <row r="416" customFormat="false" ht="15" hidden="false" customHeight="false" outlineLevel="0" collapsed="false">
      <c r="B416" s="10"/>
      <c r="E416" s="10"/>
      <c r="F416" s="10"/>
      <c r="G416" s="7"/>
      <c r="H416" s="7"/>
      <c r="I416" s="10"/>
      <c r="P416" s="2"/>
      <c r="Q416" s="2"/>
    </row>
    <row r="417" customFormat="false" ht="15" hidden="false" customHeight="false" outlineLevel="0" collapsed="false">
      <c r="B417" s="10"/>
      <c r="E417" s="10"/>
      <c r="F417" s="10"/>
      <c r="G417" s="7"/>
      <c r="H417" s="7"/>
      <c r="I417" s="10"/>
      <c r="P417" s="2"/>
      <c r="Q417" s="2"/>
    </row>
    <row r="418" customFormat="false" ht="15" hidden="false" customHeight="false" outlineLevel="0" collapsed="false">
      <c r="B418" s="10"/>
      <c r="E418" s="18"/>
      <c r="F418" s="18"/>
      <c r="G418" s="7"/>
      <c r="H418" s="7"/>
      <c r="I418" s="10"/>
      <c r="P418" s="2"/>
      <c r="Q418" s="2"/>
    </row>
    <row r="419" customFormat="false" ht="15" hidden="false" customHeight="false" outlineLevel="0" collapsed="false">
      <c r="B419" s="10"/>
      <c r="E419" s="18"/>
      <c r="F419" s="18"/>
      <c r="G419" s="7"/>
      <c r="H419" s="7"/>
      <c r="I419" s="10"/>
      <c r="P419" s="2"/>
      <c r="Q419" s="2"/>
    </row>
    <row r="420" customFormat="false" ht="15" hidden="false" customHeight="false" outlineLevel="0" collapsed="false">
      <c r="B420" s="10"/>
      <c r="E420" s="10"/>
      <c r="F420" s="10"/>
      <c r="G420" s="7"/>
      <c r="H420" s="7"/>
      <c r="I420" s="10"/>
      <c r="P420" s="2"/>
      <c r="Q420" s="2"/>
    </row>
    <row r="421" customFormat="false" ht="15" hidden="false" customHeight="false" outlineLevel="0" collapsed="false">
      <c r="B421" s="10"/>
      <c r="E421" s="10"/>
      <c r="F421" s="10"/>
      <c r="G421" s="7"/>
      <c r="H421" s="7"/>
      <c r="I421" s="10"/>
      <c r="P421" s="2"/>
      <c r="Q421" s="2"/>
    </row>
    <row r="422" customFormat="false" ht="15" hidden="false" customHeight="false" outlineLevel="0" collapsed="false">
      <c r="B422" s="18"/>
      <c r="E422" s="18"/>
      <c r="F422" s="18"/>
      <c r="G422" s="7"/>
      <c r="H422" s="7"/>
      <c r="I422" s="10"/>
      <c r="P422" s="2"/>
      <c r="Q422" s="2"/>
    </row>
    <row r="423" customFormat="false" ht="15" hidden="false" customHeight="false" outlineLevel="0" collapsed="false">
      <c r="B423" s="18"/>
      <c r="E423" s="18"/>
      <c r="F423" s="18"/>
      <c r="G423" s="7"/>
      <c r="H423" s="7"/>
      <c r="I423" s="10"/>
      <c r="P423" s="2"/>
      <c r="Q423" s="2"/>
    </row>
    <row r="424" customFormat="false" ht="15" hidden="false" customHeight="false" outlineLevel="0" collapsed="false">
      <c r="B424" s="18"/>
      <c r="E424" s="18"/>
      <c r="F424" s="18"/>
      <c r="G424" s="7"/>
      <c r="H424" s="7"/>
      <c r="I424" s="10"/>
      <c r="P424" s="2"/>
      <c r="Q424" s="2"/>
    </row>
    <row r="425" customFormat="false" ht="15" hidden="false" customHeight="false" outlineLevel="0" collapsed="false">
      <c r="B425" s="18"/>
      <c r="E425" s="18"/>
      <c r="F425" s="18"/>
      <c r="G425" s="7"/>
      <c r="H425" s="7"/>
      <c r="I425" s="10"/>
      <c r="P425" s="2"/>
      <c r="Q425" s="2"/>
    </row>
    <row r="426" customFormat="false" ht="15" hidden="false" customHeight="false" outlineLevel="0" collapsed="false">
      <c r="B426" s="18"/>
      <c r="E426" s="10"/>
      <c r="F426" s="10"/>
      <c r="G426" s="7"/>
      <c r="H426" s="7"/>
      <c r="I426" s="10"/>
      <c r="P426" s="2"/>
      <c r="Q426" s="2"/>
    </row>
    <row r="427" customFormat="false" ht="15" hidden="false" customHeight="false" outlineLevel="0" collapsed="false">
      <c r="B427" s="18"/>
      <c r="E427" s="10"/>
      <c r="F427" s="10"/>
      <c r="G427" s="7"/>
      <c r="H427" s="7"/>
      <c r="I427" s="10"/>
      <c r="P427" s="2"/>
      <c r="Q427" s="2"/>
    </row>
    <row r="428" customFormat="false" ht="15" hidden="false" customHeight="false" outlineLevel="0" collapsed="false">
      <c r="B428" s="18"/>
      <c r="E428" s="10"/>
      <c r="F428" s="10"/>
      <c r="G428" s="7"/>
      <c r="H428" s="7"/>
      <c r="I428" s="10"/>
      <c r="P428" s="2"/>
      <c r="Q428" s="2"/>
    </row>
    <row r="429" customFormat="false" ht="15" hidden="false" customHeight="false" outlineLevel="0" collapsed="false">
      <c r="B429" s="18"/>
      <c r="E429" s="18"/>
      <c r="F429" s="18"/>
      <c r="G429" s="7"/>
      <c r="H429" s="7"/>
      <c r="I429" s="10"/>
      <c r="P429" s="2"/>
      <c r="Q429" s="2"/>
    </row>
    <row r="430" customFormat="false" ht="15" hidden="false" customHeight="false" outlineLevel="0" collapsed="false">
      <c r="B430" s="18"/>
      <c r="E430" s="18"/>
      <c r="F430" s="18"/>
      <c r="G430" s="7"/>
      <c r="H430" s="7"/>
      <c r="I430" s="10"/>
      <c r="P430" s="2"/>
      <c r="Q430" s="2"/>
    </row>
    <row r="431" customFormat="false" ht="15" hidden="false" customHeight="false" outlineLevel="0" collapsed="false">
      <c r="B431" s="18"/>
      <c r="E431" s="10"/>
      <c r="F431" s="10"/>
      <c r="G431" s="7"/>
      <c r="H431" s="7"/>
      <c r="I431" s="10"/>
      <c r="P431" s="2"/>
      <c r="Q431" s="2"/>
    </row>
    <row r="432" customFormat="false" ht="15" hidden="false" customHeight="false" outlineLevel="0" collapsed="false">
      <c r="B432" s="18"/>
      <c r="E432" s="10"/>
      <c r="F432" s="10"/>
      <c r="G432" s="7"/>
      <c r="H432" s="7"/>
      <c r="I432" s="10"/>
      <c r="P432" s="2"/>
      <c r="Q432" s="2"/>
    </row>
    <row r="433" customFormat="false" ht="15" hidden="false" customHeight="false" outlineLevel="0" collapsed="false">
      <c r="B433" s="18"/>
      <c r="E433" s="10"/>
      <c r="F433" s="10"/>
      <c r="G433" s="7"/>
      <c r="H433" s="7"/>
      <c r="I433" s="10"/>
      <c r="P433" s="2"/>
      <c r="Q433" s="2"/>
    </row>
    <row r="434" customFormat="false" ht="15" hidden="false" customHeight="false" outlineLevel="0" collapsed="false">
      <c r="P434" s="2"/>
      <c r="Q434" s="2"/>
    </row>
    <row r="435" customFormat="false" ht="15" hidden="false" customHeight="false" outlineLevel="0" collapsed="false">
      <c r="P435" s="2"/>
      <c r="Q435" s="2"/>
    </row>
    <row r="436" customFormat="false" ht="15" hidden="false" customHeight="false" outlineLevel="0" collapsed="false">
      <c r="P436" s="2"/>
      <c r="Q436" s="2"/>
    </row>
    <row r="437" customFormat="false" ht="15" hidden="false" customHeight="false" outlineLevel="0" collapsed="false">
      <c r="P437" s="2"/>
      <c r="Q437" s="2"/>
    </row>
    <row r="438" customFormat="false" ht="15" hidden="false" customHeight="false" outlineLevel="0" collapsed="false">
      <c r="P438" s="2"/>
      <c r="Q438" s="2"/>
    </row>
    <row r="439" customFormat="false" ht="15" hidden="false" customHeight="false" outlineLevel="0" collapsed="false">
      <c r="P439" s="2"/>
      <c r="Q439" s="2"/>
    </row>
    <row r="440" customFormat="false" ht="15" hidden="false" customHeight="false" outlineLevel="0" collapsed="false">
      <c r="P440" s="2"/>
      <c r="Q440" s="2"/>
    </row>
    <row r="441" customFormat="false" ht="15" hidden="false" customHeight="false" outlineLevel="0" collapsed="false">
      <c r="P441" s="2"/>
      <c r="Q441" s="2"/>
    </row>
    <row r="442" customFormat="false" ht="15" hidden="false" customHeight="false" outlineLevel="0" collapsed="false">
      <c r="P442" s="2"/>
      <c r="Q442" s="2"/>
    </row>
    <row r="443" customFormat="false" ht="15" hidden="false" customHeight="false" outlineLevel="0" collapsed="false">
      <c r="P443" s="2"/>
      <c r="Q443" s="2"/>
    </row>
    <row r="444" customFormat="false" ht="15" hidden="false" customHeight="false" outlineLevel="0" collapsed="false">
      <c r="P444" s="2"/>
      <c r="Q444" s="2"/>
    </row>
    <row r="445" customFormat="false" ht="15" hidden="false" customHeight="false" outlineLevel="0" collapsed="false">
      <c r="P445" s="2"/>
      <c r="Q445" s="2"/>
    </row>
    <row r="446" customFormat="false" ht="15" hidden="false" customHeight="false" outlineLevel="0" collapsed="false">
      <c r="P446" s="2"/>
      <c r="Q446" s="2"/>
    </row>
  </sheetData>
  <autoFilter ref="B1:I268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Q36" activeCellId="1" sqref="R253:R258 Q36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1" t="s">
        <v>18</v>
      </c>
      <c r="B1" s="1" t="s">
        <v>19</v>
      </c>
      <c r="C1" s="1" t="s">
        <v>20</v>
      </c>
      <c r="D1" s="7" t="s">
        <v>264</v>
      </c>
      <c r="E1" s="7" t="s">
        <v>265</v>
      </c>
      <c r="F1" s="7" t="s">
        <v>258</v>
      </c>
      <c r="G1" s="1" t="s">
        <v>24</v>
      </c>
      <c r="H1" s="7" t="s">
        <v>266</v>
      </c>
      <c r="I1" s="1" t="str">
        <f aca="false">MID(D1,1,FIND("°",D1,1)-1)</f>
        <v>03</v>
      </c>
      <c r="J1" s="1" t="str">
        <f aca="false">MID(D1,FIND("°",D1,1)+1,(FIND("′",D1,1)-FIND("°",D1,1))-1)</f>
        <v>18</v>
      </c>
      <c r="K1" s="1" t="str">
        <f aca="false">MID(D1,FIND("′",D1,1)+1,(FIND("″",D1,1)-FIND("′",D1,1))-1)</f>
        <v>00</v>
      </c>
      <c r="L1" s="1" t="str">
        <f aca="false">MID(E1,1,FIND("°",E1,1)-1)</f>
        <v>50</v>
      </c>
      <c r="M1" s="1" t="str">
        <f aca="false">MID(E1,FIND("°",E1,1)+1,(FIND("′",E1,1)-FIND("°",E1,1))-1)</f>
        <v>35</v>
      </c>
      <c r="N1" s="1" t="str">
        <f aca="false">MID(E1,FIND("′",E1,1)+1,(FIND("″",E1,1)-FIND("′",E1,1))-1)</f>
        <v>24</v>
      </c>
      <c r="O1" s="2" t="n">
        <f aca="false">((((K1/60)+J1)/60)+I1)*IF(B1="S",-1, 1)</f>
        <v>3.3</v>
      </c>
      <c r="P1" s="2" t="n">
        <f aca="false">((((N1/60)+M1)/60)+L1)*IF(C1="W",-1, 1)</f>
        <v>-50.59</v>
      </c>
      <c r="Q1" s="16" t="s">
        <v>260</v>
      </c>
    </row>
    <row r="2" customFormat="false" ht="15" hidden="false" customHeight="false" outlineLevel="0" collapsed="false">
      <c r="A2" s="1" t="s">
        <v>18</v>
      </c>
      <c r="B2" s="1" t="s">
        <v>19</v>
      </c>
      <c r="C2" s="1" t="s">
        <v>20</v>
      </c>
      <c r="D2" s="7" t="s">
        <v>267</v>
      </c>
      <c r="E2" s="7" t="s">
        <v>268</v>
      </c>
      <c r="F2" s="7" t="s">
        <v>258</v>
      </c>
      <c r="G2" s="1" t="s">
        <v>24</v>
      </c>
      <c r="H2" s="7" t="s">
        <v>269</v>
      </c>
      <c r="I2" s="1" t="str">
        <f aca="false">MID(D2,1,FIND("°",D2,1)-1)</f>
        <v>05</v>
      </c>
      <c r="J2" s="1" t="str">
        <f aca="false">MID(D2,FIND("°",D2,1)+1,(FIND("′",D2,1)-FIND("°",D2,1))-1)</f>
        <v>40</v>
      </c>
      <c r="K2" s="1" t="str">
        <f aca="false">MID(D2,FIND("′",D2,1)+1,(FIND("″",D2,1)-FIND("′",D2,1))-1)</f>
        <v>48</v>
      </c>
      <c r="L2" s="1" t="str">
        <f aca="false">MID(E2,1,FIND("°",E2,1)-1)</f>
        <v>46</v>
      </c>
      <c r="M2" s="1" t="str">
        <f aca="false">MID(E2,FIND("°",E2,1)+1,(FIND("′",E2,1)-FIND("°",E2,1))-1)</f>
        <v>38</v>
      </c>
      <c r="N2" s="1" t="str">
        <f aca="false">MID(E2,FIND("′",E2,1)+1,(FIND("″",E2,1)-FIND("′",E2,1))-1)</f>
        <v>24</v>
      </c>
      <c r="O2" s="2" t="n">
        <f aca="false">((((K2/60)+J2)/60)+I2)*IF(B2="S",-1, 1)</f>
        <v>5.68</v>
      </c>
      <c r="P2" s="2" t="n">
        <f aca="false">((((N2/60)+M2)/60)+L2)*IF(C2="W",-1, 1)</f>
        <v>-46.64</v>
      </c>
      <c r="Q2" s="16" t="s">
        <v>260</v>
      </c>
    </row>
    <row r="3" customFormat="false" ht="15" hidden="false" customHeight="false" outlineLevel="0" collapsed="false">
      <c r="A3" s="1" t="s">
        <v>18</v>
      </c>
      <c r="B3" s="1" t="s">
        <v>27</v>
      </c>
      <c r="C3" s="1" t="s">
        <v>20</v>
      </c>
      <c r="D3" s="7" t="s">
        <v>270</v>
      </c>
      <c r="E3" s="7" t="s">
        <v>271</v>
      </c>
      <c r="F3" s="7" t="s">
        <v>258</v>
      </c>
      <c r="G3" s="1" t="s">
        <v>24</v>
      </c>
      <c r="H3" s="7" t="s">
        <v>272</v>
      </c>
      <c r="I3" s="1" t="str">
        <f aca="false">MID(D3,1,FIND("°",D3,1)-1)</f>
        <v>01</v>
      </c>
      <c r="J3" s="1" t="str">
        <f aca="false">MID(D3,FIND("°",D3,1)+1,(FIND("′",D3,1)-FIND("°",D3,1))-1)</f>
        <v>13</v>
      </c>
      <c r="K3" s="1" t="str">
        <f aca="false">MID(D3,FIND("′",D3,1)+1,(FIND("″",D3,1)-FIND("′",D3,1))-1)</f>
        <v>12</v>
      </c>
      <c r="L3" s="1" t="str">
        <f aca="false">MID(E3,1,FIND("°",E3,1)-1)</f>
        <v>44</v>
      </c>
      <c r="M3" s="1" t="str">
        <f aca="false">MID(E3,FIND("°",E3,1)+1,(FIND("′",E3,1)-FIND("°",E3,1))-1)</f>
        <v>38</v>
      </c>
      <c r="N3" s="1" t="str">
        <f aca="false">MID(E3,FIND("′",E3,1)+1,(FIND("″",E3,1)-FIND("′",E3,1))-1)</f>
        <v>24</v>
      </c>
      <c r="O3" s="2" t="n">
        <f aca="false">((((K3/60)+J3)/60)+I3)*IF(B3="S",-1, 1)</f>
        <v>-1.22</v>
      </c>
      <c r="P3" s="2" t="n">
        <f aca="false">((((N3/60)+M3)/60)+L3)*IF(C3="W",-1, 1)</f>
        <v>-44.64</v>
      </c>
      <c r="Q3" s="16" t="s">
        <v>260</v>
      </c>
    </row>
    <row r="4" customFormat="false" ht="15" hidden="false" customHeight="false" outlineLevel="0" collapsed="false">
      <c r="A4" s="1" t="s">
        <v>18</v>
      </c>
      <c r="B4" s="1" t="s">
        <v>19</v>
      </c>
      <c r="C4" s="1" t="s">
        <v>20</v>
      </c>
      <c r="D4" s="7" t="s">
        <v>273</v>
      </c>
      <c r="E4" s="7" t="s">
        <v>274</v>
      </c>
      <c r="F4" s="7" t="s">
        <v>258</v>
      </c>
      <c r="G4" s="1" t="s">
        <v>24</v>
      </c>
      <c r="H4" s="7" t="s">
        <v>275</v>
      </c>
      <c r="I4" s="1" t="str">
        <f aca="false">MID(D4,1,FIND("°",D4,1)-1)</f>
        <v>01</v>
      </c>
      <c r="J4" s="1" t="str">
        <f aca="false">MID(D4,FIND("°",D4,1)+1,(FIND("′",D4,1)-FIND("°",D4,1))-1)</f>
        <v>58</v>
      </c>
      <c r="K4" s="1" t="str">
        <f aca="false">MID(D4,FIND("′",D4,1)+1,(FIND("″",D4,1)-FIND("′",D4,1))-1)</f>
        <v>12</v>
      </c>
      <c r="L4" s="1" t="str">
        <f aca="false">MID(E4,1,FIND("°",E4,1)-1)</f>
        <v>40</v>
      </c>
      <c r="M4" s="1" t="str">
        <f aca="false">MID(E4,FIND("°",E4,1)+1,(FIND("′",E4,1)-FIND("°",E4,1))-1)</f>
        <v>35</v>
      </c>
      <c r="N4" s="1" t="str">
        <f aca="false">MID(E4,FIND("′",E4,1)+1,(FIND("″",E4,1)-FIND("′",E4,1))-1)</f>
        <v>24</v>
      </c>
      <c r="O4" s="2" t="n">
        <f aca="false">((((K4/60)+J4)/60)+I4)*IF(B4="S",-1, 1)</f>
        <v>1.97</v>
      </c>
      <c r="P4" s="2" t="n">
        <f aca="false">((((N4/60)+M4)/60)+L4)*IF(C4="W",-1, 1)</f>
        <v>-40.59</v>
      </c>
      <c r="Q4" s="16" t="s">
        <v>260</v>
      </c>
    </row>
    <row r="5" customFormat="false" ht="15" hidden="false" customHeight="false" outlineLevel="0" collapsed="false">
      <c r="A5" s="1" t="s">
        <v>18</v>
      </c>
      <c r="B5" s="1" t="s">
        <v>27</v>
      </c>
      <c r="C5" s="1" t="s">
        <v>20</v>
      </c>
      <c r="D5" s="2" t="s">
        <v>276</v>
      </c>
      <c r="E5" s="7" t="s">
        <v>277</v>
      </c>
      <c r="F5" s="7" t="s">
        <v>258</v>
      </c>
      <c r="G5" s="1" t="s">
        <v>24</v>
      </c>
      <c r="H5" s="7" t="s">
        <v>278</v>
      </c>
      <c r="I5" s="1" t="str">
        <f aca="false">MID(D5,1,FIND("°",D5,1)-1)</f>
        <v>03</v>
      </c>
      <c r="J5" s="1" t="str">
        <f aca="false">MID(D5,FIND("°",D5,1)+1,(FIND("′",D5,1)-FIND("°",D5,1))-1)</f>
        <v>30</v>
      </c>
      <c r="K5" s="1" t="str">
        <f aca="false">MID(D5,FIND("′",D5,1)+1,(FIND("″",D5,1)-FIND("′",D5,1))-1)</f>
        <v>00</v>
      </c>
      <c r="L5" s="1" t="str">
        <f aca="false">MID(E5,1,FIND("°",E5,1)-1)</f>
        <v>38</v>
      </c>
      <c r="M5" s="1" t="str">
        <f aca="false">MID(E5,FIND("°",E5,1)+1,(FIND("′",E5,1)-FIND("°",E5,1))-1)</f>
        <v>44</v>
      </c>
      <c r="N5" s="1" t="str">
        <f aca="false">MID(E5,FIND("′",E5,1)+1,(FIND("″",E5,1)-FIND("′",E5,1))-1)</f>
        <v>24</v>
      </c>
      <c r="O5" s="2" t="n">
        <f aca="false">((((K5/60)+J5)/60)+I5)*IF(B5="S",-1, 1)</f>
        <v>-3.5</v>
      </c>
      <c r="P5" s="2" t="n">
        <f aca="false">((((N5/60)+M5)/60)+L5)*IF(C5="W",-1, 1)</f>
        <v>-38.74</v>
      </c>
      <c r="Q5" s="16" t="s">
        <v>260</v>
      </c>
    </row>
    <row r="6" customFormat="false" ht="15" hidden="false" customHeight="false" outlineLevel="0" collapsed="false">
      <c r="A6" s="1" t="s">
        <v>18</v>
      </c>
      <c r="B6" s="1" t="s">
        <v>27</v>
      </c>
      <c r="C6" s="1" t="s">
        <v>20</v>
      </c>
      <c r="D6" s="7" t="s">
        <v>279</v>
      </c>
      <c r="E6" s="7" t="s">
        <v>280</v>
      </c>
      <c r="F6" s="7" t="s">
        <v>258</v>
      </c>
      <c r="G6" s="1" t="s">
        <v>24</v>
      </c>
      <c r="H6" s="7" t="s">
        <v>281</v>
      </c>
      <c r="I6" s="1" t="str">
        <f aca="false">MID(D6,1,FIND("°",D6,1)-1)</f>
        <v>00</v>
      </c>
      <c r="J6" s="1" t="str">
        <f aca="false">MID(D6,FIND("°",D6,1)+1,(FIND("′",D6,1)-FIND("°",D6,1))-1)</f>
        <v>38</v>
      </c>
      <c r="K6" s="1" t="str">
        <f aca="false">MID(D6,FIND("′",D6,1)+1,(FIND("″",D6,1)-FIND("′",D6,1))-1)</f>
        <v>24</v>
      </c>
      <c r="L6" s="1" t="str">
        <f aca="false">MID(E6,1,FIND("°",E6,1)-1)</f>
        <v>35</v>
      </c>
      <c r="M6" s="1" t="str">
        <f aca="false">MID(E6,FIND("°",E6,1)+1,(FIND("′",E6,1)-FIND("°",E6,1))-1)</f>
        <v>00</v>
      </c>
      <c r="N6" s="1" t="str">
        <f aca="false">MID(E6,FIND("′",E6,1)+1,(FIND("″",E6,1)-FIND("′",E6,1))-1)</f>
        <v>00</v>
      </c>
      <c r="O6" s="2" t="n">
        <f aca="false">((((K6/60)+J6)/60)+I6)*IF(B6="S",-1, 1)</f>
        <v>-0.64</v>
      </c>
      <c r="P6" s="2" t="n">
        <f aca="false">((((N6/60)+M6)/60)+L6)*IF(C6="W",-1, 1)</f>
        <v>-35</v>
      </c>
      <c r="Q6" s="16" t="s">
        <v>260</v>
      </c>
    </row>
    <row r="7" customFormat="false" ht="15" hidden="false" customHeight="false" outlineLevel="0" collapsed="false">
      <c r="A7" s="1" t="s">
        <v>18</v>
      </c>
      <c r="B7" s="1" t="s">
        <v>27</v>
      </c>
      <c r="C7" s="1" t="s">
        <v>20</v>
      </c>
      <c r="D7" s="7" t="s">
        <v>282</v>
      </c>
      <c r="E7" s="7" t="s">
        <v>283</v>
      </c>
      <c r="F7" s="7" t="s">
        <v>258</v>
      </c>
      <c r="G7" s="1" t="s">
        <v>24</v>
      </c>
      <c r="H7" s="7" t="s">
        <v>284</v>
      </c>
      <c r="I7" s="1" t="str">
        <f aca="false">MID(D7,1,FIND("°",D7,1)-1)</f>
        <v>05</v>
      </c>
      <c r="J7" s="1" t="str">
        <f aca="false">MID(D7,FIND("°",D7,1)+1,(FIND("′",D7,1)-FIND("°",D7,1))-1)</f>
        <v>01</v>
      </c>
      <c r="K7" s="1" t="str">
        <f aca="false">MID(D7,FIND("′",D7,1)+1,(FIND("″",D7,1)-FIND("′",D7,1))-1)</f>
        <v>12</v>
      </c>
      <c r="L7" s="1" t="str">
        <f aca="false">MID(E7,1,FIND("°",E7,1)-1)</f>
        <v>35</v>
      </c>
      <c r="M7" s="1" t="str">
        <f aca="false">MID(E7,FIND("°",E7,1)+1,(FIND("′",E7,1)-FIND("°",E7,1))-1)</f>
        <v>25</v>
      </c>
      <c r="N7" s="1" t="str">
        <f aca="false">MID(E7,FIND("′",E7,1)+1,(FIND("″",E7,1)-FIND("′",E7,1))-1)</f>
        <v>48</v>
      </c>
      <c r="O7" s="2" t="n">
        <f aca="false">((((K7/60)+J7)/60)+I7)*IF(B7="S",-1, 1)</f>
        <v>-5.02</v>
      </c>
      <c r="P7" s="2" t="n">
        <f aca="false">((((N7/60)+M7)/60)+L7)*IF(C7="W",-1, 1)</f>
        <v>-35.43</v>
      </c>
      <c r="Q7" s="16" t="s">
        <v>260</v>
      </c>
    </row>
    <row r="8" customFormat="false" ht="15" hidden="false" customHeight="false" outlineLevel="0" collapsed="false">
      <c r="A8" s="1" t="s">
        <v>18</v>
      </c>
      <c r="B8" s="1" t="s">
        <v>27</v>
      </c>
      <c r="C8" s="1" t="s">
        <v>20</v>
      </c>
      <c r="D8" s="7" t="s">
        <v>285</v>
      </c>
      <c r="E8" s="7" t="s">
        <v>286</v>
      </c>
      <c r="F8" s="7" t="s">
        <v>258</v>
      </c>
      <c r="G8" s="1" t="s">
        <v>24</v>
      </c>
      <c r="H8" s="7" t="s">
        <v>287</v>
      </c>
      <c r="I8" s="1" t="str">
        <f aca="false">MID(D8,1,FIND("°",D8,1)-1)</f>
        <v>02</v>
      </c>
      <c r="J8" s="1" t="str">
        <f aca="false">MID(D8,FIND("°",D8,1)+1,(FIND("′",D8,1)-FIND("°",D8,1))-1)</f>
        <v>54</v>
      </c>
      <c r="K8" s="1" t="str">
        <f aca="false">MID(D8,FIND("′",D8,1)+1,(FIND("″",D8,1)-FIND("′",D8,1))-1)</f>
        <v>00</v>
      </c>
      <c r="L8" s="1" t="str">
        <f aca="false">MID(E8,1,FIND("°",E8,1)-1)</f>
        <v>31</v>
      </c>
      <c r="M8" s="1" t="str">
        <f aca="false">MID(E8,FIND("°",E8,1)+1,(FIND("′",E8,1)-FIND("°",E8,1))-1)</f>
        <v>38</v>
      </c>
      <c r="N8" s="1" t="str">
        <f aca="false">MID(E8,FIND("′",E8,1)+1,(FIND("″",E8,1)-FIND("′",E8,1))-1)</f>
        <v>24</v>
      </c>
      <c r="O8" s="2" t="n">
        <f aca="false">((((K8/60)+J8)/60)+I8)*IF(B8="S",-1, 1)</f>
        <v>-2.9</v>
      </c>
      <c r="P8" s="2" t="n">
        <f aca="false">((((N8/60)+M8)/60)+L8)*IF(C8="W",-1, 1)</f>
        <v>-31.64</v>
      </c>
      <c r="Q8" s="16" t="s">
        <v>260</v>
      </c>
    </row>
    <row r="9" customFormat="false" ht="15" hidden="false" customHeight="false" outlineLevel="0" collapsed="false">
      <c r="A9" s="1" t="s">
        <v>18</v>
      </c>
      <c r="B9" s="1" t="s">
        <v>27</v>
      </c>
      <c r="C9" s="1" t="s">
        <v>20</v>
      </c>
      <c r="D9" s="7" t="s">
        <v>288</v>
      </c>
      <c r="E9" s="7" t="s">
        <v>289</v>
      </c>
      <c r="F9" s="7" t="s">
        <v>258</v>
      </c>
      <c r="G9" s="1" t="s">
        <v>24</v>
      </c>
      <c r="H9" s="7" t="s">
        <v>290</v>
      </c>
      <c r="I9" s="1" t="str">
        <f aca="false">MID(D9,1,FIND("°",D9,1)-1)</f>
        <v>09</v>
      </c>
      <c r="J9" s="1" t="str">
        <f aca="false">MID(D9,FIND("°",D9,1)+1,(FIND("′",D9,1)-FIND("°",D9,1))-1)</f>
        <v>44</v>
      </c>
      <c r="K9" s="1" t="str">
        <f aca="false">MID(D9,FIND("′",D9,1)+1,(FIND("″",D9,1)-FIND("′",D9,1))-1)</f>
        <v>24</v>
      </c>
      <c r="L9" s="1" t="str">
        <f aca="false">MID(E9,1,FIND("°",E9,1)-1)</f>
        <v>35</v>
      </c>
      <c r="M9" s="1" t="str">
        <f aca="false">MID(E9,FIND("°",E9,1)+1,(FIND("′",E9,1)-FIND("°",E9,1))-1)</f>
        <v>34</v>
      </c>
      <c r="N9" s="1" t="str">
        <f aca="false">MID(E9,FIND("′",E9,1)+1,(FIND("″",E9,1)-FIND("′",E9,1))-1)</f>
        <v>12</v>
      </c>
      <c r="O9" s="2" t="n">
        <f aca="false">((((K9/60)+J9)/60)+I9)*IF(B9="S",-1, 1)</f>
        <v>-9.74</v>
      </c>
      <c r="P9" s="2" t="n">
        <f aca="false">((((N9/60)+M9)/60)+L9)*IF(C9="W",-1, 1)</f>
        <v>-35.57</v>
      </c>
      <c r="Q9" s="16" t="s">
        <v>260</v>
      </c>
    </row>
    <row r="10" customFormat="false" ht="15" hidden="false" customHeight="false" outlineLevel="0" collapsed="false">
      <c r="A10" s="1" t="s">
        <v>18</v>
      </c>
      <c r="B10" s="1" t="s">
        <v>27</v>
      </c>
      <c r="C10" s="1" t="s">
        <v>20</v>
      </c>
      <c r="D10" s="7" t="s">
        <v>291</v>
      </c>
      <c r="E10" s="7" t="s">
        <v>292</v>
      </c>
      <c r="F10" s="7" t="s">
        <v>258</v>
      </c>
      <c r="G10" s="1" t="s">
        <v>24</v>
      </c>
      <c r="H10" s="7" t="s">
        <v>293</v>
      </c>
      <c r="I10" s="1" t="str">
        <f aca="false">MID(D10,1,FIND("°",D10,1)-1)</f>
        <v>09</v>
      </c>
      <c r="J10" s="1" t="str">
        <f aca="false">MID(D10,FIND("°",D10,1)+1,(FIND("′",D10,1)-FIND("°",D10,1))-1)</f>
        <v>42</v>
      </c>
      <c r="K10" s="1" t="str">
        <f aca="false">MID(D10,FIND("′",D10,1)+1,(FIND("″",D10,1)-FIND("′",D10,1))-1)</f>
        <v>00</v>
      </c>
      <c r="L10" s="1" t="str">
        <f aca="false">MID(E10,1,FIND("°",E10,1)-1)</f>
        <v>31</v>
      </c>
      <c r="M10" s="1" t="str">
        <f aca="false">MID(E10,FIND("°",E10,1)+1,(FIND("′",E10,1)-FIND("°",E10,1))-1)</f>
        <v>02</v>
      </c>
      <c r="N10" s="1" t="str">
        <f aca="false">MID(E10,FIND("′",E10,1)+1,(FIND("″",E10,1)-FIND("′",E10,1))-1)</f>
        <v>24</v>
      </c>
      <c r="O10" s="2" t="n">
        <f aca="false">((((K10/60)+J10)/60)+I10)*IF(B10="S",-1, 1)</f>
        <v>-9.7</v>
      </c>
      <c r="P10" s="2" t="n">
        <f aca="false">((((N10/60)+M10)/60)+L10)*IF(C10="W",-1, 1)</f>
        <v>-31.04</v>
      </c>
      <c r="Q10" s="16" t="s">
        <v>260</v>
      </c>
    </row>
    <row r="11" customFormat="false" ht="15" hidden="false" customHeight="false" outlineLevel="0" collapsed="false">
      <c r="A11" s="1" t="s">
        <v>18</v>
      </c>
      <c r="B11" s="1" t="s">
        <v>27</v>
      </c>
      <c r="C11" s="1" t="s">
        <v>20</v>
      </c>
      <c r="D11" s="7" t="s">
        <v>294</v>
      </c>
      <c r="E11" s="7" t="s">
        <v>295</v>
      </c>
      <c r="F11" s="7" t="s">
        <v>258</v>
      </c>
      <c r="G11" s="1" t="s">
        <v>24</v>
      </c>
      <c r="H11" s="7" t="s">
        <v>296</v>
      </c>
      <c r="I11" s="1" t="str">
        <f aca="false">MID(D11,1,FIND("°",D11,1)-1)</f>
        <v>18</v>
      </c>
      <c r="J11" s="1" t="str">
        <f aca="false">MID(D11,FIND("°",D11,1)+1,(FIND("′",D11,1)-FIND("°",D11,1))-1)</f>
        <v>42</v>
      </c>
      <c r="K11" s="1" t="str">
        <f aca="false">MID(D11,FIND("′",D11,1)+1,(FIND("″",D11,1)-FIND("′",D11,1))-1)</f>
        <v>00</v>
      </c>
      <c r="L11" s="1" t="str">
        <f aca="false">MID(E11,1,FIND("°",E11,1)-1)</f>
        <v>38</v>
      </c>
      <c r="M11" s="1" t="str">
        <f aca="false">MID(E11,FIND("°",E11,1)+1,(FIND("′",E11,1)-FIND("°",E11,1))-1)</f>
        <v>46</v>
      </c>
      <c r="N11" s="1" t="str">
        <f aca="false">MID(E11,FIND("′",E11,1)+1,(FIND("″",E11,1)-FIND("′",E11,1))-1)</f>
        <v>12</v>
      </c>
      <c r="O11" s="2" t="n">
        <f aca="false">((((K11/60)+J11)/60)+I11)*IF(B11="S",-1, 1)</f>
        <v>-18.7</v>
      </c>
      <c r="P11" s="2" t="n">
        <f aca="false">((((N11/60)+M11)/60)+L11)*IF(C11="W",-1, 1)</f>
        <v>-38.77</v>
      </c>
      <c r="Q11" s="16" t="s">
        <v>260</v>
      </c>
    </row>
    <row r="12" customFormat="false" ht="15" hidden="false" customHeight="false" outlineLevel="0" collapsed="false">
      <c r="A12" s="1" t="s">
        <v>18</v>
      </c>
      <c r="B12" s="1" t="s">
        <v>27</v>
      </c>
      <c r="C12" s="1" t="s">
        <v>20</v>
      </c>
      <c r="D12" s="7" t="s">
        <v>297</v>
      </c>
      <c r="E12" s="7" t="s">
        <v>298</v>
      </c>
      <c r="F12" s="7" t="s">
        <v>258</v>
      </c>
      <c r="G12" s="1" t="s">
        <v>24</v>
      </c>
      <c r="H12" s="7" t="s">
        <v>299</v>
      </c>
      <c r="I12" s="1" t="str">
        <f aca="false">MID(D12,1,FIND("°",D12,1)-1)</f>
        <v>18</v>
      </c>
      <c r="J12" s="1" t="str">
        <f aca="false">MID(D12,FIND("°",D12,1)+1,(FIND("′",D12,1)-FIND("°",D12,1))-1)</f>
        <v>18</v>
      </c>
      <c r="K12" s="1" t="str">
        <f aca="false">MID(D12,FIND("′",D12,1)+1,(FIND("″",D12,1)-FIND("′",D12,1))-1)</f>
        <v>00</v>
      </c>
      <c r="L12" s="1" t="str">
        <f aca="false">MID(E12,1,FIND("°",E12,1)-1)</f>
        <v>33</v>
      </c>
      <c r="M12" s="1" t="str">
        <f aca="false">MID(E12,FIND("°",E12,1)+1,(FIND("′",E12,1)-FIND("°",E12,1))-1)</f>
        <v>54</v>
      </c>
      <c r="N12" s="1" t="str">
        <f aca="false">MID(E12,FIND("′",E12,1)+1,(FIND("″",E12,1)-FIND("′",E12,1))-1)</f>
        <v>36</v>
      </c>
      <c r="O12" s="2" t="n">
        <f aca="false">((((K12/60)+J12)/60)+I12)*IF(B12="S",-1, 1)</f>
        <v>-18.3</v>
      </c>
      <c r="P12" s="2" t="n">
        <f aca="false">((((N12/60)+M12)/60)+L12)*IF(C12="W",-1, 1)</f>
        <v>-33.91</v>
      </c>
      <c r="Q12" s="16" t="s">
        <v>260</v>
      </c>
    </row>
    <row r="13" customFormat="false" ht="15" hidden="false" customHeight="false" outlineLevel="0" collapsed="false">
      <c r="A13" s="1" t="s">
        <v>18</v>
      </c>
      <c r="B13" s="1" t="s">
        <v>19</v>
      </c>
      <c r="C13" s="1" t="s">
        <v>20</v>
      </c>
      <c r="D13" s="7" t="s">
        <v>300</v>
      </c>
      <c r="E13" s="7" t="s">
        <v>301</v>
      </c>
      <c r="F13" s="7" t="s">
        <v>258</v>
      </c>
      <c r="G13" s="1" t="s">
        <v>24</v>
      </c>
      <c r="H13" s="7" t="s">
        <v>302</v>
      </c>
      <c r="I13" s="1" t="str">
        <f aca="false">MID(D13,1,FIND("°",D13,1)-1)</f>
        <v>21</v>
      </c>
      <c r="J13" s="1" t="str">
        <f aca="false">MID(D13,FIND("°",D13,1)+1,(FIND("′",D13,1)-FIND("°",D13,1))-1)</f>
        <v>31</v>
      </c>
      <c r="K13" s="1" t="str">
        <f aca="false">MID(D13,FIND("′",D13,1)+1,(FIND("″",D13,1)-FIND("′",D13,1))-1)</f>
        <v>12</v>
      </c>
      <c r="L13" s="1" t="str">
        <f aca="false">MID(E13,1,FIND("°",E13,1)-1)</f>
        <v>80</v>
      </c>
      <c r="M13" s="1" t="str">
        <f aca="false">MID(E13,FIND("°",E13,1)+1,(FIND("′",E13,1)-FIND("°",E13,1))-1)</f>
        <v>39</v>
      </c>
      <c r="N13" s="1" t="str">
        <f aca="false">MID(E13,FIND("′",E13,1)+1,(FIND("″",E13,1)-FIND("′",E13,1))-1)</f>
        <v>00</v>
      </c>
      <c r="O13" s="2" t="n">
        <f aca="false">((((K13/60)+J13)/60)+I13)*IF(B13="S",-1, 1)</f>
        <v>21.52</v>
      </c>
      <c r="P13" s="2" t="n">
        <f aca="false">((((N13/60)+M13)/60)+L13)*IF(C13="W",-1, 1)</f>
        <v>-80.65</v>
      </c>
      <c r="Q13" s="16" t="s">
        <v>260</v>
      </c>
    </row>
    <row r="14" customFormat="false" ht="15" hidden="false" customHeight="false" outlineLevel="0" collapsed="false">
      <c r="A14" s="1" t="s">
        <v>18</v>
      </c>
      <c r="B14" s="1" t="s">
        <v>19</v>
      </c>
      <c r="C14" s="1" t="s">
        <v>20</v>
      </c>
      <c r="D14" s="7" t="s">
        <v>303</v>
      </c>
      <c r="E14" s="7" t="s">
        <v>304</v>
      </c>
      <c r="F14" s="7" t="s">
        <v>258</v>
      </c>
      <c r="G14" s="1" t="s">
        <v>24</v>
      </c>
      <c r="H14" s="7" t="s">
        <v>302</v>
      </c>
      <c r="I14" s="1" t="str">
        <f aca="false">MID(D14,1,FIND("°",D14,1)-1)</f>
        <v>21</v>
      </c>
      <c r="J14" s="1" t="str">
        <f aca="false">MID(D14,FIND("°",D14,1)+1,(FIND("′",D14,1)-FIND("°",D14,1))-1)</f>
        <v>24</v>
      </c>
      <c r="K14" s="1" t="str">
        <f aca="false">MID(D14,FIND("′",D14,1)+1,(FIND("″",D14,1)-FIND("′",D14,1))-1)</f>
        <v>36</v>
      </c>
      <c r="L14" s="1" t="str">
        <f aca="false">MID(E14,1,FIND("°",E14,1)-1)</f>
        <v>, 82</v>
      </c>
      <c r="M14" s="1" t="str">
        <f aca="false">MID(E14,FIND("°",E14,1)+1,(FIND("′",E14,1)-FIND("°",E14,1))-1)</f>
        <v>19</v>
      </c>
      <c r="N14" s="1" t="str">
        <f aca="false">MID(E14,FIND("′",E14,1)+1,(FIND("″",E14,1)-FIND("′",E14,1))-1)</f>
        <v>12</v>
      </c>
      <c r="O14" s="2" t="n">
        <f aca="false">((((K14/60)+J14)/60)+I14)*IF(B14="S",-1, 1)</f>
        <v>21.41</v>
      </c>
      <c r="P14" s="2" t="e">
        <f aca="false">((((N14/60)+M14)/60)+L14)*IF(C14="W",-1, 1)</f>
        <v>#VALUE!</v>
      </c>
      <c r="Q14" s="16" t="s">
        <v>260</v>
      </c>
    </row>
    <row r="15" customFormat="false" ht="15" hidden="false" customHeight="false" outlineLevel="0" collapsed="false">
      <c r="A15" s="1" t="s">
        <v>18</v>
      </c>
      <c r="B15" s="1" t="s">
        <v>19</v>
      </c>
      <c r="C15" s="1" t="s">
        <v>20</v>
      </c>
      <c r="D15" s="7" t="s">
        <v>305</v>
      </c>
      <c r="E15" s="7" t="s">
        <v>306</v>
      </c>
      <c r="F15" s="7" t="s">
        <v>258</v>
      </c>
      <c r="G15" s="1" t="s">
        <v>24</v>
      </c>
      <c r="H15" s="7" t="s">
        <v>302</v>
      </c>
      <c r="I15" s="1" t="str">
        <f aca="false">MID(D15,1,FIND("°",D15,1)-1)</f>
        <v>21</v>
      </c>
      <c r="J15" s="1" t="str">
        <f aca="false">MID(D15,FIND("°",D15,1)+1,(FIND("′",D15,1)-FIND("°",D15,1))-1)</f>
        <v>10</v>
      </c>
      <c r="K15" s="1" t="str">
        <f aca="false">MID(D15,FIND("′",D15,1)+1,(FIND("″",D15,1)-FIND("′",D15,1))-1)</f>
        <v>48</v>
      </c>
      <c r="L15" s="1" t="str">
        <f aca="false">MID(E15,1,FIND("°",E15,1)-1)</f>
        <v>84</v>
      </c>
      <c r="M15" s="1" t="str">
        <f aca="false">MID(E15,FIND("°",E15,1)+1,(FIND("′",E15,1)-FIND("°",E15,1))-1)</f>
        <v>51</v>
      </c>
      <c r="N15" s="1" t="str">
        <f aca="false">MID(E15,FIND("′",E15,1)+1,(FIND("″",E15,1)-FIND("′",E15,1))-1)</f>
        <v>36</v>
      </c>
      <c r="O15" s="2" t="n">
        <f aca="false">((((K15/60)+J15)/60)+I15)*IF(B15="S",-1, 1)</f>
        <v>21.18</v>
      </c>
      <c r="P15" s="2" t="n">
        <f aca="false">((((N15/60)+M15)/60)+L15)*IF(C15="W",-1, 1)</f>
        <v>-84.86</v>
      </c>
      <c r="Q15" s="16" t="s">
        <v>260</v>
      </c>
    </row>
    <row r="16" customFormat="false" ht="15" hidden="false" customHeight="false" outlineLevel="0" collapsed="false">
      <c r="A16" s="1" t="s">
        <v>18</v>
      </c>
      <c r="B16" s="1" t="s">
        <v>19</v>
      </c>
      <c r="C16" s="1" t="s">
        <v>20</v>
      </c>
      <c r="D16" s="7" t="s">
        <v>307</v>
      </c>
      <c r="E16" s="7" t="s">
        <v>308</v>
      </c>
      <c r="F16" s="7" t="s">
        <v>258</v>
      </c>
      <c r="G16" s="1" t="s">
        <v>24</v>
      </c>
      <c r="H16" s="7" t="s">
        <v>302</v>
      </c>
      <c r="I16" s="1" t="str">
        <f aca="false">MID(D16,1,FIND("°",D16,1)-1)</f>
        <v>20</v>
      </c>
      <c r="J16" s="1" t="str">
        <f aca="false">MID(D16,FIND("°",D16,1)+1,(FIND("′",D16,1)-FIND("°",D16,1))-1)</f>
        <v>00</v>
      </c>
      <c r="K16" s="1" t="str">
        <f aca="false">MID(D16,FIND("′",D16,1)+1,(FIND("″",D16,1)-FIND("′",D16,1))-1)</f>
        <v>00</v>
      </c>
      <c r="L16" s="1" t="str">
        <f aca="false">MID(E16,1,FIND("°",E16,1)-1)</f>
        <v>84</v>
      </c>
      <c r="M16" s="1" t="str">
        <f aca="false">MID(E16,FIND("°",E16,1)+1,(FIND("′",E16,1)-FIND("°",E16,1))-1)</f>
        <v>53</v>
      </c>
      <c r="N16" s="1" t="str">
        <f aca="false">MID(E16,FIND("′",E16,1)+1,(FIND("″",E16,1)-FIND("′",E16,1))-1)</f>
        <v>24</v>
      </c>
      <c r="O16" s="2" t="n">
        <f aca="false">((((K16/60)+J16)/60)+I16)*IF(B16="S",-1, 1)</f>
        <v>20</v>
      </c>
      <c r="P16" s="2" t="n">
        <f aca="false">((((N16/60)+M16)/60)+L16)*IF(C16="W",-1, 1)</f>
        <v>-84.89</v>
      </c>
      <c r="Q16" s="16" t="s">
        <v>260</v>
      </c>
    </row>
    <row r="17" customFormat="false" ht="15" hidden="false" customHeight="false" outlineLevel="0" collapsed="false">
      <c r="A17" s="1" t="s">
        <v>18</v>
      </c>
      <c r="B17" s="1" t="s">
        <v>19</v>
      </c>
      <c r="C17" s="1" t="s">
        <v>20</v>
      </c>
      <c r="D17" s="7" t="s">
        <v>309</v>
      </c>
      <c r="E17" s="7" t="s">
        <v>310</v>
      </c>
      <c r="F17" s="7" t="s">
        <v>258</v>
      </c>
      <c r="G17" s="1" t="s">
        <v>24</v>
      </c>
      <c r="H17" s="7" t="s">
        <v>302</v>
      </c>
      <c r="I17" s="1" t="str">
        <f aca="false">MID(D17,1,FIND("°",D17,1)-1)</f>
        <v>19</v>
      </c>
      <c r="J17" s="1" t="str">
        <f aca="false">MID(D17,FIND("°",D17,1)+1,(FIND("′",D17,1)-FIND("°",D17,1))-1)</f>
        <v>16</v>
      </c>
      <c r="K17" s="1" t="str">
        <f aca="false">MID(D17,FIND("′",D17,1)+1,(FIND("″",D17,1)-FIND("′",D17,1))-1)</f>
        <v>12</v>
      </c>
      <c r="L17" s="1" t="str">
        <f aca="false">MID(E17,1,FIND("°",E17,1)-1)</f>
        <v>82</v>
      </c>
      <c r="M17" s="1" t="str">
        <f aca="false">MID(E17,FIND("°",E17,1)+1,(FIND("′",E17,1)-FIND("°",E17,1))-1)</f>
        <v>25</v>
      </c>
      <c r="N17" s="1" t="str">
        <f aca="false">MID(E17,FIND("′",E17,1)+1,(FIND("″",E17,1)-FIND("′",E17,1))-1)</f>
        <v>12</v>
      </c>
      <c r="O17" s="2" t="n">
        <f aca="false">((((K17/60)+J17)/60)+I17)*IF(B17="S",-1, 1)</f>
        <v>19.27</v>
      </c>
      <c r="P17" s="2" t="n">
        <f aca="false">((((N17/60)+M17)/60)+L17)*IF(C17="W",-1, 1)</f>
        <v>-82.42</v>
      </c>
      <c r="Q17" s="16" t="s">
        <v>260</v>
      </c>
    </row>
    <row r="18" customFormat="false" ht="15" hidden="false" customHeight="false" outlineLevel="0" collapsed="false">
      <c r="A18" s="1" t="s">
        <v>18</v>
      </c>
      <c r="B18" s="1" t="s">
        <v>19</v>
      </c>
      <c r="C18" s="1" t="s">
        <v>20</v>
      </c>
      <c r="D18" s="7" t="s">
        <v>311</v>
      </c>
      <c r="E18" s="7" t="s">
        <v>312</v>
      </c>
      <c r="F18" s="7" t="s">
        <v>258</v>
      </c>
      <c r="G18" s="1" t="s">
        <v>24</v>
      </c>
      <c r="H18" s="7" t="s">
        <v>302</v>
      </c>
      <c r="I18" s="1" t="str">
        <f aca="false">MID(D18,1,FIND("°",D18,1)-1)</f>
        <v>20</v>
      </c>
      <c r="J18" s="1" t="str">
        <f aca="false">MID(D18,FIND("°",D18,1)+1,(FIND("′",D18,1)-FIND("°",D18,1))-1)</f>
        <v>10</v>
      </c>
      <c r="K18" s="1" t="str">
        <f aca="false">MID(D18,FIND("′",D18,1)+1,(FIND("″",D18,1)-FIND("′",D18,1))-1)</f>
        <v>12</v>
      </c>
      <c r="L18" s="1" t="str">
        <f aca="false">MID(E18,1,FIND("°",E18,1)-1)</f>
        <v>79</v>
      </c>
      <c r="M18" s="1" t="str">
        <f aca="false">MID(E18,FIND("°",E18,1)+1,(FIND("′",E18,1)-FIND("°",E18,1))-1)</f>
        <v>54</v>
      </c>
      <c r="N18" s="1" t="str">
        <f aca="false">MID(E18,FIND("′",E18,1)+1,(FIND("″",E18,1)-FIND("′",E18,1))-1)</f>
        <v>00</v>
      </c>
      <c r="O18" s="2" t="n">
        <f aca="false">((((K18/60)+J18)/60)+I18)*IF(B18="S",-1, 1)</f>
        <v>20.17</v>
      </c>
      <c r="P18" s="2" t="n">
        <f aca="false">((((N18/60)+M18)/60)+L18)*IF(C18="W",-1, 1)</f>
        <v>-79.9</v>
      </c>
      <c r="Q18" s="16" t="s">
        <v>260</v>
      </c>
    </row>
    <row r="19" customFormat="false" ht="15" hidden="false" customHeight="false" outlineLevel="0" collapsed="false">
      <c r="A19" s="1" t="s">
        <v>18</v>
      </c>
      <c r="B19" s="1" t="s">
        <v>27</v>
      </c>
      <c r="C19" s="1" t="s">
        <v>20</v>
      </c>
      <c r="D19" s="7" t="s">
        <v>313</v>
      </c>
      <c r="E19" s="7" t="s">
        <v>314</v>
      </c>
      <c r="F19" s="7" t="s">
        <v>258</v>
      </c>
      <c r="G19" s="1" t="s">
        <v>24</v>
      </c>
      <c r="H19" s="1" t="s">
        <v>315</v>
      </c>
      <c r="I19" s="1" t="str">
        <f aca="false">MID(D19,1,FIND("°",D19,1)-1)</f>
        <v>21</v>
      </c>
      <c r="J19" s="1" t="str">
        <f aca="false">MID(D19,FIND("°",D19,1)+1,(FIND("′",D19,1)-FIND("°",D19,1))-1)</f>
        <v>34</v>
      </c>
      <c r="K19" s="1" t="e">
        <f aca="false">MID(D19,FIND("′",D19,1)+1,(FIND("″",D19,1)-FIND("′",D19,1))-1)</f>
        <v>#VALUE!</v>
      </c>
      <c r="L19" s="1" t="str">
        <f aca="false">MID(E19,1,FIND("°",E19,1)-1)</f>
        <v>83</v>
      </c>
      <c r="M19" s="1" t="str">
        <f aca="false">MID(E19,FIND("°",E19,1)+1,(FIND("′",E19,1)-FIND("°",E19,1))-1)</f>
        <v>31</v>
      </c>
      <c r="N19" s="1" t="e">
        <f aca="false">MID(E19,FIND("′",E19,1)+1,(FIND("″",E19,1)-FIND("′",E19,1))-1)</f>
        <v>#VALUE!</v>
      </c>
      <c r="O19" s="2" t="e">
        <f aca="false">((((K19/60)+J19)/60)+I19)*IF(B19="S",-1, 1)</f>
        <v>#VALUE!</v>
      </c>
      <c r="P19" s="2" t="e">
        <f aca="false">((((N19/60)+M19)/60)+L19)*IF(C19="W",-1, 1)</f>
        <v>#VALUE!</v>
      </c>
      <c r="Q19" s="16" t="s">
        <v>260</v>
      </c>
    </row>
    <row r="20" customFormat="false" ht="15" hidden="false" customHeight="false" outlineLevel="0" collapsed="false">
      <c r="A20" s="1" t="s">
        <v>44</v>
      </c>
      <c r="B20" s="1" t="s">
        <v>27</v>
      </c>
      <c r="C20" s="1" t="s">
        <v>20</v>
      </c>
      <c r="D20" s="7" t="s">
        <v>316</v>
      </c>
      <c r="E20" s="7" t="s">
        <v>317</v>
      </c>
      <c r="F20" s="7" t="s">
        <v>258</v>
      </c>
      <c r="G20" s="1" t="s">
        <v>24</v>
      </c>
      <c r="H20" s="1" t="s">
        <v>315</v>
      </c>
      <c r="I20" s="1" t="str">
        <f aca="false">MID(D20,1,FIND("°",D20,1)-1)</f>
        <v>3</v>
      </c>
      <c r="J20" s="1" t="str">
        <f aca="false">MID(D20,FIND("°",D20,1)+1,(FIND("′",D20,1)-FIND("°",D20,1))-1)</f>
        <v>32,981</v>
      </c>
      <c r="K20" s="1" t="e">
        <f aca="false">MID(D20,FIND("′",D20,1)+1,(FIND("″",D20,1)-FIND("′",D20,1))-1)</f>
        <v>#VALUE!</v>
      </c>
      <c r="L20" s="1" t="str">
        <f aca="false">MID(E20,1,FIND("°",E20,1)-1)</f>
        <v>38</v>
      </c>
      <c r="M20" s="1" t="str">
        <f aca="false">MID(E20,FIND("°",E20,1)+1,(FIND("′",E20,1)-FIND("°",E20,1))-1)</f>
        <v>48.669</v>
      </c>
      <c r="N20" s="1" t="e">
        <f aca="false">MID(E20,FIND("′",E20,1)+1,(FIND("″",E20,1)-FIND("′",E20,1))-1)</f>
        <v>#VALUE!</v>
      </c>
      <c r="O20" s="2" t="e">
        <f aca="false">((((K20/60)+J20)/60)+I20)*IF(B20="S",-1, 1)</f>
        <v>#VALUE!</v>
      </c>
      <c r="P20" s="2" t="e">
        <f aca="false">((((N20/60)+M20)/60)+L20)*IF(C20="W",-1, 1)</f>
        <v>#VALUE!</v>
      </c>
      <c r="Q20" s="16" t="s">
        <v>260</v>
      </c>
    </row>
    <row r="21" customFormat="false" ht="15" hidden="false" customHeight="false" outlineLevel="0" collapsed="false">
      <c r="A21" s="1" t="s">
        <v>44</v>
      </c>
      <c r="B21" s="1" t="s">
        <v>27</v>
      </c>
      <c r="C21" s="1" t="s">
        <v>20</v>
      </c>
      <c r="D21" s="7" t="s">
        <v>318</v>
      </c>
      <c r="E21" s="7" t="s">
        <v>40</v>
      </c>
      <c r="F21" s="7" t="s">
        <v>319</v>
      </c>
      <c r="G21" s="1" t="s">
        <v>24</v>
      </c>
      <c r="H21" s="1" t="s">
        <v>41</v>
      </c>
      <c r="I21" s="1" t="str">
        <f aca="false">MID(D21,1,FIND("°",D21,1)-1)</f>
        <v>02</v>
      </c>
      <c r="J21" s="1" t="str">
        <f aca="false">MID(D21,FIND("°",D21,1)+1,(FIND("′",D21,1)-FIND("°",D21,1))-1)</f>
        <v>53</v>
      </c>
      <c r="K21" s="1" t="str">
        <f aca="false">MID(D21,FIND("′",D21,1)+1,(FIND("″",D21,1)-FIND("′",D21,1))-1)</f>
        <v>22</v>
      </c>
      <c r="L21" s="1" t="str">
        <f aca="false">MID(E21,1,FIND("°",E21,1)-1)</f>
        <v>41</v>
      </c>
      <c r="M21" s="1" t="str">
        <f aca="false">MID(E21,FIND("°",E21,1)+1,(FIND("′",E21,1)-FIND("°",E21,1))-1)</f>
        <v>13</v>
      </c>
      <c r="N21" s="1" t="str">
        <f aca="false">MID(E21,FIND("′",E21,1)+1,(FIND("″",E21,1)-FIND("′",E21,1))-1)</f>
        <v>46</v>
      </c>
      <c r="O21" s="2" t="n">
        <f aca="false">((((K21/60)+J21)/60)+I21)*IF(B21="S",-1, 1)</f>
        <v>-2.88944444444444</v>
      </c>
      <c r="P21" s="2" t="n">
        <f aca="false">((((N21/60)+M21)/60)+L21)*IF(C21="W",-1, 1)</f>
        <v>-41.2294444444445</v>
      </c>
      <c r="Q21" s="16" t="s">
        <v>320</v>
      </c>
    </row>
    <row r="22" customFormat="false" ht="15" hidden="false" customHeight="false" outlineLevel="0" collapsed="false">
      <c r="A22" s="1" t="s">
        <v>44</v>
      </c>
      <c r="B22" s="1" t="s">
        <v>27</v>
      </c>
      <c r="C22" s="1" t="s">
        <v>20</v>
      </c>
      <c r="D22" s="7" t="s">
        <v>321</v>
      </c>
      <c r="E22" s="7" t="s">
        <v>43</v>
      </c>
      <c r="F22" s="7" t="s">
        <v>319</v>
      </c>
      <c r="G22" s="1" t="s">
        <v>24</v>
      </c>
      <c r="H22" s="1" t="s">
        <v>41</v>
      </c>
      <c r="I22" s="1" t="str">
        <f aca="false">MID(D22,1,FIND("°",D22,1)-1)</f>
        <v>04</v>
      </c>
      <c r="J22" s="1" t="str">
        <f aca="false">MID(D22,FIND("°",D22,1)+1,(FIND("′",D22,1)-FIND("°",D22,1))-1)</f>
        <v>06</v>
      </c>
      <c r="K22" s="1" t="str">
        <f aca="false">MID(D22,FIND("′",D22,1)+1,(FIND("″",D22,1)-FIND("′",D22,1))-1)</f>
        <v>06</v>
      </c>
      <c r="L22" s="1" t="str">
        <f aca="false">MID(E22,1,FIND("°",E22,1)-1)</f>
        <v>38</v>
      </c>
      <c r="M22" s="1" t="str">
        <f aca="false">MID(E22,FIND("°",E22,1)+1,(FIND("′",E22,1)-FIND("°",E22,1))-1)</f>
        <v>08</v>
      </c>
      <c r="N22" s="1" t="str">
        <f aca="false">MID(E22,FIND("′",E22,1)+1,(FIND("″",E22,1)-FIND("′",E22,1))-1)</f>
        <v>56</v>
      </c>
      <c r="O22" s="2" t="n">
        <f aca="false">((((K22/60)+J22)/60)+I22)*IF(B22="S",-1, 1)</f>
        <v>-4.10166666666667</v>
      </c>
      <c r="P22" s="2" t="n">
        <f aca="false">((((N22/60)+M22)/60)+L22)*IF(C22="W",-1, 1)</f>
        <v>-38.1488888888889</v>
      </c>
      <c r="Q22" s="16" t="s">
        <v>320</v>
      </c>
    </row>
    <row r="23" customFormat="false" ht="15" hidden="false" customHeight="false" outlineLevel="0" collapsed="false">
      <c r="A23" s="1" t="s">
        <v>44</v>
      </c>
      <c r="B23" s="1" t="s">
        <v>27</v>
      </c>
      <c r="C23" s="1" t="s">
        <v>20</v>
      </c>
      <c r="D23" s="7" t="s">
        <v>322</v>
      </c>
      <c r="E23" s="7" t="s">
        <v>323</v>
      </c>
      <c r="F23" s="7" t="s">
        <v>319</v>
      </c>
      <c r="G23" s="1" t="s">
        <v>24</v>
      </c>
      <c r="H23" s="1" t="s">
        <v>324</v>
      </c>
      <c r="I23" s="1" t="str">
        <f aca="false">MID(D23,1,FIND("°",D23,1)-1)</f>
        <v>04</v>
      </c>
      <c r="J23" s="1" t="str">
        <f aca="false">MID(D23,FIND("°",D23,1)+1,(FIND("′",D23,1)-FIND("°",D23,1))-1)</f>
        <v>53</v>
      </c>
      <c r="K23" s="1" t="str">
        <f aca="false">MID(D23,FIND("′",D23,1)+1,(FIND("″",D23,1)-FIND("′",D23,1))-1)</f>
        <v>26</v>
      </c>
      <c r="L23" s="1" t="str">
        <f aca="false">MID(E23,1,FIND("°",E23,1)-1)</f>
        <v>37</v>
      </c>
      <c r="M23" s="1" t="str">
        <f aca="false">MID(E23,FIND("°",E23,1)+1,(FIND("′",E23,1)-FIND("°",E23,1))-1)</f>
        <v>14</v>
      </c>
      <c r="N23" s="1" t="str">
        <f aca="false">MID(E23,FIND("′",E23,1)+1,(FIND("″",E23,1)-FIND("′",E23,1))-1)</f>
        <v>37</v>
      </c>
      <c r="O23" s="2" t="n">
        <f aca="false">((((K23/60)+J23)/60)+I23)*IF(B23="S",-1, 1)</f>
        <v>-4.89055555555556</v>
      </c>
      <c r="P23" s="2" t="n">
        <f aca="false">((((N23/60)+M23)/60)+L23)*IF(C23="W",-1, 1)</f>
        <v>-37.2436111111111</v>
      </c>
      <c r="Q23" s="16" t="s">
        <v>320</v>
      </c>
    </row>
    <row r="24" customFormat="false" ht="15" hidden="false" customHeight="false" outlineLevel="0" collapsed="false">
      <c r="A24" s="1" t="s">
        <v>44</v>
      </c>
      <c r="B24" s="1" t="s">
        <v>27</v>
      </c>
      <c r="C24" s="1" t="s">
        <v>20</v>
      </c>
      <c r="D24" s="7" t="s">
        <v>325</v>
      </c>
      <c r="E24" s="7" t="s">
        <v>326</v>
      </c>
      <c r="F24" s="7" t="s">
        <v>319</v>
      </c>
      <c r="G24" s="1" t="s">
        <v>24</v>
      </c>
      <c r="H24" s="1" t="s">
        <v>324</v>
      </c>
      <c r="I24" s="1" t="str">
        <f aca="false">MID(D24,1,FIND("°",D24,1)-1)</f>
        <v>05</v>
      </c>
      <c r="J24" s="1" t="str">
        <f aca="false">MID(D24,FIND("°",D24,1)+1,(FIND("′",D24,1)-FIND("°",D24,1))-1)</f>
        <v>12</v>
      </c>
      <c r="K24" s="1" t="str">
        <f aca="false">MID(D24,FIND("′",D24,1)+1,(FIND("″",D24,1)-FIND("′",D24,1))-1)</f>
        <v>06</v>
      </c>
      <c r="L24" s="1" t="str">
        <f aca="false">MID(E24,1,FIND("°",E24,1)-1)</f>
        <v>35</v>
      </c>
      <c r="M24" s="1" t="str">
        <f aca="false">MID(E24,FIND("°",E24,1)+1,(FIND("′",E24,1)-FIND("°",E24,1))-1)</f>
        <v>27</v>
      </c>
      <c r="N24" s="1" t="str">
        <f aca="false">MID(E24,FIND("′",E24,1)+1,(FIND("″",E24,1)-FIND("′",E24,1))-1)</f>
        <v>27</v>
      </c>
      <c r="O24" s="2" t="n">
        <f aca="false">((((K24/60)+J24)/60)+I24)*IF(B24="S",-1, 1)</f>
        <v>-5.20166666666667</v>
      </c>
      <c r="P24" s="2" t="n">
        <f aca="false">((((N24/60)+M24)/60)+L24)*IF(C24="W",-1, 1)</f>
        <v>-35.4575</v>
      </c>
      <c r="Q24" s="16" t="s">
        <v>320</v>
      </c>
    </row>
    <row r="25" customFormat="false" ht="15" hidden="false" customHeight="false" outlineLevel="0" collapsed="false">
      <c r="A25" s="1" t="s">
        <v>44</v>
      </c>
      <c r="B25" s="1" t="s">
        <v>27</v>
      </c>
      <c r="C25" s="1" t="s">
        <v>20</v>
      </c>
      <c r="D25" s="7" t="s">
        <v>327</v>
      </c>
      <c r="E25" s="7" t="s">
        <v>328</v>
      </c>
      <c r="F25" s="7" t="s">
        <v>319</v>
      </c>
      <c r="G25" s="1" t="s">
        <v>24</v>
      </c>
      <c r="H25" s="1" t="s">
        <v>329</v>
      </c>
      <c r="I25" s="1" t="str">
        <f aca="false">MID(D25,1,FIND("°",D25,1)-1)</f>
        <v>06</v>
      </c>
      <c r="J25" s="1" t="str">
        <f aca="false">MID(D25,FIND("°",D25,1)+1,(FIND("′",D25,1)-FIND("°",D25,1))-1)</f>
        <v>30</v>
      </c>
      <c r="K25" s="1" t="str">
        <f aca="false">MID(D25,FIND("′",D25,1)+1,(FIND("″",D25,1)-FIND("′",D25,1))-1)</f>
        <v>11</v>
      </c>
      <c r="L25" s="1" t="str">
        <f aca="false">MID(E25,1,FIND("°",E25,1)-1)</f>
        <v>34</v>
      </c>
      <c r="M25" s="1" t="str">
        <f aca="false">MID(E25,FIND("°",E25,1)+1,(FIND("′",E25,1)-FIND("°",E25,1))-1)</f>
        <v>57</v>
      </c>
      <c r="N25" s="1" t="str">
        <f aca="false">MID(E25,FIND("′",E25,1)+1,(FIND("″",E25,1)-FIND("′",E25,1))-1)</f>
        <v>30</v>
      </c>
      <c r="O25" s="2" t="n">
        <f aca="false">((((K25/60)+J25)/60)+I25)*IF(B25="S",-1, 1)</f>
        <v>-6.50305555555556</v>
      </c>
      <c r="P25" s="2" t="n">
        <f aca="false">((((N25/60)+M25)/60)+L25)*IF(C25="W",-1, 1)</f>
        <v>-34.9583333333333</v>
      </c>
      <c r="Q25" s="16" t="s">
        <v>320</v>
      </c>
    </row>
    <row r="26" customFormat="false" ht="15" hidden="false" customHeight="false" outlineLevel="0" collapsed="false">
      <c r="A26" s="1" t="s">
        <v>44</v>
      </c>
      <c r="B26" s="1" t="s">
        <v>27</v>
      </c>
      <c r="C26" s="1" t="s">
        <v>20</v>
      </c>
      <c r="D26" s="7" t="s">
        <v>330</v>
      </c>
      <c r="E26" s="7" t="s">
        <v>331</v>
      </c>
      <c r="F26" s="7" t="s">
        <v>319</v>
      </c>
      <c r="G26" s="1" t="s">
        <v>24</v>
      </c>
      <c r="H26" s="1" t="s">
        <v>329</v>
      </c>
      <c r="I26" s="1" t="str">
        <f aca="false">MID(D26,1,FIND("°",D26,1)-1)</f>
        <v>06</v>
      </c>
      <c r="J26" s="1" t="str">
        <f aca="false">MID(D26,FIND("°",D26,1)+1,(FIND("′",D26,1)-FIND("°",D26,1))-1)</f>
        <v>57</v>
      </c>
      <c r="K26" s="1" t="str">
        <f aca="false">MID(D26,FIND("′",D26,1)+1,(FIND("″",D26,1)-FIND("′",D26,1))-1)</f>
        <v>57</v>
      </c>
      <c r="L26" s="1" t="str">
        <f aca="false">MID(E26,1,FIND("°",E26,1)-1)</f>
        <v>34</v>
      </c>
      <c r="M26" s="1" t="str">
        <f aca="false">MID(E26,FIND("°",E26,1)+1,(FIND("′",E26,1)-FIND("°",E26,1))-1)</f>
        <v>51</v>
      </c>
      <c r="N26" s="1" t="str">
        <f aca="false">MID(E26,FIND("′",E26,1)+1,(FIND("″",E26,1)-FIND("′",E26,1))-1)</f>
        <v>22</v>
      </c>
      <c r="O26" s="2" t="n">
        <f aca="false">((((K26/60)+J26)/60)+I26)*IF(B26="S",-1, 1)</f>
        <v>-6.96583333333333</v>
      </c>
      <c r="P26" s="2" t="n">
        <f aca="false">((((N26/60)+M26)/60)+L26)*IF(C26="W",-1, 1)</f>
        <v>-34.8561111111111</v>
      </c>
      <c r="Q26" s="16" t="s">
        <v>320</v>
      </c>
    </row>
    <row r="27" customFormat="false" ht="15" hidden="false" customHeight="false" outlineLevel="0" collapsed="false">
      <c r="A27" s="1" t="s">
        <v>44</v>
      </c>
      <c r="B27" s="1" t="s">
        <v>27</v>
      </c>
      <c r="C27" s="1" t="s">
        <v>20</v>
      </c>
      <c r="D27" s="7" t="s">
        <v>332</v>
      </c>
      <c r="E27" s="7" t="s">
        <v>333</v>
      </c>
      <c r="F27" s="7" t="s">
        <v>319</v>
      </c>
      <c r="G27" s="1" t="s">
        <v>24</v>
      </c>
      <c r="H27" s="1" t="s">
        <v>334</v>
      </c>
      <c r="I27" s="1" t="str">
        <f aca="false">MID(D27,1,FIND("°",D27,1)-1)</f>
        <v>07</v>
      </c>
      <c r="J27" s="1" t="str">
        <f aca="false">MID(D27,FIND("°",D27,1)+1,(FIND("′",D27,1)-FIND("°",D27,1))-1)</f>
        <v>33</v>
      </c>
      <c r="K27" s="1" t="str">
        <f aca="false">MID(D27,FIND("′",D27,1)+1,(FIND("″",D27,1)-FIND("′",D27,1))-1)</f>
        <v>07</v>
      </c>
      <c r="L27" s="1" t="str">
        <f aca="false">MID(E27,1,FIND("°",E27,1)-1)</f>
        <v>34</v>
      </c>
      <c r="M27" s="1" t="str">
        <f aca="false">MID(E27,FIND("°",E27,1)+1,(FIND("′",E27,1)-FIND("°",E27,1))-1)</f>
        <v>50</v>
      </c>
      <c r="N27" s="1" t="str">
        <f aca="false">MID(E27,FIND("′",E27,1)+1,(FIND("″",E27,1)-FIND("′",E27,1))-1)</f>
        <v>39</v>
      </c>
      <c r="O27" s="2" t="n">
        <f aca="false">((((K27/60)+J27)/60)+I27)*IF(B27="S",-1, 1)</f>
        <v>-7.55194444444445</v>
      </c>
      <c r="P27" s="2" t="n">
        <f aca="false">((((N27/60)+M27)/60)+L27)*IF(C27="W",-1, 1)</f>
        <v>-34.8441666666667</v>
      </c>
      <c r="Q27" s="16" t="s">
        <v>320</v>
      </c>
    </row>
    <row r="28" customFormat="false" ht="15" hidden="false" customHeight="false" outlineLevel="0" collapsed="false">
      <c r="A28" s="1" t="s">
        <v>44</v>
      </c>
      <c r="B28" s="1" t="s">
        <v>27</v>
      </c>
      <c r="C28" s="1" t="s">
        <v>20</v>
      </c>
      <c r="D28" s="7" t="s">
        <v>335</v>
      </c>
      <c r="E28" s="7" t="s">
        <v>336</v>
      </c>
      <c r="F28" s="7" t="s">
        <v>319</v>
      </c>
      <c r="G28" s="1" t="s">
        <v>24</v>
      </c>
      <c r="H28" s="1" t="s">
        <v>334</v>
      </c>
      <c r="I28" s="1" t="str">
        <f aca="false">MID(D28,1,FIND("°",D28,1)-1)</f>
        <v>08</v>
      </c>
      <c r="J28" s="1" t="str">
        <f aca="false">MID(D28,FIND("°",D28,1)+1,(FIND("′",D28,1)-FIND("°",D28,1))-1)</f>
        <v>02</v>
      </c>
      <c r="K28" s="1" t="str">
        <f aca="false">MID(D28,FIND("′",D28,1)+1,(FIND("″",D28,1)-FIND("′",D28,1))-1)</f>
        <v>54</v>
      </c>
      <c r="L28" s="1" t="str">
        <f aca="false">MID(E28,1,FIND("°",E28,1)-1)</f>
        <v>34</v>
      </c>
      <c r="M28" s="1" t="str">
        <f aca="false">MID(E28,FIND("°",E28,1)+1,(FIND("′",E28,1)-FIND("°",E28,1))-1)</f>
        <v>52</v>
      </c>
      <c r="N28" s="1" t="str">
        <f aca="false">MID(E28,FIND("′",E28,1)+1,(FIND("″",E28,1)-FIND("′",E28,1))-1)</f>
        <v>42</v>
      </c>
      <c r="O28" s="2" t="n">
        <f aca="false">((((K28/60)+J28)/60)+I28)*IF(B28="S",-1, 1)</f>
        <v>-8.04833333333333</v>
      </c>
      <c r="P28" s="2" t="n">
        <f aca="false">((((N28/60)+M28)/60)+L28)*IF(C28="W",-1, 1)</f>
        <v>-34.8783333333333</v>
      </c>
      <c r="Q28" s="16" t="s">
        <v>320</v>
      </c>
    </row>
    <row r="29" customFormat="false" ht="15" hidden="false" customHeight="false" outlineLevel="0" collapsed="false">
      <c r="A29" s="1" t="s">
        <v>18</v>
      </c>
      <c r="B29" s="1" t="s">
        <v>27</v>
      </c>
      <c r="C29" s="1" t="s">
        <v>20</v>
      </c>
      <c r="D29" s="7" t="s">
        <v>318</v>
      </c>
      <c r="E29" s="7" t="s">
        <v>40</v>
      </c>
      <c r="F29" s="7" t="s">
        <v>319</v>
      </c>
      <c r="G29" s="1" t="s">
        <v>24</v>
      </c>
      <c r="H29" s="1" t="s">
        <v>41</v>
      </c>
      <c r="I29" s="1" t="str">
        <f aca="false">MID(D29,1,FIND("°",D29,1)-1)</f>
        <v>02</v>
      </c>
      <c r="J29" s="1" t="str">
        <f aca="false">MID(D29,FIND("°",D29,1)+1,(FIND("′",D29,1)-FIND("°",D29,1))-1)</f>
        <v>53</v>
      </c>
      <c r="K29" s="1" t="str">
        <f aca="false">MID(D29,FIND("′",D29,1)+1,(FIND("″",D29,1)-FIND("′",D29,1))-1)</f>
        <v>22</v>
      </c>
      <c r="L29" s="1" t="str">
        <f aca="false">MID(E29,1,FIND("°",E29,1)-1)</f>
        <v>41</v>
      </c>
      <c r="M29" s="1" t="str">
        <f aca="false">MID(E29,FIND("°",E29,1)+1,(FIND("′",E29,1)-FIND("°",E29,1))-1)</f>
        <v>13</v>
      </c>
      <c r="N29" s="1" t="str">
        <f aca="false">MID(E29,FIND("′",E29,1)+1,(FIND("″",E29,1)-FIND("′",E29,1))-1)</f>
        <v>46</v>
      </c>
      <c r="O29" s="2" t="n">
        <f aca="false">((((K29/60)+J29)/60)+I29)*IF(B29="S",-1, 1)</f>
        <v>-2.88944444444444</v>
      </c>
      <c r="P29" s="2" t="n">
        <f aca="false">((((N29/60)+M29)/60)+L29)*IF(C29="W",-1, 1)</f>
        <v>-41.2294444444445</v>
      </c>
      <c r="Q29" s="16" t="s">
        <v>320</v>
      </c>
    </row>
    <row r="30" customFormat="false" ht="15" hidden="false" customHeight="false" outlineLevel="0" collapsed="false">
      <c r="A30" s="1" t="s">
        <v>18</v>
      </c>
      <c r="B30" s="1" t="s">
        <v>27</v>
      </c>
      <c r="C30" s="1" t="s">
        <v>20</v>
      </c>
      <c r="D30" s="7" t="s">
        <v>321</v>
      </c>
      <c r="E30" s="7" t="s">
        <v>43</v>
      </c>
      <c r="F30" s="7" t="s">
        <v>319</v>
      </c>
      <c r="G30" s="1" t="s">
        <v>24</v>
      </c>
      <c r="H30" s="1" t="s">
        <v>41</v>
      </c>
      <c r="I30" s="1" t="str">
        <f aca="false">MID(D30,1,FIND("°",D30,1)-1)</f>
        <v>04</v>
      </c>
      <c r="J30" s="1" t="str">
        <f aca="false">MID(D30,FIND("°",D30,1)+1,(FIND("′",D30,1)-FIND("°",D30,1))-1)</f>
        <v>06</v>
      </c>
      <c r="K30" s="1" t="str">
        <f aca="false">MID(D30,FIND("′",D30,1)+1,(FIND("″",D30,1)-FIND("′",D30,1))-1)</f>
        <v>06</v>
      </c>
      <c r="L30" s="1" t="str">
        <f aca="false">MID(E30,1,FIND("°",E30,1)-1)</f>
        <v>38</v>
      </c>
      <c r="M30" s="1" t="str">
        <f aca="false">MID(E30,FIND("°",E30,1)+1,(FIND("′",E30,1)-FIND("°",E30,1))-1)</f>
        <v>08</v>
      </c>
      <c r="N30" s="1" t="str">
        <f aca="false">MID(E30,FIND("′",E30,1)+1,(FIND("″",E30,1)-FIND("′",E30,1))-1)</f>
        <v>56</v>
      </c>
      <c r="O30" s="2" t="n">
        <f aca="false">((((K30/60)+J30)/60)+I30)*IF(B30="S",-1, 1)</f>
        <v>-4.10166666666667</v>
      </c>
      <c r="P30" s="2" t="n">
        <f aca="false">((((N30/60)+M30)/60)+L30)*IF(C30="W",-1, 1)</f>
        <v>-38.1488888888889</v>
      </c>
      <c r="Q30" s="16" t="s">
        <v>320</v>
      </c>
    </row>
    <row r="31" customFormat="false" ht="15" hidden="false" customHeight="false" outlineLevel="0" collapsed="false">
      <c r="A31" s="1" t="s">
        <v>18</v>
      </c>
      <c r="B31" s="1" t="s">
        <v>27</v>
      </c>
      <c r="C31" s="1" t="s">
        <v>20</v>
      </c>
      <c r="D31" s="7" t="s">
        <v>322</v>
      </c>
      <c r="E31" s="7" t="s">
        <v>323</v>
      </c>
      <c r="F31" s="7" t="s">
        <v>319</v>
      </c>
      <c r="G31" s="1" t="s">
        <v>24</v>
      </c>
      <c r="H31" s="1" t="s">
        <v>324</v>
      </c>
      <c r="I31" s="1" t="str">
        <f aca="false">MID(D31,1,FIND("°",D31,1)-1)</f>
        <v>04</v>
      </c>
      <c r="J31" s="1" t="str">
        <f aca="false">MID(D31,FIND("°",D31,1)+1,(FIND("′",D31,1)-FIND("°",D31,1))-1)</f>
        <v>53</v>
      </c>
      <c r="K31" s="1" t="str">
        <f aca="false">MID(D31,FIND("′",D31,1)+1,(FIND("″",D31,1)-FIND("′",D31,1))-1)</f>
        <v>26</v>
      </c>
      <c r="L31" s="1" t="str">
        <f aca="false">MID(E31,1,FIND("°",E31,1)-1)</f>
        <v>37</v>
      </c>
      <c r="M31" s="1" t="str">
        <f aca="false">MID(E31,FIND("°",E31,1)+1,(FIND("′",E31,1)-FIND("°",E31,1))-1)</f>
        <v>14</v>
      </c>
      <c r="N31" s="1" t="str">
        <f aca="false">MID(E31,FIND("′",E31,1)+1,(FIND("″",E31,1)-FIND("′",E31,1))-1)</f>
        <v>37</v>
      </c>
      <c r="O31" s="2" t="n">
        <f aca="false">((((K31/60)+J31)/60)+I31)*IF(B31="S",-1, 1)</f>
        <v>-4.89055555555556</v>
      </c>
      <c r="P31" s="2" t="n">
        <f aca="false">((((N31/60)+M31)/60)+L31)*IF(C31="W",-1, 1)</f>
        <v>-37.2436111111111</v>
      </c>
      <c r="Q31" s="16" t="s">
        <v>320</v>
      </c>
    </row>
    <row r="32" customFormat="false" ht="15" hidden="false" customHeight="false" outlineLevel="0" collapsed="false">
      <c r="A32" s="1" t="s">
        <v>18</v>
      </c>
      <c r="B32" s="1" t="s">
        <v>27</v>
      </c>
      <c r="C32" s="1" t="s">
        <v>20</v>
      </c>
      <c r="D32" s="7" t="s">
        <v>325</v>
      </c>
      <c r="E32" s="7" t="s">
        <v>326</v>
      </c>
      <c r="F32" s="7" t="s">
        <v>319</v>
      </c>
      <c r="G32" s="1" t="s">
        <v>24</v>
      </c>
      <c r="H32" s="1" t="s">
        <v>324</v>
      </c>
      <c r="I32" s="1" t="str">
        <f aca="false">MID(D32,1,FIND("°",D32,1)-1)</f>
        <v>05</v>
      </c>
      <c r="J32" s="1" t="str">
        <f aca="false">MID(D32,FIND("°",D32,1)+1,(FIND("′",D32,1)-FIND("°",D32,1))-1)</f>
        <v>12</v>
      </c>
      <c r="K32" s="1" t="str">
        <f aca="false">MID(D32,FIND("′",D32,1)+1,(FIND("″",D32,1)-FIND("′",D32,1))-1)</f>
        <v>06</v>
      </c>
      <c r="L32" s="1" t="str">
        <f aca="false">MID(E32,1,FIND("°",E32,1)-1)</f>
        <v>35</v>
      </c>
      <c r="M32" s="1" t="str">
        <f aca="false">MID(E32,FIND("°",E32,1)+1,(FIND("′",E32,1)-FIND("°",E32,1))-1)</f>
        <v>27</v>
      </c>
      <c r="N32" s="1" t="str">
        <f aca="false">MID(E32,FIND("′",E32,1)+1,(FIND("″",E32,1)-FIND("′",E32,1))-1)</f>
        <v>27</v>
      </c>
      <c r="O32" s="2" t="n">
        <f aca="false">((((K32/60)+J32)/60)+I32)*IF(B32="S",-1, 1)</f>
        <v>-5.20166666666667</v>
      </c>
      <c r="P32" s="2" t="n">
        <f aca="false">((((N32/60)+M32)/60)+L32)*IF(C32="W",-1, 1)</f>
        <v>-35.4575</v>
      </c>
      <c r="Q32" s="16" t="s">
        <v>320</v>
      </c>
    </row>
    <row r="33" customFormat="false" ht="15" hidden="false" customHeight="false" outlineLevel="0" collapsed="false">
      <c r="A33" s="1" t="s">
        <v>18</v>
      </c>
      <c r="B33" s="1" t="s">
        <v>27</v>
      </c>
      <c r="C33" s="1" t="s">
        <v>20</v>
      </c>
      <c r="D33" s="7" t="s">
        <v>327</v>
      </c>
      <c r="E33" s="7" t="s">
        <v>328</v>
      </c>
      <c r="F33" s="7" t="s">
        <v>319</v>
      </c>
      <c r="G33" s="1" t="s">
        <v>24</v>
      </c>
      <c r="H33" s="1" t="s">
        <v>329</v>
      </c>
      <c r="I33" s="1" t="str">
        <f aca="false">MID(D33,1,FIND("°",D33,1)-1)</f>
        <v>06</v>
      </c>
      <c r="J33" s="1" t="str">
        <f aca="false">MID(D33,FIND("°",D33,1)+1,(FIND("′",D33,1)-FIND("°",D33,1))-1)</f>
        <v>30</v>
      </c>
      <c r="K33" s="1" t="str">
        <f aca="false">MID(D33,FIND("′",D33,1)+1,(FIND("″",D33,1)-FIND("′",D33,1))-1)</f>
        <v>11</v>
      </c>
      <c r="L33" s="1" t="str">
        <f aca="false">MID(E33,1,FIND("°",E33,1)-1)</f>
        <v>34</v>
      </c>
      <c r="M33" s="1" t="str">
        <f aca="false">MID(E33,FIND("°",E33,1)+1,(FIND("′",E33,1)-FIND("°",E33,1))-1)</f>
        <v>57</v>
      </c>
      <c r="N33" s="1" t="str">
        <f aca="false">MID(E33,FIND("′",E33,1)+1,(FIND("″",E33,1)-FIND("′",E33,1))-1)</f>
        <v>30</v>
      </c>
      <c r="O33" s="2" t="n">
        <f aca="false">((((K33/60)+J33)/60)+I33)*IF(B33="S",-1, 1)</f>
        <v>-6.50305555555556</v>
      </c>
      <c r="P33" s="2" t="n">
        <f aca="false">((((N33/60)+M33)/60)+L33)*IF(C33="W",-1, 1)</f>
        <v>-34.9583333333333</v>
      </c>
      <c r="Q33" s="16" t="s">
        <v>320</v>
      </c>
    </row>
    <row r="34" customFormat="false" ht="15" hidden="false" customHeight="false" outlineLevel="0" collapsed="false">
      <c r="A34" s="1" t="s">
        <v>18</v>
      </c>
      <c r="B34" s="1" t="s">
        <v>27</v>
      </c>
      <c r="C34" s="1" t="s">
        <v>20</v>
      </c>
      <c r="D34" s="7" t="s">
        <v>330</v>
      </c>
      <c r="E34" s="7" t="s">
        <v>331</v>
      </c>
      <c r="F34" s="7" t="s">
        <v>319</v>
      </c>
      <c r="G34" s="1" t="s">
        <v>24</v>
      </c>
      <c r="H34" s="1" t="s">
        <v>329</v>
      </c>
      <c r="I34" s="1" t="str">
        <f aca="false">MID(D34,1,FIND("°",D34,1)-1)</f>
        <v>06</v>
      </c>
      <c r="J34" s="1" t="str">
        <f aca="false">MID(D34,FIND("°",D34,1)+1,(FIND("′",D34,1)-FIND("°",D34,1))-1)</f>
        <v>57</v>
      </c>
      <c r="K34" s="1" t="str">
        <f aca="false">MID(D34,FIND("′",D34,1)+1,(FIND("″",D34,1)-FIND("′",D34,1))-1)</f>
        <v>57</v>
      </c>
      <c r="L34" s="1" t="str">
        <f aca="false">MID(E34,1,FIND("°",E34,1)-1)</f>
        <v>34</v>
      </c>
      <c r="M34" s="1" t="str">
        <f aca="false">MID(E34,FIND("°",E34,1)+1,(FIND("′",E34,1)-FIND("°",E34,1))-1)</f>
        <v>51</v>
      </c>
      <c r="N34" s="1" t="str">
        <f aca="false">MID(E34,FIND("′",E34,1)+1,(FIND("″",E34,1)-FIND("′",E34,1))-1)</f>
        <v>22</v>
      </c>
      <c r="O34" s="2" t="n">
        <f aca="false">((((K34/60)+J34)/60)+I34)*IF(B34="S",-1, 1)</f>
        <v>-6.96583333333333</v>
      </c>
      <c r="P34" s="2" t="n">
        <f aca="false">((((N34/60)+M34)/60)+L34)*IF(C34="W",-1, 1)</f>
        <v>-34.8561111111111</v>
      </c>
      <c r="Q34" s="16" t="s">
        <v>320</v>
      </c>
    </row>
    <row r="35" customFormat="false" ht="15" hidden="false" customHeight="false" outlineLevel="0" collapsed="false">
      <c r="A35" s="1" t="s">
        <v>18</v>
      </c>
      <c r="B35" s="1" t="s">
        <v>27</v>
      </c>
      <c r="C35" s="1" t="s">
        <v>20</v>
      </c>
      <c r="D35" s="7" t="s">
        <v>332</v>
      </c>
      <c r="E35" s="7" t="s">
        <v>333</v>
      </c>
      <c r="F35" s="7" t="s">
        <v>319</v>
      </c>
      <c r="G35" s="1" t="s">
        <v>24</v>
      </c>
      <c r="H35" s="1" t="s">
        <v>334</v>
      </c>
      <c r="I35" s="1" t="str">
        <f aca="false">MID(D35,1,FIND("°",D35,1)-1)</f>
        <v>07</v>
      </c>
      <c r="J35" s="1" t="str">
        <f aca="false">MID(D35,FIND("°",D35,1)+1,(FIND("′",D35,1)-FIND("°",D35,1))-1)</f>
        <v>33</v>
      </c>
      <c r="K35" s="1" t="str">
        <f aca="false">MID(D35,FIND("′",D35,1)+1,(FIND("″",D35,1)-FIND("′",D35,1))-1)</f>
        <v>07</v>
      </c>
      <c r="L35" s="1" t="str">
        <f aca="false">MID(E35,1,FIND("°",E35,1)-1)</f>
        <v>34</v>
      </c>
      <c r="M35" s="1" t="str">
        <f aca="false">MID(E35,FIND("°",E35,1)+1,(FIND("′",E35,1)-FIND("°",E35,1))-1)</f>
        <v>50</v>
      </c>
      <c r="N35" s="1" t="str">
        <f aca="false">MID(E35,FIND("′",E35,1)+1,(FIND("″",E35,1)-FIND("′",E35,1))-1)</f>
        <v>39</v>
      </c>
      <c r="O35" s="2" t="n">
        <f aca="false">((((K35/60)+J35)/60)+I35)*IF(B35="S",-1, 1)</f>
        <v>-7.55194444444445</v>
      </c>
      <c r="P35" s="2" t="n">
        <f aca="false">((((N35/60)+M35)/60)+L35)*IF(C35="W",-1, 1)</f>
        <v>-34.8441666666667</v>
      </c>
      <c r="Q35" s="16" t="s">
        <v>320</v>
      </c>
    </row>
    <row r="36" customFormat="false" ht="15" hidden="false" customHeight="false" outlineLevel="0" collapsed="false">
      <c r="A36" s="1" t="s">
        <v>18</v>
      </c>
      <c r="B36" s="1" t="s">
        <v>27</v>
      </c>
      <c r="C36" s="1" t="s">
        <v>20</v>
      </c>
      <c r="D36" s="7" t="s">
        <v>335</v>
      </c>
      <c r="E36" s="7" t="s">
        <v>336</v>
      </c>
      <c r="F36" s="7" t="s">
        <v>319</v>
      </c>
      <c r="G36" s="1" t="s">
        <v>24</v>
      </c>
      <c r="H36" s="1" t="s">
        <v>334</v>
      </c>
      <c r="I36" s="1" t="str">
        <f aca="false">MID(D36,1,FIND("°",D36,1)-1)</f>
        <v>08</v>
      </c>
      <c r="J36" s="1" t="str">
        <f aca="false">MID(D36,FIND("°",D36,1)+1,(FIND("′",D36,1)-FIND("°",D36,1))-1)</f>
        <v>02</v>
      </c>
      <c r="K36" s="1" t="str">
        <f aca="false">MID(D36,FIND("′",D36,1)+1,(FIND("″",D36,1)-FIND("′",D36,1))-1)</f>
        <v>54</v>
      </c>
      <c r="L36" s="1" t="str">
        <f aca="false">MID(E36,1,FIND("°",E36,1)-1)</f>
        <v>34</v>
      </c>
      <c r="M36" s="1" t="str">
        <f aca="false">MID(E36,FIND("°",E36,1)+1,(FIND("′",E36,1)-FIND("°",E36,1))-1)</f>
        <v>52</v>
      </c>
      <c r="N36" s="1" t="str">
        <f aca="false">MID(E36,FIND("′",E36,1)+1,(FIND("″",E36,1)-FIND("′",E36,1))-1)</f>
        <v>42</v>
      </c>
      <c r="O36" s="2" t="n">
        <f aca="false">((((K36/60)+J36)/60)+I36)*IF(B36="S",-1, 1)</f>
        <v>-8.04833333333333</v>
      </c>
      <c r="P36" s="2" t="n">
        <f aca="false">((((N36/60)+M36)/60)+L36)*IF(C36="W",-1, 1)</f>
        <v>-34.8783333333333</v>
      </c>
      <c r="Q36" s="16" t="s">
        <v>320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LibreOffice/26.2.1.2$Windows_X86_64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2019-12-13T15:58:37Z</dcterms:created>
  <dc:creator>Alex Barbosa</dc:creator>
  <dc:description/>
  <dc:language>pt-BR</dc:language>
  <cp:lastModifiedBy/>
  <dcterms:modified xsi:type="dcterms:W3CDTF">2026-03-31T15:16:01Z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