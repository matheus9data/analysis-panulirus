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DE1DE25C-A56E-41E4-9CB4-4A917A550F1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ilha1" sheetId="1" r:id="rId1"/>
  </sheets>
  <definedNames>
    <definedName name="_xlnm._FilterDatabase" localSheetId="0" hidden="1">Planilha1!$B$1:$I$482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7" i="1" l="1"/>
  <c r="J31" i="1"/>
  <c r="K31" i="1"/>
  <c r="L31" i="1"/>
  <c r="P31" i="1" s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P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P37" i="1" s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P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P49" i="1" s="1"/>
  <c r="M49" i="1"/>
  <c r="N49" i="1"/>
  <c r="O49" i="1"/>
  <c r="J50" i="1"/>
  <c r="K50" i="1"/>
  <c r="L50" i="1"/>
  <c r="M50" i="1"/>
  <c r="N50" i="1"/>
  <c r="O50" i="1"/>
  <c r="J51" i="1"/>
  <c r="K51" i="1"/>
  <c r="L51" i="1"/>
  <c r="P51" i="1" s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P61" i="1" s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P83" i="1" s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P87" i="1" s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Q90" i="1" s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P93" i="1" s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P99" i="1" s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P135" i="1" s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K23" i="1"/>
  <c r="K18" i="1"/>
  <c r="J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L8" i="1"/>
  <c r="J16" i="1"/>
  <c r="N17" i="1"/>
  <c r="M17" i="1"/>
  <c r="K5" i="1"/>
  <c r="L14" i="1"/>
  <c r="J8" i="1"/>
  <c r="K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J14" i="1"/>
  <c r="K14" i="1"/>
  <c r="M14" i="1"/>
  <c r="N14" i="1"/>
  <c r="O14" i="1"/>
  <c r="J15" i="1"/>
  <c r="K15" i="1"/>
  <c r="L15" i="1"/>
  <c r="M15" i="1"/>
  <c r="N15" i="1"/>
  <c r="O15" i="1"/>
  <c r="K16" i="1"/>
  <c r="L16" i="1"/>
  <c r="M16" i="1"/>
  <c r="N16" i="1"/>
  <c r="O16" i="1"/>
  <c r="J17" i="1"/>
  <c r="K17" i="1"/>
  <c r="L17" i="1"/>
  <c r="O17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6" i="1"/>
  <c r="K6" i="1"/>
  <c r="P46" i="1" l="1"/>
  <c r="P36" i="1"/>
  <c r="P32" i="1"/>
  <c r="Q135" i="1"/>
  <c r="Q41" i="1"/>
  <c r="Q39" i="1"/>
  <c r="Q37" i="1"/>
  <c r="Q31" i="1"/>
  <c r="Q132" i="1"/>
  <c r="Q42" i="1"/>
  <c r="P48" i="1"/>
  <c r="Q49" i="1"/>
  <c r="Q33" i="1"/>
  <c r="P117" i="1"/>
  <c r="Q138" i="1"/>
  <c r="Q134" i="1"/>
  <c r="Q126" i="1"/>
  <c r="Q74" i="1"/>
  <c r="Q72" i="1"/>
  <c r="Q54" i="1"/>
  <c r="Q50" i="1"/>
  <c r="Q139" i="1"/>
  <c r="Q137" i="1"/>
  <c r="P132" i="1"/>
  <c r="P128" i="1"/>
  <c r="P108" i="1"/>
  <c r="P78" i="1"/>
  <c r="P74" i="1"/>
  <c r="P54" i="1"/>
  <c r="P50" i="1"/>
  <c r="P69" i="1"/>
  <c r="P63" i="1"/>
  <c r="P136" i="1"/>
  <c r="P73" i="1"/>
  <c r="Q108" i="1"/>
  <c r="Q98" i="1"/>
  <c r="Q92" i="1"/>
  <c r="P81" i="1"/>
  <c r="Q60" i="1"/>
  <c r="P126" i="1"/>
  <c r="P98" i="1"/>
  <c r="P92" i="1"/>
  <c r="P90" i="1"/>
  <c r="Q70" i="1"/>
  <c r="P114" i="1"/>
  <c r="P66" i="1"/>
  <c r="P64" i="1"/>
  <c r="Q48" i="1"/>
  <c r="Q123" i="1"/>
  <c r="Q117" i="1"/>
  <c r="Q107" i="1"/>
  <c r="Q101" i="1"/>
  <c r="Q46" i="1"/>
  <c r="Q89" i="1"/>
  <c r="P123" i="1"/>
  <c r="Q67" i="1"/>
  <c r="P52" i="1"/>
  <c r="P107" i="1"/>
  <c r="P101" i="1"/>
  <c r="Q93" i="1"/>
  <c r="Q81" i="1"/>
  <c r="Q69" i="1"/>
  <c r="Q55" i="1"/>
  <c r="P138" i="1"/>
  <c r="P125" i="1"/>
  <c r="Q80" i="1"/>
  <c r="Q65" i="1"/>
  <c r="P60" i="1"/>
  <c r="P58" i="1"/>
  <c r="P56" i="1"/>
  <c r="Q52" i="1"/>
  <c r="Q45" i="1"/>
  <c r="Q43" i="1"/>
  <c r="P34" i="1"/>
  <c r="Q128" i="1"/>
  <c r="P119" i="1"/>
  <c r="P96" i="1"/>
  <c r="Q84" i="1"/>
  <c r="Q29" i="1"/>
  <c r="P134" i="1"/>
  <c r="Q111" i="1"/>
  <c r="Q105" i="1"/>
  <c r="P84" i="1"/>
  <c r="Q78" i="1"/>
  <c r="Q63" i="1"/>
  <c r="Q61" i="1"/>
  <c r="P45" i="1"/>
  <c r="P111" i="1"/>
  <c r="Q99" i="1"/>
  <c r="P80" i="1"/>
  <c r="P67" i="1"/>
  <c r="Q59" i="1"/>
  <c r="Q57" i="1"/>
  <c r="Q83" i="1"/>
  <c r="P72" i="1"/>
  <c r="P39" i="1"/>
  <c r="P137" i="1"/>
  <c r="Q120" i="1"/>
  <c r="Q116" i="1"/>
  <c r="Q110" i="1"/>
  <c r="P105" i="1"/>
  <c r="Q87" i="1"/>
  <c r="P70" i="1"/>
  <c r="Q66" i="1"/>
  <c r="P120" i="1"/>
  <c r="Q114" i="1"/>
  <c r="P89" i="1"/>
  <c r="Q73" i="1"/>
  <c r="Q64" i="1"/>
  <c r="P57" i="1"/>
  <c r="P55" i="1"/>
  <c r="Q51" i="1"/>
  <c r="Q40" i="1"/>
  <c r="Q36" i="1"/>
  <c r="Q34" i="1"/>
  <c r="Q12" i="1"/>
  <c r="Q129" i="1"/>
  <c r="Q125" i="1"/>
  <c r="P116" i="1"/>
  <c r="P110" i="1"/>
  <c r="Q102" i="1"/>
  <c r="Q96" i="1"/>
  <c r="Q75" i="1"/>
  <c r="Q32" i="1"/>
  <c r="P129" i="1"/>
  <c r="Q119" i="1"/>
  <c r="P102" i="1"/>
  <c r="P75" i="1"/>
  <c r="P71" i="1"/>
  <c r="Q58" i="1"/>
  <c r="Q47" i="1"/>
  <c r="P42" i="1"/>
  <c r="P40" i="1"/>
  <c r="P38" i="1"/>
  <c r="P140" i="1"/>
  <c r="P131" i="1"/>
  <c r="P122" i="1"/>
  <c r="P113" i="1"/>
  <c r="P104" i="1"/>
  <c r="P95" i="1"/>
  <c r="P86" i="1"/>
  <c r="P77" i="1"/>
  <c r="Q53" i="1"/>
  <c r="Q35" i="1"/>
  <c r="Q71" i="1"/>
  <c r="P68" i="1"/>
  <c r="Q56" i="1"/>
  <c r="Q38" i="1"/>
  <c r="Q130" i="1"/>
  <c r="P127" i="1"/>
  <c r="Q121" i="1"/>
  <c r="P118" i="1"/>
  <c r="Q112" i="1"/>
  <c r="P109" i="1"/>
  <c r="Q103" i="1"/>
  <c r="P100" i="1"/>
  <c r="Q94" i="1"/>
  <c r="P91" i="1"/>
  <c r="Q85" i="1"/>
  <c r="P82" i="1"/>
  <c r="Q76" i="1"/>
  <c r="P53" i="1"/>
  <c r="P35" i="1"/>
  <c r="P11" i="1"/>
  <c r="Q62" i="1"/>
  <c r="Q44" i="1"/>
  <c r="P9" i="1"/>
  <c r="P29" i="1"/>
  <c r="P25" i="1"/>
  <c r="P139" i="1"/>
  <c r="Q133" i="1"/>
  <c r="P130" i="1"/>
  <c r="Q124" i="1"/>
  <c r="P121" i="1"/>
  <c r="Q115" i="1"/>
  <c r="P112" i="1"/>
  <c r="Q106" i="1"/>
  <c r="P103" i="1"/>
  <c r="Q97" i="1"/>
  <c r="P94" i="1"/>
  <c r="Q88" i="1"/>
  <c r="P85" i="1"/>
  <c r="Q79" i="1"/>
  <c r="P76" i="1"/>
  <c r="P59" i="1"/>
  <c r="P41" i="1"/>
  <c r="Q140" i="1"/>
  <c r="Q131" i="1"/>
  <c r="Q122" i="1"/>
  <c r="Q113" i="1"/>
  <c r="Q104" i="1"/>
  <c r="Q95" i="1"/>
  <c r="Q86" i="1"/>
  <c r="Q77" i="1"/>
  <c r="P62" i="1"/>
  <c r="P44" i="1"/>
  <c r="Q136" i="1"/>
  <c r="P133" i="1"/>
  <c r="Q127" i="1"/>
  <c r="P124" i="1"/>
  <c r="Q118" i="1"/>
  <c r="P115" i="1"/>
  <c r="Q109" i="1"/>
  <c r="P106" i="1"/>
  <c r="Q100" i="1"/>
  <c r="P97" i="1"/>
  <c r="Q91" i="1"/>
  <c r="P88" i="1"/>
  <c r="Q82" i="1"/>
  <c r="P79" i="1"/>
  <c r="Q68" i="1"/>
  <c r="P65" i="1"/>
  <c r="P47" i="1"/>
  <c r="Q10" i="1"/>
  <c r="Q23" i="1"/>
  <c r="Q13" i="1"/>
  <c r="Q11" i="1"/>
  <c r="P27" i="1"/>
  <c r="Q17" i="1"/>
  <c r="Q9" i="1"/>
  <c r="P20" i="1"/>
  <c r="Q14" i="1"/>
  <c r="P21" i="1"/>
  <c r="P19" i="1"/>
  <c r="Q16" i="1"/>
  <c r="P12" i="1"/>
  <c r="P10" i="1"/>
  <c r="P23" i="1"/>
  <c r="Q22" i="1"/>
  <c r="Q20" i="1"/>
  <c r="Q18" i="1"/>
  <c r="P16" i="1"/>
  <c r="P14" i="1"/>
  <c r="Q27" i="1"/>
  <c r="P8" i="1"/>
  <c r="Q15" i="1"/>
  <c r="P22" i="1"/>
  <c r="P15" i="1"/>
  <c r="Q21" i="1"/>
  <c r="Q19" i="1"/>
  <c r="P17" i="1"/>
  <c r="P13" i="1"/>
  <c r="P30" i="1"/>
  <c r="P28" i="1"/>
  <c r="P26" i="1"/>
  <c r="P24" i="1"/>
  <c r="Q25" i="1"/>
  <c r="Q30" i="1"/>
  <c r="Q28" i="1"/>
  <c r="Q26" i="1"/>
  <c r="Q24" i="1"/>
  <c r="P18" i="1"/>
  <c r="Q8" i="1"/>
  <c r="O6" i="1"/>
  <c r="N6" i="1"/>
  <c r="M6" i="1"/>
  <c r="J6" i="1"/>
  <c r="O5" i="1"/>
  <c r="N5" i="1"/>
  <c r="M5" i="1"/>
  <c r="L5" i="1"/>
  <c r="J5" i="1"/>
  <c r="O4" i="1"/>
  <c r="N4" i="1"/>
  <c r="M4" i="1"/>
  <c r="L4" i="1"/>
  <c r="K4" i="1"/>
  <c r="J4" i="1"/>
  <c r="K2" i="1"/>
  <c r="L2" i="1"/>
  <c r="P5" i="1" l="1"/>
  <c r="P4" i="1"/>
  <c r="Q4" i="1"/>
  <c r="Q5" i="1"/>
  <c r="Q6" i="1"/>
  <c r="P6" i="1"/>
  <c r="J3" i="1"/>
  <c r="K3" i="1"/>
  <c r="L3" i="1"/>
  <c r="M3" i="1"/>
  <c r="N3" i="1"/>
  <c r="O3" i="1"/>
  <c r="J7" i="1"/>
  <c r="K7" i="1"/>
  <c r="L7" i="1"/>
  <c r="M7" i="1"/>
  <c r="N7" i="1"/>
  <c r="O7" i="1"/>
  <c r="P7" i="1" l="1"/>
  <c r="P3" i="1"/>
  <c r="Q7" i="1"/>
  <c r="Q3" i="1"/>
  <c r="O2" i="1"/>
  <c r="N2" i="1"/>
  <c r="M2" i="1"/>
  <c r="J2" i="1"/>
  <c r="P2" i="1" l="1"/>
  <c r="Q2" i="1"/>
</calcChain>
</file>

<file path=xl/sharedStrings.xml><?xml version="1.0" encoding="utf-8"?>
<sst xmlns="http://schemas.openxmlformats.org/spreadsheetml/2006/main" count="515" uniqueCount="96">
  <si>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</si>
  <si>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</si>
  <si>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</si>
  <si>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</si>
  <si>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</si>
  <si>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</si>
  <si>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</si>
  <si>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</si>
  <si>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</si>
  <si>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</si>
  <si>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</si>
  <si>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</si>
  <si>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</si>
  <si>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</si>
  <si>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</si>
  <si>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</si>
  <si>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</si>
  <si>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</si>
  <si>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</si>
  <si>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</si>
  <si>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</si>
  <si>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NEVES, S. S. (2014)</t>
  </si>
  <si>
    <t> Plataforma Continental do Ceará(Barroquinha)</t>
  </si>
  <si>
    <t> Plataforma Continental do Ceará (Icapui) Tal extensão equivale a 578 km de costa, o que 
corresponde a uma área de 42.205 km2</t>
  </si>
  <si>
    <t>Panulirus laevicauda</t>
  </si>
  <si>
    <t>NomeDoc</t>
  </si>
  <si>
    <t>03°01′08″</t>
  </si>
  <si>
    <t xml:space="preserve">41°08′10″ </t>
  </si>
  <si>
    <t>04°42′47″</t>
  </si>
  <si>
    <t>37°21′19″</t>
  </si>
  <si>
    <t>2°56′59″</t>
  </si>
  <si>
    <t>39°47′31″</t>
  </si>
  <si>
    <t>2014_dis_ssneves.pdf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</si>
  <si>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</si>
  <si>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</si>
  <si>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</si>
  <si>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</si>
  <si>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</si>
  <si>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</si>
  <si>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</si>
  <si>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</si>
  <si>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</si>
  <si>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</si>
  <si>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</si>
  <si>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</si>
  <si>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</si>
  <si>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</si>
  <si>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</si>
  <si>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</si>
  <si>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</si>
  <si>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</si>
  <si>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</si>
  <si>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</si>
  <si>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O clima no Sul do Brasil (S) (34° S a 22° S) varia de subtropical a temperado, com regimes topográficos e hidrodinâmicos complexos.</t>
  </si>
  <si>
    <t>34°</t>
  </si>
  <si>
    <t xml:space="preserve">22° </t>
  </si>
  <si>
    <t>Cruz, R. (2021)</t>
  </si>
  <si>
    <t>N/A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</si>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</sst>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5"/>
  <sheetViews>
    <sheetView tabSelected="1" zoomScale="85" zoomScaleNormal="85" workbookViewId="0">
      <pane ySplit="1" topLeftCell="A2" activePane="bottomLeft" state="frozen"/>
      <selection pane="bottomLeft" activeCell="G39" sqref="G39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25.710937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21" t="s">
        <v>17</v>
      </c>
      <c r="C1" s="21" t="s">
        <v>13</v>
      </c>
      <c r="D1" s="21" t="s">
        <v>14</v>
      </c>
      <c r="E1" s="22" t="s">
        <v>3</v>
      </c>
      <c r="F1" s="22" t="s">
        <v>2</v>
      </c>
      <c r="G1" s="21" t="s">
        <v>0</v>
      </c>
      <c r="H1" s="21" t="s">
        <v>11</v>
      </c>
      <c r="I1" s="21" t="s">
        <v>1</v>
      </c>
      <c r="J1" s="23" t="s">
        <v>4</v>
      </c>
      <c r="K1" s="23" t="s">
        <v>5</v>
      </c>
      <c r="L1" s="23" t="s">
        <v>6</v>
      </c>
      <c r="M1" s="23" t="s">
        <v>7</v>
      </c>
      <c r="N1" s="23" t="s">
        <v>8</v>
      </c>
      <c r="O1" s="24" t="s">
        <v>9</v>
      </c>
      <c r="P1" s="22" t="s">
        <v>10</v>
      </c>
      <c r="Q1" s="22" t="s">
        <v>18</v>
      </c>
      <c r="R1" s="21" t="s">
        <v>25</v>
      </c>
    </row>
    <row r="2" spans="1:18" ht="15.6" customHeight="1" x14ac:dyDescent="0.25">
      <c r="A2" s="3">
        <v>1</v>
      </c>
      <c r="B2" s="3" t="s">
        <v>20</v>
      </c>
      <c r="C2" s="3" t="s">
        <v>15</v>
      </c>
      <c r="D2" s="3" t="s">
        <v>16</v>
      </c>
      <c r="E2" s="1" t="s">
        <v>26</v>
      </c>
      <c r="F2" s="1" t="s">
        <v>27</v>
      </c>
      <c r="G2" s="13" t="s">
        <v>21</v>
      </c>
      <c r="H2" s="3" t="s">
        <v>12</v>
      </c>
      <c r="I2" s="13" t="s">
        <v>22</v>
      </c>
      <c r="J2" s="3" t="str">
        <f t="shared" ref="J2:J7" si="0">MID(E2,1,FIND("°",E2,1)-1)</f>
        <v>03</v>
      </c>
      <c r="K2" s="3" t="str">
        <f t="shared" ref="K2:K7" si="1">MID(E2,FIND("°",E2,1)+1,(FIND("′",E2,1)-FIND("°",E2,1))-1)</f>
        <v>01</v>
      </c>
      <c r="L2" s="3" t="str">
        <f t="shared" ref="L2:L7" si="2">MID(E2,FIND("′",E2,1)+1,(FIND("″",E2,1)-FIND("′",E2,1))-1)</f>
        <v>08</v>
      </c>
      <c r="M2" s="3" t="str">
        <f t="shared" ref="M2:M7" si="3">MID(F2,1,FIND("°",F2,1)-1)</f>
        <v>41</v>
      </c>
      <c r="N2" s="3" t="str">
        <f t="shared" ref="N2:N7" si="4">MID(F2,FIND("°",F2,1)+1,(FIND("′",F2,1)-FIND("°",F2,1))-1)</f>
        <v>08</v>
      </c>
      <c r="O2" s="3" t="str">
        <f t="shared" ref="O2:O7" si="5">MID(F2,FIND("′",F2,1)+1,(FIND("″",F2,1)-FIND("′",F2,1))-1)</f>
        <v>10</v>
      </c>
      <c r="P2" s="1">
        <f t="shared" ref="P2:P7" si="6">((((L2/60)+K2)/60)+J2)*IF(C2="S",-1, 1)</f>
        <v>-3.0188888888888887</v>
      </c>
      <c r="Q2" s="1">
        <f t="shared" ref="Q2:Q7" si="7">((((O2/60)+N2)/60)+M2)*IF(D2="W",-1, 1)</f>
        <v>-41.136111111111113</v>
      </c>
      <c r="R2" s="14" t="s">
        <v>32</v>
      </c>
    </row>
    <row r="3" spans="1:18" ht="43.5" x14ac:dyDescent="0.25">
      <c r="A3" s="3">
        <v>2</v>
      </c>
      <c r="B3" s="3" t="s">
        <v>20</v>
      </c>
      <c r="C3" s="3" t="s">
        <v>15</v>
      </c>
      <c r="D3" s="3" t="s">
        <v>16</v>
      </c>
      <c r="E3" s="8" t="s">
        <v>28</v>
      </c>
      <c r="F3" s="8" t="s">
        <v>29</v>
      </c>
      <c r="G3" s="13" t="s">
        <v>21</v>
      </c>
      <c r="H3" s="3" t="s">
        <v>12</v>
      </c>
      <c r="I3" s="18" t="s">
        <v>23</v>
      </c>
      <c r="J3" s="3" t="str">
        <f t="shared" si="0"/>
        <v>04</v>
      </c>
      <c r="K3" s="3" t="str">
        <f t="shared" si="1"/>
        <v>42</v>
      </c>
      <c r="L3" s="3" t="str">
        <f t="shared" si="2"/>
        <v>47</v>
      </c>
      <c r="M3" s="3" t="str">
        <f t="shared" si="3"/>
        <v>37</v>
      </c>
      <c r="N3" s="3" t="str">
        <f t="shared" si="4"/>
        <v>21</v>
      </c>
      <c r="O3" s="3" t="str">
        <f t="shared" si="5"/>
        <v>19</v>
      </c>
      <c r="P3" s="1">
        <f t="shared" si="6"/>
        <v>-4.713055555555556</v>
      </c>
      <c r="Q3" s="1">
        <f t="shared" si="7"/>
        <v>-37.355277777777779</v>
      </c>
      <c r="R3" s="14" t="s">
        <v>32</v>
      </c>
    </row>
    <row r="4" spans="1:18" ht="15.6" customHeight="1" x14ac:dyDescent="0.25">
      <c r="A4" s="3">
        <v>3</v>
      </c>
      <c r="B4" s="3" t="s">
        <v>24</v>
      </c>
      <c r="C4" s="3" t="s">
        <v>15</v>
      </c>
      <c r="D4" s="3" t="s">
        <v>16</v>
      </c>
      <c r="E4" s="1" t="s">
        <v>26</v>
      </c>
      <c r="F4" s="1" t="s">
        <v>27</v>
      </c>
      <c r="G4" s="13" t="s">
        <v>21</v>
      </c>
      <c r="H4" s="3" t="s">
        <v>12</v>
      </c>
      <c r="I4" s="13" t="s">
        <v>22</v>
      </c>
      <c r="J4" s="3" t="str">
        <f t="shared" si="0"/>
        <v>03</v>
      </c>
      <c r="K4" s="3" t="str">
        <f t="shared" si="1"/>
        <v>01</v>
      </c>
      <c r="L4" s="3" t="str">
        <f t="shared" si="2"/>
        <v>08</v>
      </c>
      <c r="M4" s="3" t="str">
        <f t="shared" si="3"/>
        <v>41</v>
      </c>
      <c r="N4" s="3" t="str">
        <f t="shared" si="4"/>
        <v>08</v>
      </c>
      <c r="O4" s="3" t="str">
        <f t="shared" si="5"/>
        <v>10</v>
      </c>
      <c r="P4" s="1">
        <f t="shared" si="6"/>
        <v>-3.0188888888888887</v>
      </c>
      <c r="Q4" s="1">
        <f t="shared" si="7"/>
        <v>-41.136111111111113</v>
      </c>
      <c r="R4" s="14" t="s">
        <v>32</v>
      </c>
    </row>
    <row r="5" spans="1:18" ht="43.5" x14ac:dyDescent="0.25">
      <c r="A5" s="3">
        <v>4</v>
      </c>
      <c r="B5" s="3" t="s">
        <v>24</v>
      </c>
      <c r="C5" s="3" t="s">
        <v>15</v>
      </c>
      <c r="D5" s="3" t="s">
        <v>16</v>
      </c>
      <c r="E5" s="8" t="s">
        <v>28</v>
      </c>
      <c r="F5" s="8" t="s">
        <v>29</v>
      </c>
      <c r="G5" s="13" t="s">
        <v>21</v>
      </c>
      <c r="H5" s="3" t="s">
        <v>12</v>
      </c>
      <c r="I5" s="18" t="s">
        <v>23</v>
      </c>
      <c r="J5" s="3" t="str">
        <f t="shared" si="0"/>
        <v>04</v>
      </c>
      <c r="K5" s="3" t="str">
        <f>MID(E5,FIND("°",E5,1)+1,(FIND("′",E5,1)-FIND("°",E5,1))-1)</f>
        <v>42</v>
      </c>
      <c r="L5" s="3" t="str">
        <f t="shared" si="2"/>
        <v>47</v>
      </c>
      <c r="M5" s="3" t="str">
        <f t="shared" si="3"/>
        <v>37</v>
      </c>
      <c r="N5" s="3" t="str">
        <f t="shared" si="4"/>
        <v>21</v>
      </c>
      <c r="O5" s="3" t="str">
        <f t="shared" si="5"/>
        <v>19</v>
      </c>
      <c r="P5" s="1">
        <f>((((L5/60)+K5)/60)+J5)*IF(C5="S",-1, 1)</f>
        <v>-4.713055555555556</v>
      </c>
      <c r="Q5" s="1">
        <f t="shared" si="7"/>
        <v>-37.355277777777779</v>
      </c>
      <c r="R5" s="14" t="s">
        <v>32</v>
      </c>
    </row>
    <row r="6" spans="1:18" ht="15.6" customHeight="1" thickBot="1" x14ac:dyDescent="0.3">
      <c r="A6" s="3">
        <v>5</v>
      </c>
      <c r="B6" s="3" t="s">
        <v>20</v>
      </c>
      <c r="C6" s="3" t="s">
        <v>15</v>
      </c>
      <c r="D6" s="3" t="s">
        <v>16</v>
      </c>
      <c r="E6" s="1" t="s">
        <v>30</v>
      </c>
      <c r="F6" s="1" t="s">
        <v>31</v>
      </c>
      <c r="G6" s="13" t="s">
        <v>21</v>
      </c>
      <c r="H6" s="3" t="s">
        <v>12</v>
      </c>
      <c r="I6" s="13" t="s">
        <v>22</v>
      </c>
      <c r="J6" s="3" t="str">
        <f t="shared" si="0"/>
        <v>2</v>
      </c>
      <c r="K6" s="3" t="str">
        <f t="shared" si="1"/>
        <v>56</v>
      </c>
      <c r="L6" s="3" t="str">
        <f t="shared" si="2"/>
        <v>59</v>
      </c>
      <c r="M6" s="3" t="str">
        <f t="shared" si="3"/>
        <v>39</v>
      </c>
      <c r="N6" s="3" t="str">
        <f t="shared" si="4"/>
        <v>47</v>
      </c>
      <c r="O6" s="3" t="str">
        <f t="shared" si="5"/>
        <v>31</v>
      </c>
      <c r="P6" s="1">
        <f t="shared" si="6"/>
        <v>-2.9497222222222224</v>
      </c>
      <c r="Q6" s="1">
        <f t="shared" si="7"/>
        <v>-39.791944444444447</v>
      </c>
      <c r="R6" s="14" t="s">
        <v>32</v>
      </c>
    </row>
    <row r="7" spans="1:18" ht="16.5" thickBot="1" x14ac:dyDescent="0.3">
      <c r="A7" s="3">
        <v>6</v>
      </c>
      <c r="B7" s="3" t="s">
        <v>20</v>
      </c>
      <c r="C7" s="3" t="s">
        <v>15</v>
      </c>
      <c r="D7" s="3" t="s">
        <v>16</v>
      </c>
      <c r="E7" s="11" t="s">
        <v>34</v>
      </c>
      <c r="F7" s="1" t="s">
        <v>35</v>
      </c>
      <c r="G7" s="8" t="s">
        <v>95</v>
      </c>
      <c r="H7" s="3" t="s">
        <v>12</v>
      </c>
      <c r="I7" s="19" t="s">
        <v>36</v>
      </c>
      <c r="J7" s="3" t="str">
        <f t="shared" si="0"/>
        <v>3</v>
      </c>
      <c r="K7" s="3" t="str">
        <f t="shared" si="1"/>
        <v>14</v>
      </c>
      <c r="L7" s="3" t="str">
        <f t="shared" si="2"/>
        <v>30</v>
      </c>
      <c r="M7" s="3" t="str">
        <f t="shared" si="3"/>
        <v>39</v>
      </c>
      <c r="N7" s="3" t="str">
        <f t="shared" si="4"/>
        <v>13</v>
      </c>
      <c r="O7" s="3" t="str">
        <f t="shared" si="5"/>
        <v>30</v>
      </c>
      <c r="P7" s="1">
        <f t="shared" si="6"/>
        <v>-3.2416666666666667</v>
      </c>
      <c r="Q7" s="1">
        <f t="shared" si="7"/>
        <v>-39.225000000000001</v>
      </c>
      <c r="R7" s="14" t="s">
        <v>33</v>
      </c>
    </row>
    <row r="8" spans="1:18" ht="15.75" x14ac:dyDescent="0.25">
      <c r="A8" s="3">
        <v>7</v>
      </c>
      <c r="B8" s="3" t="s">
        <v>20</v>
      </c>
      <c r="C8" s="3" t="s">
        <v>39</v>
      </c>
      <c r="D8" s="3" t="s">
        <v>16</v>
      </c>
      <c r="E8" s="8" t="s">
        <v>38</v>
      </c>
      <c r="F8" s="8" t="s">
        <v>40</v>
      </c>
      <c r="G8" s="8" t="s">
        <v>56</v>
      </c>
      <c r="H8" s="3" t="s">
        <v>12</v>
      </c>
      <c r="I8" s="20" t="s">
        <v>43</v>
      </c>
      <c r="J8" s="3" t="str">
        <f t="shared" ref="J8:J22" si="8">MID(E8,1,FIND("°",E8,1)-1)</f>
        <v>04</v>
      </c>
      <c r="K8" s="3" t="str">
        <f t="shared" ref="K8:K22" si="9">MID(E8,FIND("°",E8,1)+1,(FIND("′",E8,1)-FIND("°",E8,1))-1)</f>
        <v>26</v>
      </c>
      <c r="L8" s="3" t="e">
        <f>MID(E8,FIND("′",E8,1)+1,(FIND("″",E8,1)-FIND("′",E8,1))-1)</f>
        <v>#VALUE!</v>
      </c>
      <c r="M8" s="3" t="str">
        <f t="shared" ref="M8:M22" si="10">MID(F8,1,FIND("°",F8,1)-1)</f>
        <v>51</v>
      </c>
      <c r="N8" s="3" t="str">
        <f t="shared" ref="N8:N22" si="11">MID(F8,FIND("°",F8,1)+1,(FIND("′",F8,1)-FIND("°",F8,1))-1)</f>
        <v>32</v>
      </c>
      <c r="O8" s="3" t="e">
        <f t="shared" ref="O8:O22" si="12">MID(F8,FIND("′",F8,1)+1,(FIND("″",F8,1)-FIND("′",F8,1))-1)</f>
        <v>#VALUE!</v>
      </c>
      <c r="P8" s="1" t="e">
        <f t="shared" ref="P8:P23" si="13">((((L8/60)+K8)/60)+J8)*IF(C8="S",-1, 1)</f>
        <v>#VALUE!</v>
      </c>
      <c r="Q8" s="1" t="e">
        <f t="shared" ref="Q8:Q23" si="14">((((O8/60)+N8)/60)+M8)*IF(D8="W",-1, 1)</f>
        <v>#VALUE!</v>
      </c>
      <c r="R8" s="15" t="s">
        <v>52</v>
      </c>
    </row>
    <row r="9" spans="1:18" ht="15.75" x14ac:dyDescent="0.25">
      <c r="A9" s="3">
        <v>8</v>
      </c>
      <c r="B9" s="3" t="s">
        <v>20</v>
      </c>
      <c r="C9" s="3" t="s">
        <v>15</v>
      </c>
      <c r="D9" s="3" t="s">
        <v>16</v>
      </c>
      <c r="E9" s="10" t="s">
        <v>41</v>
      </c>
      <c r="F9" s="10" t="s">
        <v>42</v>
      </c>
      <c r="G9" s="8" t="s">
        <v>56</v>
      </c>
      <c r="H9" s="3" t="s">
        <v>12</v>
      </c>
      <c r="I9" s="20" t="s">
        <v>37</v>
      </c>
      <c r="J9" s="3" t="str">
        <f t="shared" si="8"/>
        <v>29</v>
      </c>
      <c r="K9" s="3" t="str">
        <f t="shared" si="9"/>
        <v>46</v>
      </c>
      <c r="L9" s="3" t="e">
        <f t="shared" ref="L9:L22" si="15">MID(E9,FIND("′",E9,1)+1,(FIND("″",E9,1)-FIND("′",E9,1))-1)</f>
        <v>#VALUE!</v>
      </c>
      <c r="M9" s="3" t="str">
        <f t="shared" si="10"/>
        <v>53</v>
      </c>
      <c r="N9" s="3" t="str">
        <f t="shared" si="11"/>
        <v>10</v>
      </c>
      <c r="O9" s="3" t="e">
        <f t="shared" si="12"/>
        <v>#VALUE!</v>
      </c>
      <c r="P9" s="1" t="e">
        <f t="shared" si="13"/>
        <v>#VALUE!</v>
      </c>
      <c r="Q9" s="1" t="e">
        <f t="shared" si="14"/>
        <v>#VALUE!</v>
      </c>
      <c r="R9" s="15" t="s">
        <v>52</v>
      </c>
    </row>
    <row r="10" spans="1:18" ht="16.5" x14ac:dyDescent="0.3">
      <c r="A10" s="3">
        <v>9</v>
      </c>
      <c r="B10" s="3" t="s">
        <v>20</v>
      </c>
      <c r="C10" s="3" t="s">
        <v>15</v>
      </c>
      <c r="D10" s="3" t="s">
        <v>16</v>
      </c>
      <c r="E10" s="10" t="s">
        <v>46</v>
      </c>
      <c r="F10" s="10" t="s">
        <v>47</v>
      </c>
      <c r="G10" s="8" t="s">
        <v>56</v>
      </c>
      <c r="H10" s="3" t="s">
        <v>12</v>
      </c>
      <c r="I10" s="12" t="s">
        <v>49</v>
      </c>
      <c r="J10" s="3" t="str">
        <f t="shared" si="8"/>
        <v>21</v>
      </c>
      <c r="K10" s="3" t="e">
        <f t="shared" si="9"/>
        <v>#VALUE!</v>
      </c>
      <c r="L10" s="3" t="e">
        <f t="shared" si="15"/>
        <v>#VALUE!</v>
      </c>
      <c r="M10" s="3" t="str">
        <f t="shared" si="10"/>
        <v>40</v>
      </c>
      <c r="N10" s="3" t="e">
        <f t="shared" si="11"/>
        <v>#VALUE!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5" t="s">
        <v>52</v>
      </c>
    </row>
    <row r="11" spans="1:18" ht="16.5" x14ac:dyDescent="0.3">
      <c r="A11" s="3">
        <v>10</v>
      </c>
      <c r="B11" s="3" t="s">
        <v>20</v>
      </c>
      <c r="C11" s="3" t="s">
        <v>15</v>
      </c>
      <c r="D11" s="3" t="s">
        <v>16</v>
      </c>
      <c r="E11" s="12" t="s">
        <v>50</v>
      </c>
      <c r="F11" s="12" t="s">
        <v>51</v>
      </c>
      <c r="G11" s="8" t="s">
        <v>56</v>
      </c>
      <c r="H11" s="3" t="s">
        <v>12</v>
      </c>
      <c r="I11" s="12" t="s">
        <v>48</v>
      </c>
      <c r="J11" s="3" t="str">
        <f t="shared" si="8"/>
        <v>2</v>
      </c>
      <c r="K11" s="3" t="e">
        <f t="shared" si="9"/>
        <v>#VALUE!</v>
      </c>
      <c r="L11" s="3" t="e">
        <f t="shared" si="15"/>
        <v>#VALUE!</v>
      </c>
      <c r="M11" s="3" t="str">
        <f t="shared" si="10"/>
        <v>4</v>
      </c>
      <c r="N11" s="3" t="e">
        <f t="shared" si="11"/>
        <v>#VALUE!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5" t="s">
        <v>52</v>
      </c>
    </row>
    <row r="12" spans="1:18" ht="16.5" x14ac:dyDescent="0.3">
      <c r="A12" s="3">
        <v>11</v>
      </c>
      <c r="B12" s="3" t="s">
        <v>20</v>
      </c>
      <c r="C12" s="3" t="s">
        <v>15</v>
      </c>
      <c r="D12" s="3" t="s">
        <v>16</v>
      </c>
      <c r="E12" s="10" t="s">
        <v>44</v>
      </c>
      <c r="F12" s="10" t="s">
        <v>45</v>
      </c>
      <c r="G12" s="8" t="s">
        <v>56</v>
      </c>
      <c r="H12" s="3" t="s">
        <v>12</v>
      </c>
      <c r="I12" s="12" t="s">
        <v>49</v>
      </c>
      <c r="J12" s="3" t="str">
        <f t="shared" si="8"/>
        <v>9</v>
      </c>
      <c r="K12" s="3" t="e">
        <f t="shared" si="9"/>
        <v>#VALUE!</v>
      </c>
      <c r="L12" s="3" t="e">
        <f t="shared" si="15"/>
        <v>#VALUE!</v>
      </c>
      <c r="M12" s="3" t="str">
        <f t="shared" si="10"/>
        <v>35</v>
      </c>
      <c r="N12" s="3" t="e">
        <f t="shared" si="11"/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5" t="s">
        <v>52</v>
      </c>
    </row>
    <row r="13" spans="1:18" ht="16.5" x14ac:dyDescent="0.3">
      <c r="A13" s="3">
        <v>12</v>
      </c>
      <c r="B13" s="3" t="s">
        <v>20</v>
      </c>
      <c r="C13" s="3" t="s">
        <v>15</v>
      </c>
      <c r="D13" s="3" t="s">
        <v>16</v>
      </c>
      <c r="E13" s="12" t="s">
        <v>54</v>
      </c>
      <c r="F13" s="1" t="s">
        <v>57</v>
      </c>
      <c r="G13" s="8" t="s">
        <v>56</v>
      </c>
      <c r="H13" s="3" t="s">
        <v>12</v>
      </c>
      <c r="I13" s="12" t="s">
        <v>53</v>
      </c>
      <c r="J13" s="3" t="str">
        <f t="shared" si="8"/>
        <v>34</v>
      </c>
      <c r="K13" s="3" t="e">
        <f t="shared" si="9"/>
        <v>#VALUE!</v>
      </c>
      <c r="L13" s="3" t="e">
        <f t="shared" si="15"/>
        <v>#VALUE!</v>
      </c>
      <c r="M13" s="3" t="e">
        <f t="shared" si="10"/>
        <v>#VALUE!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5" t="s">
        <v>52</v>
      </c>
    </row>
    <row r="14" spans="1:18" ht="16.5" x14ac:dyDescent="0.3">
      <c r="A14" s="3">
        <v>13</v>
      </c>
      <c r="B14" s="3" t="s">
        <v>20</v>
      </c>
      <c r="C14" s="3" t="s">
        <v>15</v>
      </c>
      <c r="D14" s="3" t="s">
        <v>16</v>
      </c>
      <c r="E14" s="12" t="s">
        <v>55</v>
      </c>
      <c r="F14" s="1" t="s">
        <v>57</v>
      </c>
      <c r="G14" s="8" t="s">
        <v>56</v>
      </c>
      <c r="H14" s="3" t="s">
        <v>12</v>
      </c>
      <c r="I14" s="12" t="s">
        <v>53</v>
      </c>
      <c r="J14" s="3" t="str">
        <f t="shared" si="8"/>
        <v>22</v>
      </c>
      <c r="K14" s="3" t="e">
        <f t="shared" si="9"/>
        <v>#VALUE!</v>
      </c>
      <c r="L14" s="3" t="e">
        <f>MID(E14,FIND("′",E14,1)+1,(FIND("″",E14,1)-FIND("′",E14,1))-1)</f>
        <v>#VALUE!</v>
      </c>
      <c r="M14" s="3" t="e">
        <f t="shared" si="10"/>
        <v>#VALUE!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5" t="s">
        <v>52</v>
      </c>
    </row>
    <row r="15" spans="1:18" ht="15.75" x14ac:dyDescent="0.25">
      <c r="A15" s="3">
        <v>14</v>
      </c>
      <c r="B15" s="3" t="s">
        <v>24</v>
      </c>
      <c r="C15" s="3" t="s">
        <v>39</v>
      </c>
      <c r="D15" s="3" t="s">
        <v>16</v>
      </c>
      <c r="E15" s="8" t="s">
        <v>38</v>
      </c>
      <c r="F15" s="8" t="s">
        <v>40</v>
      </c>
      <c r="G15" s="8" t="s">
        <v>56</v>
      </c>
      <c r="H15" s="3" t="s">
        <v>12</v>
      </c>
      <c r="I15" s="20" t="s">
        <v>43</v>
      </c>
      <c r="J15" s="3" t="str">
        <f t="shared" si="8"/>
        <v>04</v>
      </c>
      <c r="K15" s="3" t="str">
        <f t="shared" si="9"/>
        <v>26</v>
      </c>
      <c r="L15" s="3" t="e">
        <f t="shared" si="15"/>
        <v>#VALUE!</v>
      </c>
      <c r="M15" s="3" t="str">
        <f t="shared" si="10"/>
        <v>51</v>
      </c>
      <c r="N15" s="3" t="str">
        <f t="shared" si="11"/>
        <v>32</v>
      </c>
      <c r="O15" s="3" t="e">
        <f t="shared" si="12"/>
        <v>#VALUE!</v>
      </c>
      <c r="P15" s="1" t="e">
        <f t="shared" si="13"/>
        <v>#VALUE!</v>
      </c>
      <c r="Q15" s="1" t="e">
        <f t="shared" si="14"/>
        <v>#VALUE!</v>
      </c>
      <c r="R15" s="15" t="s">
        <v>52</v>
      </c>
    </row>
    <row r="16" spans="1:18" ht="15.75" x14ac:dyDescent="0.25">
      <c r="A16" s="3">
        <v>15</v>
      </c>
      <c r="B16" s="3" t="s">
        <v>24</v>
      </c>
      <c r="C16" s="3" t="s">
        <v>15</v>
      </c>
      <c r="D16" s="3" t="s">
        <v>16</v>
      </c>
      <c r="E16" s="10" t="s">
        <v>41</v>
      </c>
      <c r="F16" s="10" t="s">
        <v>42</v>
      </c>
      <c r="G16" s="8" t="s">
        <v>56</v>
      </c>
      <c r="H16" s="3" t="s">
        <v>12</v>
      </c>
      <c r="I16" s="20" t="s">
        <v>37</v>
      </c>
      <c r="J16" s="3" t="str">
        <f>MID(E16,1,FIND("°",E16,1)-1)</f>
        <v>29</v>
      </c>
      <c r="K16" s="3" t="str">
        <f t="shared" si="9"/>
        <v>46</v>
      </c>
      <c r="L16" s="3" t="e">
        <f t="shared" si="15"/>
        <v>#VALUE!</v>
      </c>
      <c r="M16" s="3" t="str">
        <f t="shared" si="10"/>
        <v>53</v>
      </c>
      <c r="N16" s="3" t="str">
        <f t="shared" si="11"/>
        <v>10</v>
      </c>
      <c r="O16" s="3" t="e">
        <f t="shared" si="12"/>
        <v>#VALUE!</v>
      </c>
      <c r="P16" s="1" t="e">
        <f t="shared" si="13"/>
        <v>#VALUE!</v>
      </c>
      <c r="Q16" s="1" t="e">
        <f t="shared" si="14"/>
        <v>#VALUE!</v>
      </c>
      <c r="R16" s="15" t="s">
        <v>52</v>
      </c>
    </row>
    <row r="17" spans="1:18" ht="16.5" x14ac:dyDescent="0.3">
      <c r="A17" s="3">
        <v>16</v>
      </c>
      <c r="B17" s="3" t="s">
        <v>24</v>
      </c>
      <c r="C17" s="3" t="s">
        <v>15</v>
      </c>
      <c r="D17" s="3" t="s">
        <v>16</v>
      </c>
      <c r="E17" s="10" t="s">
        <v>46</v>
      </c>
      <c r="F17" s="10" t="s">
        <v>47</v>
      </c>
      <c r="G17" s="8" t="s">
        <v>56</v>
      </c>
      <c r="H17" s="3" t="s">
        <v>12</v>
      </c>
      <c r="I17" s="12" t="s">
        <v>49</v>
      </c>
      <c r="J17" s="3" t="str">
        <f t="shared" si="8"/>
        <v>21</v>
      </c>
      <c r="K17" s="3" t="e">
        <f t="shared" si="9"/>
        <v>#VALUE!</v>
      </c>
      <c r="L17" s="3" t="e">
        <f t="shared" si="15"/>
        <v>#VALUE!</v>
      </c>
      <c r="M17" s="3" t="str">
        <f>MID(F17,1,FIND("°",F17,1)-1)</f>
        <v>40</v>
      </c>
      <c r="N17" s="3" t="e">
        <f>MID(F17,FIND("°",F17,1)+1,(FIND("′",F17,1)-FIND("°",F17,1))-1)</f>
        <v>#VALUE!</v>
      </c>
      <c r="O17" s="3" t="e">
        <f t="shared" si="12"/>
        <v>#VALUE!</v>
      </c>
      <c r="P17" s="1" t="e">
        <f t="shared" si="13"/>
        <v>#VALUE!</v>
      </c>
      <c r="Q17" s="1" t="e">
        <f t="shared" si="14"/>
        <v>#VALUE!</v>
      </c>
      <c r="R17" s="15" t="s">
        <v>52</v>
      </c>
    </row>
    <row r="18" spans="1:18" ht="16.5" x14ac:dyDescent="0.3">
      <c r="A18" s="3">
        <v>17</v>
      </c>
      <c r="B18" s="3" t="s">
        <v>24</v>
      </c>
      <c r="C18" s="3" t="s">
        <v>15</v>
      </c>
      <c r="D18" s="3" t="s">
        <v>16</v>
      </c>
      <c r="E18" s="12" t="s">
        <v>50</v>
      </c>
      <c r="F18" s="12" t="s">
        <v>51</v>
      </c>
      <c r="G18" s="8" t="s">
        <v>56</v>
      </c>
      <c r="H18" s="3" t="s">
        <v>12</v>
      </c>
      <c r="I18" s="12" t="s">
        <v>48</v>
      </c>
      <c r="J18" s="3" t="str">
        <f t="shared" si="8"/>
        <v>2</v>
      </c>
      <c r="K18" s="3" t="e">
        <f>MID(E18,FIND("°",E18,1)+1,(FIND("′",E18,1)-FIND("°",E18,1))-1)</f>
        <v>#VALUE!</v>
      </c>
      <c r="L18" s="3" t="e">
        <f t="shared" si="15"/>
        <v>#VALUE!</v>
      </c>
      <c r="M18" s="3" t="str">
        <f t="shared" si="10"/>
        <v>4</v>
      </c>
      <c r="N18" s="3" t="e">
        <f t="shared" si="11"/>
        <v>#VALUE!</v>
      </c>
      <c r="O18" s="3" t="e">
        <f t="shared" si="12"/>
        <v>#VALUE!</v>
      </c>
      <c r="P18" s="1" t="e">
        <f t="shared" si="13"/>
        <v>#VALUE!</v>
      </c>
      <c r="Q18" s="1" t="e">
        <f t="shared" si="14"/>
        <v>#VALUE!</v>
      </c>
      <c r="R18" s="15" t="s">
        <v>52</v>
      </c>
    </row>
    <row r="19" spans="1:18" ht="16.5" x14ac:dyDescent="0.3">
      <c r="A19" s="3">
        <v>18</v>
      </c>
      <c r="B19" s="3" t="s">
        <v>24</v>
      </c>
      <c r="C19" s="3" t="s">
        <v>15</v>
      </c>
      <c r="D19" s="3" t="s">
        <v>16</v>
      </c>
      <c r="E19" s="10" t="s">
        <v>44</v>
      </c>
      <c r="F19" s="10" t="s">
        <v>45</v>
      </c>
      <c r="G19" s="8" t="s">
        <v>56</v>
      </c>
      <c r="H19" s="3" t="s">
        <v>12</v>
      </c>
      <c r="I19" s="12" t="s">
        <v>49</v>
      </c>
      <c r="J19" s="3" t="str">
        <f t="shared" si="8"/>
        <v>9</v>
      </c>
      <c r="K19" s="3" t="e">
        <f t="shared" si="9"/>
        <v>#VALUE!</v>
      </c>
      <c r="L19" s="3" t="e">
        <f t="shared" si="15"/>
        <v>#VALUE!</v>
      </c>
      <c r="M19" s="3" t="str">
        <f t="shared" si="10"/>
        <v>35</v>
      </c>
      <c r="N19" s="3" t="e">
        <f t="shared" si="11"/>
        <v>#VALUE!</v>
      </c>
      <c r="O19" s="3" t="e">
        <f t="shared" si="12"/>
        <v>#VALUE!</v>
      </c>
      <c r="P19" s="1" t="e">
        <f t="shared" si="13"/>
        <v>#VALUE!</v>
      </c>
      <c r="Q19" s="1" t="e">
        <f t="shared" si="14"/>
        <v>#VALUE!</v>
      </c>
      <c r="R19" s="15" t="s">
        <v>52</v>
      </c>
    </row>
    <row r="20" spans="1:18" ht="16.5" x14ac:dyDescent="0.3">
      <c r="A20" s="3">
        <v>19</v>
      </c>
      <c r="B20" s="3" t="s">
        <v>24</v>
      </c>
      <c r="C20" s="3" t="s">
        <v>15</v>
      </c>
      <c r="D20" s="3" t="s">
        <v>16</v>
      </c>
      <c r="E20" s="12" t="s">
        <v>54</v>
      </c>
      <c r="F20" s="1" t="s">
        <v>57</v>
      </c>
      <c r="G20" s="8" t="s">
        <v>56</v>
      </c>
      <c r="H20" s="3" t="s">
        <v>12</v>
      </c>
      <c r="I20" s="12" t="s">
        <v>53</v>
      </c>
      <c r="J20" s="3" t="str">
        <f t="shared" si="8"/>
        <v>34</v>
      </c>
      <c r="K20" s="3" t="e">
        <f t="shared" si="9"/>
        <v>#VALUE!</v>
      </c>
      <c r="L20" s="3" t="e">
        <f t="shared" si="15"/>
        <v>#VALUE!</v>
      </c>
      <c r="M20" s="3" t="e">
        <f t="shared" si="10"/>
        <v>#VALUE!</v>
      </c>
      <c r="N20" s="3" t="e">
        <f t="shared" si="11"/>
        <v>#VALUE!</v>
      </c>
      <c r="O20" s="3" t="e">
        <f t="shared" si="12"/>
        <v>#VALUE!</v>
      </c>
      <c r="P20" s="1" t="e">
        <f t="shared" si="13"/>
        <v>#VALUE!</v>
      </c>
      <c r="Q20" s="1" t="e">
        <f t="shared" si="14"/>
        <v>#VALUE!</v>
      </c>
      <c r="R20" s="15" t="s">
        <v>52</v>
      </c>
    </row>
    <row r="21" spans="1:18" ht="16.5" x14ac:dyDescent="0.3">
      <c r="A21" s="3">
        <v>20</v>
      </c>
      <c r="B21" s="3" t="s">
        <v>24</v>
      </c>
      <c r="C21" s="3" t="s">
        <v>15</v>
      </c>
      <c r="D21" s="3" t="s">
        <v>16</v>
      </c>
      <c r="E21" s="12" t="s">
        <v>55</v>
      </c>
      <c r="F21" s="1" t="s">
        <v>57</v>
      </c>
      <c r="G21" s="8" t="s">
        <v>56</v>
      </c>
      <c r="H21" s="3" t="s">
        <v>12</v>
      </c>
      <c r="I21" s="12" t="s">
        <v>53</v>
      </c>
      <c r="J21" s="3" t="str">
        <f t="shared" si="8"/>
        <v>22</v>
      </c>
      <c r="K21" s="3" t="e">
        <f t="shared" si="9"/>
        <v>#VALUE!</v>
      </c>
      <c r="L21" s="3" t="e">
        <f t="shared" si="15"/>
        <v>#VALUE!</v>
      </c>
      <c r="M21" s="3" t="e">
        <f t="shared" si="10"/>
        <v>#VALUE!</v>
      </c>
      <c r="N21" s="3" t="e">
        <f t="shared" si="11"/>
        <v>#VALUE!</v>
      </c>
      <c r="O21" s="3" t="e">
        <f t="shared" si="12"/>
        <v>#VALUE!</v>
      </c>
      <c r="P21" s="1" t="e">
        <f t="shared" si="13"/>
        <v>#VALUE!</v>
      </c>
      <c r="Q21" s="1" t="e">
        <f t="shared" si="14"/>
        <v>#VALUE!</v>
      </c>
      <c r="R21" s="15" t="s">
        <v>52</v>
      </c>
    </row>
    <row r="22" spans="1:18" ht="15.75" x14ac:dyDescent="0.25">
      <c r="A22" s="3">
        <v>21</v>
      </c>
      <c r="B22" s="3" t="s">
        <v>59</v>
      </c>
      <c r="C22" s="3" t="s">
        <v>15</v>
      </c>
      <c r="D22" s="3" t="s">
        <v>16</v>
      </c>
      <c r="E22" s="8" t="s">
        <v>60</v>
      </c>
      <c r="F22" s="8" t="s">
        <v>61</v>
      </c>
      <c r="G22" s="8" t="s">
        <v>62</v>
      </c>
      <c r="H22" s="3" t="s">
        <v>12</v>
      </c>
      <c r="I22" s="3" t="s">
        <v>58</v>
      </c>
      <c r="J22" s="3" t="str">
        <f t="shared" si="8"/>
        <v>7</v>
      </c>
      <c r="K22" s="3" t="str">
        <f t="shared" si="9"/>
        <v>54</v>
      </c>
      <c r="L22" s="3" t="str">
        <f t="shared" si="15"/>
        <v>15,6</v>
      </c>
      <c r="M22" s="3" t="str">
        <f t="shared" si="10"/>
        <v>34</v>
      </c>
      <c r="N22" s="3" t="str">
        <f t="shared" si="11"/>
        <v>49</v>
      </c>
      <c r="O22" s="3" t="str">
        <f t="shared" si="12"/>
        <v>14,3</v>
      </c>
      <c r="P22" s="1">
        <f t="shared" si="13"/>
        <v>-7.9043333333333337</v>
      </c>
      <c r="Q22" s="1">
        <f t="shared" si="14"/>
        <v>-34.820638888888887</v>
      </c>
      <c r="R22" s="15" t="s">
        <v>63</v>
      </c>
    </row>
    <row r="23" spans="1:18" ht="15.75" x14ac:dyDescent="0.25">
      <c r="A23" s="3">
        <v>22</v>
      </c>
      <c r="B23" s="3" t="s">
        <v>59</v>
      </c>
      <c r="C23" s="3" t="s">
        <v>15</v>
      </c>
      <c r="D23" s="3" t="s">
        <v>16</v>
      </c>
      <c r="E23" s="1" t="s">
        <v>65</v>
      </c>
      <c r="F23" s="1" t="s">
        <v>66</v>
      </c>
      <c r="G23" s="16" t="s">
        <v>64</v>
      </c>
      <c r="H23" s="3" t="s">
        <v>12</v>
      </c>
      <c r="I23" s="3" t="s">
        <v>67</v>
      </c>
      <c r="J23" s="3" t="str">
        <f t="shared" ref="J23:J30" si="16">MID(E23,1,FIND("°",E23,1)-1)</f>
        <v>5</v>
      </c>
      <c r="K23" s="3" t="e">
        <f>MID(E23,FIND("°",E23,1)+1,(FIND("′",E23,1)-FIND("°",E23,1))-1)</f>
        <v>#VALUE!</v>
      </c>
      <c r="L23" s="3" t="e">
        <f t="shared" ref="L23:L30" si="17">MID(E23,FIND("′",E23,1)+1,(FIND("″",E23,1)-FIND("′",E23,1))-1)</f>
        <v>#VALUE!</v>
      </c>
      <c r="M23" s="3" t="str">
        <f t="shared" ref="M23:M30" si="18">MID(F23,1,FIND("°",F23,1)-1)</f>
        <v>35</v>
      </c>
      <c r="N23" s="3" t="e">
        <f t="shared" ref="N23:N30" si="19">MID(F23,FIND("°",F23,1)+1,(FIND("′",F23,1)-FIND("°",F23,1))-1)</f>
        <v>#VALUE!</v>
      </c>
      <c r="O23" s="3" t="e">
        <f t="shared" ref="O23:O30" si="20">MID(F23,FIND("′",F23,1)+1,(FIND("″",F23,1)-FIND("′",F23,1))-1)</f>
        <v>#VALUE!</v>
      </c>
      <c r="P23" s="1" t="e">
        <f t="shared" si="13"/>
        <v>#VALUE!</v>
      </c>
      <c r="Q23" s="1" t="e">
        <f t="shared" si="14"/>
        <v>#VALUE!</v>
      </c>
      <c r="R23" s="15" t="s">
        <v>68</v>
      </c>
    </row>
    <row r="24" spans="1:18" ht="15.75" x14ac:dyDescent="0.25">
      <c r="A24" s="3">
        <v>23</v>
      </c>
      <c r="B24" s="3" t="s">
        <v>24</v>
      </c>
      <c r="C24" s="3" t="s">
        <v>15</v>
      </c>
      <c r="D24" s="3" t="s">
        <v>16</v>
      </c>
      <c r="E24" s="1" t="s">
        <v>65</v>
      </c>
      <c r="F24" s="1" t="s">
        <v>66</v>
      </c>
      <c r="G24" s="16" t="s">
        <v>64</v>
      </c>
      <c r="H24" s="3" t="s">
        <v>12</v>
      </c>
      <c r="I24" s="3" t="s">
        <v>67</v>
      </c>
      <c r="J24" s="3" t="str">
        <f t="shared" si="16"/>
        <v>5</v>
      </c>
      <c r="K24" s="3" t="e">
        <f t="shared" ref="K24:K30" si="21">MID(E24,FIND("°",E24,1)+1,(FIND("′",E24,1)-FIND("°",E24,1))-1)</f>
        <v>#VALUE!</v>
      </c>
      <c r="L24" s="3" t="e">
        <f t="shared" si="17"/>
        <v>#VALUE!</v>
      </c>
      <c r="M24" s="3" t="str">
        <f t="shared" si="18"/>
        <v>35</v>
      </c>
      <c r="N24" s="3" t="e">
        <f t="shared" si="19"/>
        <v>#VALUE!</v>
      </c>
      <c r="O24" s="3" t="e">
        <f t="shared" si="20"/>
        <v>#VALUE!</v>
      </c>
      <c r="P24" s="1" t="e">
        <f t="shared" ref="P24:P30" si="22">((((L24/60)+K24)/60)+J24)*IF(C24="S",-1, 1)</f>
        <v>#VALUE!</v>
      </c>
      <c r="Q24" s="1" t="e">
        <f t="shared" ref="Q24:Q30" si="23">((((O24/60)+N24)/60)+M24)*IF(D24="W",-1, 1)</f>
        <v>#VALUE!</v>
      </c>
      <c r="R24" s="15" t="s">
        <v>68</v>
      </c>
    </row>
    <row r="25" spans="1:18" ht="15.75" x14ac:dyDescent="0.25">
      <c r="A25" s="3">
        <v>24</v>
      </c>
      <c r="B25" s="3" t="s">
        <v>24</v>
      </c>
      <c r="C25" s="3" t="s">
        <v>15</v>
      </c>
      <c r="D25" s="3" t="s">
        <v>16</v>
      </c>
      <c r="G25" s="3" t="s">
        <v>70</v>
      </c>
      <c r="H25" s="3" t="s">
        <v>85</v>
      </c>
      <c r="I25" s="3" t="s">
        <v>69</v>
      </c>
      <c r="J25" s="3" t="e">
        <f t="shared" si="16"/>
        <v>#VALUE!</v>
      </c>
      <c r="K25" s="3" t="e">
        <f t="shared" si="21"/>
        <v>#VALUE!</v>
      </c>
      <c r="L25" s="3" t="e">
        <f t="shared" si="17"/>
        <v>#VALUE!</v>
      </c>
      <c r="M25" s="3" t="e">
        <f t="shared" si="18"/>
        <v>#VALUE!</v>
      </c>
      <c r="N25" s="3" t="e">
        <f t="shared" si="19"/>
        <v>#VALUE!</v>
      </c>
      <c r="O25" s="3" t="e">
        <f t="shared" si="20"/>
        <v>#VALUE!</v>
      </c>
      <c r="P25" s="1" t="e">
        <f t="shared" si="22"/>
        <v>#VALUE!</v>
      </c>
      <c r="Q25" s="1" t="e">
        <f t="shared" si="23"/>
        <v>#VALUE!</v>
      </c>
      <c r="R25" s="15" t="s">
        <v>71</v>
      </c>
    </row>
    <row r="26" spans="1:18" ht="15.75" x14ac:dyDescent="0.25">
      <c r="A26" s="3">
        <v>25</v>
      </c>
      <c r="B26" s="3" t="s">
        <v>59</v>
      </c>
      <c r="C26" s="3" t="s">
        <v>15</v>
      </c>
      <c r="D26" s="3" t="s">
        <v>16</v>
      </c>
      <c r="G26" s="3" t="s">
        <v>70</v>
      </c>
      <c r="H26" s="3" t="s">
        <v>85</v>
      </c>
      <c r="I26" s="3" t="s">
        <v>69</v>
      </c>
      <c r="J26" s="3" t="e">
        <f t="shared" si="16"/>
        <v>#VALUE!</v>
      </c>
      <c r="K26" s="3" t="e">
        <f t="shared" si="21"/>
        <v>#VALUE!</v>
      </c>
      <c r="L26" s="3" t="e">
        <f t="shared" si="17"/>
        <v>#VALUE!</v>
      </c>
      <c r="M26" s="3" t="e">
        <f t="shared" si="18"/>
        <v>#VALUE!</v>
      </c>
      <c r="N26" s="3" t="e">
        <f t="shared" si="19"/>
        <v>#VALUE!</v>
      </c>
      <c r="O26" s="3" t="e">
        <f t="shared" si="20"/>
        <v>#VALUE!</v>
      </c>
      <c r="P26" s="1" t="e">
        <f t="shared" si="22"/>
        <v>#VALUE!</v>
      </c>
      <c r="Q26" s="1" t="e">
        <f t="shared" si="23"/>
        <v>#VALUE!</v>
      </c>
      <c r="R26" s="15" t="s">
        <v>72</v>
      </c>
    </row>
    <row r="27" spans="1:18" ht="15.75" x14ac:dyDescent="0.25">
      <c r="A27" s="3">
        <v>26</v>
      </c>
      <c r="B27" s="3" t="s">
        <v>73</v>
      </c>
      <c r="C27" s="3" t="s">
        <v>15</v>
      </c>
      <c r="D27" s="3" t="s">
        <v>16</v>
      </c>
      <c r="E27" s="8" t="s">
        <v>76</v>
      </c>
      <c r="F27" s="8" t="s">
        <v>77</v>
      </c>
      <c r="G27" t="s">
        <v>84</v>
      </c>
      <c r="H27" s="3" t="s">
        <v>12</v>
      </c>
      <c r="I27" s="3" t="s">
        <v>74</v>
      </c>
      <c r="J27" s="3" t="str">
        <f t="shared" si="16"/>
        <v>08</v>
      </c>
      <c r="K27" s="3" t="str">
        <f>MID(E27,FIND("°",E27,1)+1,(FIND("′",E27,1)-FIND("°",E27,1))-1)</f>
        <v>45</v>
      </c>
      <c r="L27" s="3" t="str">
        <f t="shared" si="17"/>
        <v>31,2</v>
      </c>
      <c r="M27" s="3" t="str">
        <f t="shared" si="18"/>
        <v>35</v>
      </c>
      <c r="N27" s="3" t="str">
        <f t="shared" si="19"/>
        <v>05</v>
      </c>
      <c r="O27" s="3" t="str">
        <f t="shared" si="20"/>
        <v>07,7</v>
      </c>
      <c r="P27" s="1">
        <f t="shared" si="22"/>
        <v>-8.7586666666666666</v>
      </c>
      <c r="Q27" s="1">
        <f t="shared" si="23"/>
        <v>-35.085472222222222</v>
      </c>
      <c r="R27" s="15" t="s">
        <v>86</v>
      </c>
    </row>
    <row r="28" spans="1:18" ht="15.75" x14ac:dyDescent="0.25">
      <c r="A28" s="3">
        <v>27</v>
      </c>
      <c r="B28" s="3" t="s">
        <v>73</v>
      </c>
      <c r="C28" s="3" t="s">
        <v>15</v>
      </c>
      <c r="D28" s="3" t="s">
        <v>16</v>
      </c>
      <c r="E28" s="8" t="s">
        <v>79</v>
      </c>
      <c r="F28" s="17" t="s">
        <v>78</v>
      </c>
      <c r="G28" t="s">
        <v>84</v>
      </c>
      <c r="H28" s="3" t="s">
        <v>12</v>
      </c>
      <c r="I28" s="3" t="s">
        <v>74</v>
      </c>
      <c r="J28" s="3" t="str">
        <f t="shared" si="16"/>
        <v>08</v>
      </c>
      <c r="K28" s="3" t="str">
        <f t="shared" si="21"/>
        <v>46</v>
      </c>
      <c r="L28" s="3" t="str">
        <f t="shared" si="17"/>
        <v>57,2</v>
      </c>
      <c r="M28" s="3" t="str">
        <f t="shared" si="18"/>
        <v>35</v>
      </c>
      <c r="N28" s="3" t="str">
        <f t="shared" si="19"/>
        <v>05</v>
      </c>
      <c r="O28" s="3" t="str">
        <f t="shared" si="20"/>
        <v>48,9</v>
      </c>
      <c r="P28" s="1">
        <f t="shared" si="22"/>
        <v>-8.7825555555555557</v>
      </c>
      <c r="Q28" s="1">
        <f t="shared" si="23"/>
        <v>-35.096916666666665</v>
      </c>
      <c r="R28" s="15" t="s">
        <v>86</v>
      </c>
    </row>
    <row r="29" spans="1:18" ht="15.75" x14ac:dyDescent="0.25">
      <c r="A29" s="3">
        <v>28</v>
      </c>
      <c r="B29" s="3" t="s">
        <v>73</v>
      </c>
      <c r="C29" s="3" t="s">
        <v>15</v>
      </c>
      <c r="D29" s="3" t="s">
        <v>16</v>
      </c>
      <c r="E29" s="8" t="s">
        <v>80</v>
      </c>
      <c r="F29" s="1" t="s">
        <v>81</v>
      </c>
      <c r="G29" t="s">
        <v>84</v>
      </c>
      <c r="H29" s="3" t="s">
        <v>12</v>
      </c>
      <c r="I29" s="3" t="s">
        <v>75</v>
      </c>
      <c r="J29" s="3" t="str">
        <f t="shared" si="16"/>
        <v>08</v>
      </c>
      <c r="K29" s="3" t="str">
        <f t="shared" si="21"/>
        <v>45</v>
      </c>
      <c r="L29" s="3" t="str">
        <f t="shared" si="17"/>
        <v>35,0</v>
      </c>
      <c r="M29" s="3" t="str">
        <f t="shared" si="18"/>
        <v xml:space="preserve"> 35</v>
      </c>
      <c r="N29" s="3" t="str">
        <f t="shared" si="19"/>
        <v>04</v>
      </c>
      <c r="O29" s="3" t="str">
        <f t="shared" si="20"/>
        <v>57,5</v>
      </c>
      <c r="P29" s="1">
        <f t="shared" si="22"/>
        <v>-8.7597222222222229</v>
      </c>
      <c r="Q29" s="1">
        <f t="shared" si="23"/>
        <v>-35.082638888888887</v>
      </c>
      <c r="R29" s="15" t="s">
        <v>86</v>
      </c>
    </row>
    <row r="30" spans="1:18" ht="15.75" x14ac:dyDescent="0.25">
      <c r="A30" s="3">
        <v>29</v>
      </c>
      <c r="B30" s="3" t="s">
        <v>73</v>
      </c>
      <c r="C30" s="3" t="s">
        <v>15</v>
      </c>
      <c r="D30" s="3" t="s">
        <v>16</v>
      </c>
      <c r="E30" s="8" t="s">
        <v>82</v>
      </c>
      <c r="F30" s="1" t="s">
        <v>83</v>
      </c>
      <c r="G30" t="s">
        <v>84</v>
      </c>
      <c r="H30" s="3" t="s">
        <v>12</v>
      </c>
      <c r="I30" s="3" t="s">
        <v>75</v>
      </c>
      <c r="J30" s="3" t="str">
        <f t="shared" si="16"/>
        <v>08</v>
      </c>
      <c r="K30" s="3" t="str">
        <f t="shared" si="21"/>
        <v>47</v>
      </c>
      <c r="L30" s="3" t="str">
        <f t="shared" si="17"/>
        <v>01,2</v>
      </c>
      <c r="M30" s="3" t="str">
        <f t="shared" si="18"/>
        <v>35</v>
      </c>
      <c r="N30" s="3" t="str">
        <f t="shared" si="19"/>
        <v>05</v>
      </c>
      <c r="O30" s="3" t="str">
        <f t="shared" si="20"/>
        <v>42,0</v>
      </c>
      <c r="P30" s="1">
        <f t="shared" si="22"/>
        <v>-8.783666666666667</v>
      </c>
      <c r="Q30" s="1">
        <f t="shared" si="23"/>
        <v>-35.094999999999999</v>
      </c>
      <c r="R30" s="15" t="s">
        <v>86</v>
      </c>
    </row>
    <row r="31" spans="1:18" ht="15.75" x14ac:dyDescent="0.25">
      <c r="A31" s="3">
        <v>30</v>
      </c>
      <c r="B31" s="3" t="s">
        <v>20</v>
      </c>
      <c r="C31" s="3" t="s">
        <v>15</v>
      </c>
      <c r="D31" s="3" t="s">
        <v>16</v>
      </c>
      <c r="E31" t="s">
        <v>87</v>
      </c>
      <c r="F31" t="s">
        <v>88</v>
      </c>
      <c r="G31" s="8" t="s">
        <v>95</v>
      </c>
      <c r="H31" s="3" t="s">
        <v>12</v>
      </c>
      <c r="I31" s="3" t="s">
        <v>89</v>
      </c>
      <c r="J31" s="3" t="str">
        <f t="shared" ref="J31:J94" si="24">MID(E31,1,FIND("°",E31,1)-1)</f>
        <v>2</v>
      </c>
      <c r="K31" s="3" t="str">
        <f t="shared" ref="K31:K94" si="25">MID(E31,FIND("°",E31,1)+1,(FIND("′",E31,1)-FIND("°",E31,1))-1)</f>
        <v>46</v>
      </c>
      <c r="L31" s="3" t="e">
        <f t="shared" ref="L31:L94" si="26">MID(E31,FIND("′",E31,1)+1,(FIND("″",E31,1)-FIND("′",E31,1))-1)</f>
        <v>#VALUE!</v>
      </c>
      <c r="M31" s="3" t="str">
        <f t="shared" ref="M31:M94" si="27">MID(F31,1,FIND("°",F31,1)-1)</f>
        <v>40</v>
      </c>
      <c r="N31" s="3" t="str">
        <f t="shared" ref="N31:N94" si="28">MID(F31,FIND("°",F31,1)+1,(FIND("′",F31,1)-FIND("°",F31,1))-1)</f>
        <v>05</v>
      </c>
      <c r="O31" s="3" t="e">
        <f t="shared" ref="O31:O94" si="29">MID(F31,FIND("′",F31,1)+1,(FIND("″",F31,1)-FIND("′",F31,1))-1)</f>
        <v>#VALUE!</v>
      </c>
      <c r="P31" s="1" t="e">
        <f t="shared" ref="P31:P94" si="30">((((L31/60)+K31)/60)+J31)*IF(C31="S",-1, 1)</f>
        <v>#VALUE!</v>
      </c>
      <c r="Q31" s="1" t="e">
        <f t="shared" ref="Q31:Q94" si="31">((((O31/60)+N31)/60)+M31)*IF(D31="W",-1, 1)</f>
        <v>#VALUE!</v>
      </c>
      <c r="R31" s="14" t="s">
        <v>33</v>
      </c>
    </row>
    <row r="32" spans="1:18" ht="15.75" x14ac:dyDescent="0.25">
      <c r="A32" s="3">
        <v>31</v>
      </c>
      <c r="B32" s="3" t="s">
        <v>20</v>
      </c>
      <c r="C32" s="3" t="s">
        <v>15</v>
      </c>
      <c r="D32" s="3" t="s">
        <v>16</v>
      </c>
      <c r="E32" t="s">
        <v>91</v>
      </c>
      <c r="F32" t="s">
        <v>92</v>
      </c>
      <c r="G32" s="8" t="s">
        <v>95</v>
      </c>
      <c r="H32" s="3" t="s">
        <v>12</v>
      </c>
      <c r="I32" s="3" t="s">
        <v>90</v>
      </c>
      <c r="J32" s="3" t="str">
        <f t="shared" si="24"/>
        <v>21</v>
      </c>
      <c r="K32" s="3" t="str">
        <f t="shared" si="25"/>
        <v>34</v>
      </c>
      <c r="L32" s="3" t="e">
        <f t="shared" si="26"/>
        <v>#VALUE!</v>
      </c>
      <c r="M32" s="3" t="str">
        <f t="shared" si="27"/>
        <v>83</v>
      </c>
      <c r="N32" s="3" t="str">
        <f t="shared" si="28"/>
        <v>31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4" t="s">
        <v>33</v>
      </c>
    </row>
    <row r="33" spans="1:18" ht="15.75" x14ac:dyDescent="0.25">
      <c r="A33" s="3">
        <v>32</v>
      </c>
      <c r="B33" s="3" t="s">
        <v>24</v>
      </c>
      <c r="C33" s="3" t="s">
        <v>15</v>
      </c>
      <c r="D33" s="3" t="s">
        <v>16</v>
      </c>
      <c r="E33" t="s">
        <v>93</v>
      </c>
      <c r="F33" t="s">
        <v>94</v>
      </c>
      <c r="G33" s="8" t="s">
        <v>95</v>
      </c>
      <c r="H33" s="3" t="s">
        <v>12</v>
      </c>
      <c r="I33" s="5"/>
      <c r="J33" s="3" t="str">
        <f t="shared" si="24"/>
        <v>3</v>
      </c>
      <c r="K33" s="3" t="str">
        <f t="shared" si="25"/>
        <v>32,981</v>
      </c>
      <c r="L33" s="3" t="e">
        <f t="shared" si="26"/>
        <v>#VALUE!</v>
      </c>
      <c r="M33" s="3" t="str">
        <f t="shared" si="27"/>
        <v>38</v>
      </c>
      <c r="N33" s="3" t="str">
        <f t="shared" si="28"/>
        <v>48.669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4" t="s">
        <v>33</v>
      </c>
    </row>
    <row r="34" spans="1:18" x14ac:dyDescent="0.25">
      <c r="A34" s="3">
        <v>33</v>
      </c>
      <c r="C34" s="3" t="s">
        <v>15</v>
      </c>
      <c r="D34" s="3" t="s">
        <v>16</v>
      </c>
      <c r="I34" s="5"/>
      <c r="J34" s="3" t="e">
        <f t="shared" si="24"/>
        <v>#VALUE!</v>
      </c>
      <c r="K34" s="3" t="e">
        <f t="shared" si="25"/>
        <v>#VALUE!</v>
      </c>
      <c r="L34" s="3" t="e">
        <f t="shared" si="26"/>
        <v>#VALUE!</v>
      </c>
      <c r="M34" s="3" t="e">
        <f t="shared" si="27"/>
        <v>#VALUE!</v>
      </c>
      <c r="N34" s="3" t="e">
        <f t="shared" si="28"/>
        <v>#VALUE!</v>
      </c>
      <c r="O34" s="3" t="e">
        <f t="shared" si="29"/>
        <v>#VALUE!</v>
      </c>
      <c r="P34" s="1" t="e">
        <f t="shared" si="30"/>
        <v>#VALUE!</v>
      </c>
      <c r="Q34" s="1" t="e">
        <f t="shared" si="31"/>
        <v>#VALUE!</v>
      </c>
    </row>
    <row r="35" spans="1:18" x14ac:dyDescent="0.25">
      <c r="A35" s="3">
        <v>34</v>
      </c>
      <c r="C35" s="3" t="s">
        <v>15</v>
      </c>
      <c r="D35" s="3" t="s">
        <v>16</v>
      </c>
      <c r="I35" s="5"/>
      <c r="J35" s="3" t="e">
        <f t="shared" si="24"/>
        <v>#VALUE!</v>
      </c>
      <c r="K35" s="3" t="e">
        <f t="shared" si="25"/>
        <v>#VALUE!</v>
      </c>
      <c r="L35" s="3" t="e">
        <f t="shared" si="26"/>
        <v>#VALUE!</v>
      </c>
      <c r="M35" s="3" t="e">
        <f t="shared" si="27"/>
        <v>#VALUE!</v>
      </c>
      <c r="N35" s="3" t="e">
        <f t="shared" si="28"/>
        <v>#VALUE!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</row>
    <row r="36" spans="1:18" x14ac:dyDescent="0.25">
      <c r="A36" s="3">
        <v>35</v>
      </c>
      <c r="C36" s="3" t="s">
        <v>15</v>
      </c>
      <c r="D36" s="3" t="s">
        <v>16</v>
      </c>
      <c r="I36" s="5"/>
      <c r="J36" s="3" t="e">
        <f t="shared" si="24"/>
        <v>#VALUE!</v>
      </c>
      <c r="K36" s="3" t="e">
        <f t="shared" si="25"/>
        <v>#VALUE!</v>
      </c>
      <c r="L36" s="3" t="e">
        <f t="shared" si="26"/>
        <v>#VALUE!</v>
      </c>
      <c r="M36" s="3" t="e">
        <f t="shared" si="27"/>
        <v>#VALUE!</v>
      </c>
      <c r="N36" s="3" t="e">
        <f t="shared" si="28"/>
        <v>#VALUE!</v>
      </c>
      <c r="O36" s="3" t="e">
        <f t="shared" si="29"/>
        <v>#VALUE!</v>
      </c>
      <c r="P36" s="1" t="e">
        <f t="shared" si="30"/>
        <v>#VALUE!</v>
      </c>
      <c r="Q36" s="1" t="e">
        <f t="shared" si="31"/>
        <v>#VALUE!</v>
      </c>
    </row>
    <row r="37" spans="1:18" x14ac:dyDescent="0.25">
      <c r="A37" s="3">
        <v>36</v>
      </c>
      <c r="C37" s="3" t="s">
        <v>15</v>
      </c>
      <c r="D37" s="3" t="s">
        <v>16</v>
      </c>
      <c r="J37" s="3" t="e">
        <f t="shared" si="24"/>
        <v>#VALUE!</v>
      </c>
      <c r="K37" s="3" t="e">
        <f t="shared" si="25"/>
        <v>#VALUE!</v>
      </c>
      <c r="L37" s="3" t="e">
        <f t="shared" si="26"/>
        <v>#VALUE!</v>
      </c>
      <c r="M37" s="3" t="e">
        <f t="shared" si="27"/>
        <v>#VALUE!</v>
      </c>
      <c r="N37" s="3" t="e">
        <f t="shared" si="28"/>
        <v>#VALUE!</v>
      </c>
      <c r="O37" s="3" t="e">
        <f t="shared" si="29"/>
        <v>#VALUE!</v>
      </c>
      <c r="P37" s="1" t="e">
        <f t="shared" si="30"/>
        <v>#VALUE!</v>
      </c>
      <c r="Q37" s="1" t="e">
        <f t="shared" si="31"/>
        <v>#VALUE!</v>
      </c>
    </row>
    <row r="38" spans="1:18" x14ac:dyDescent="0.25">
      <c r="A38" s="3">
        <v>37</v>
      </c>
      <c r="C38" s="3" t="s">
        <v>15</v>
      </c>
      <c r="D38" s="3" t="s">
        <v>16</v>
      </c>
      <c r="J38" s="3" t="e">
        <f t="shared" si="24"/>
        <v>#VALUE!</v>
      </c>
      <c r="K38" s="3" t="e">
        <f t="shared" si="25"/>
        <v>#VALUE!</v>
      </c>
      <c r="L38" s="3" t="e">
        <f t="shared" si="26"/>
        <v>#VALUE!</v>
      </c>
      <c r="M38" s="3" t="e">
        <f t="shared" si="27"/>
        <v>#VALUE!</v>
      </c>
      <c r="N38" s="3" t="e">
        <f t="shared" si="28"/>
        <v>#VALUE!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</row>
    <row r="39" spans="1:18" x14ac:dyDescent="0.25">
      <c r="A39" s="3">
        <v>38</v>
      </c>
      <c r="C39" s="3" t="s">
        <v>15</v>
      </c>
      <c r="D39" s="3" t="s">
        <v>16</v>
      </c>
      <c r="J39" s="3" t="e">
        <f t="shared" si="24"/>
        <v>#VALUE!</v>
      </c>
      <c r="K39" s="3" t="e">
        <f t="shared" si="25"/>
        <v>#VALUE!</v>
      </c>
      <c r="L39" s="3" t="e">
        <f t="shared" si="26"/>
        <v>#VALUE!</v>
      </c>
      <c r="M39" s="3" t="e">
        <f t="shared" si="27"/>
        <v>#VALUE!</v>
      </c>
      <c r="N39" s="3" t="e">
        <f t="shared" si="28"/>
        <v>#VALUE!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</row>
    <row r="40" spans="1:18" x14ac:dyDescent="0.25">
      <c r="A40" s="3">
        <v>39</v>
      </c>
      <c r="C40" s="3" t="s">
        <v>15</v>
      </c>
      <c r="D40" s="3" t="s">
        <v>16</v>
      </c>
      <c r="J40" s="3" t="e">
        <f t="shared" si="24"/>
        <v>#VALUE!</v>
      </c>
      <c r="K40" s="3" t="e">
        <f t="shared" si="25"/>
        <v>#VALUE!</v>
      </c>
      <c r="L40" s="3" t="e">
        <f t="shared" si="26"/>
        <v>#VALUE!</v>
      </c>
      <c r="M40" s="3" t="e">
        <f t="shared" si="27"/>
        <v>#VALUE!</v>
      </c>
      <c r="N40" s="3" t="e">
        <f t="shared" si="28"/>
        <v>#VALUE!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</row>
    <row r="41" spans="1:18" x14ac:dyDescent="0.25">
      <c r="A41" s="3">
        <v>40</v>
      </c>
      <c r="C41" s="3" t="s">
        <v>15</v>
      </c>
      <c r="D41" s="3" t="s">
        <v>16</v>
      </c>
      <c r="I41" s="5"/>
      <c r="J41" s="3" t="e">
        <f t="shared" si="24"/>
        <v>#VALUE!</v>
      </c>
      <c r="K41" s="3" t="e">
        <f t="shared" si="25"/>
        <v>#VALUE!</v>
      </c>
      <c r="L41" s="3" t="e">
        <f t="shared" si="26"/>
        <v>#VALUE!</v>
      </c>
      <c r="M41" s="3" t="e">
        <f t="shared" si="27"/>
        <v>#VALUE!</v>
      </c>
      <c r="N41" s="3" t="e">
        <f t="shared" si="28"/>
        <v>#VALUE!</v>
      </c>
      <c r="O41" s="3" t="e">
        <f t="shared" si="29"/>
        <v>#VALUE!</v>
      </c>
      <c r="P41" s="1" t="e">
        <f t="shared" si="30"/>
        <v>#VALUE!</v>
      </c>
      <c r="Q41" s="1" t="e">
        <f t="shared" si="31"/>
        <v>#VALUE!</v>
      </c>
    </row>
    <row r="42" spans="1:18" x14ac:dyDescent="0.25">
      <c r="A42" s="3">
        <v>41</v>
      </c>
      <c r="C42" s="3" t="s">
        <v>15</v>
      </c>
      <c r="D42" s="3" t="s">
        <v>16</v>
      </c>
      <c r="I42" s="5"/>
      <c r="J42" s="3" t="e">
        <f t="shared" si="24"/>
        <v>#VALUE!</v>
      </c>
      <c r="K42" s="3" t="e">
        <f t="shared" si="25"/>
        <v>#VALUE!</v>
      </c>
      <c r="L42" s="3" t="e">
        <f t="shared" si="26"/>
        <v>#VALUE!</v>
      </c>
      <c r="M42" s="3" t="e">
        <f t="shared" si="27"/>
        <v>#VALUE!</v>
      </c>
      <c r="N42" s="3" t="e">
        <f t="shared" si="28"/>
        <v>#VALUE!</v>
      </c>
      <c r="O42" s="3" t="e">
        <f t="shared" si="29"/>
        <v>#VALUE!</v>
      </c>
      <c r="P42" s="1" t="e">
        <f t="shared" si="30"/>
        <v>#VALUE!</v>
      </c>
      <c r="Q42" s="1" t="e">
        <f t="shared" si="31"/>
        <v>#VALUE!</v>
      </c>
    </row>
    <row r="43" spans="1:18" x14ac:dyDescent="0.25">
      <c r="A43" s="3">
        <v>42</v>
      </c>
      <c r="C43" s="3" t="s">
        <v>15</v>
      </c>
      <c r="D43" s="3" t="s">
        <v>16</v>
      </c>
      <c r="I43" s="5"/>
      <c r="J43" s="3" t="e">
        <f t="shared" si="24"/>
        <v>#VALUE!</v>
      </c>
      <c r="K43" s="3" t="e">
        <f t="shared" si="25"/>
        <v>#VALUE!</v>
      </c>
      <c r="L43" s="3" t="e">
        <f t="shared" si="26"/>
        <v>#VALUE!</v>
      </c>
      <c r="M43" s="3" t="e">
        <f t="shared" si="27"/>
        <v>#VALUE!</v>
      </c>
      <c r="N43" s="3" t="e">
        <f t="shared" si="28"/>
        <v>#VALUE!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</row>
    <row r="44" spans="1:18" x14ac:dyDescent="0.25">
      <c r="A44" s="3">
        <v>43</v>
      </c>
      <c r="C44" s="3" t="s">
        <v>15</v>
      </c>
      <c r="D44" s="3" t="s">
        <v>16</v>
      </c>
      <c r="I44" s="5"/>
      <c r="J44" s="3" t="e">
        <f t="shared" si="24"/>
        <v>#VALUE!</v>
      </c>
      <c r="K44" s="3" t="e">
        <f t="shared" si="25"/>
        <v>#VALUE!</v>
      </c>
      <c r="L44" s="3" t="e">
        <f t="shared" si="26"/>
        <v>#VALUE!</v>
      </c>
      <c r="M44" s="3" t="e">
        <f t="shared" si="27"/>
        <v>#VALUE!</v>
      </c>
      <c r="N44" s="3" t="e">
        <f t="shared" si="28"/>
        <v>#VALUE!</v>
      </c>
      <c r="O44" s="3" t="e">
        <f t="shared" si="29"/>
        <v>#VALUE!</v>
      </c>
      <c r="P44" s="1" t="e">
        <f t="shared" si="30"/>
        <v>#VALUE!</v>
      </c>
      <c r="Q44" s="1" t="e">
        <f t="shared" si="31"/>
        <v>#VALUE!</v>
      </c>
    </row>
    <row r="45" spans="1:18" x14ac:dyDescent="0.25">
      <c r="A45" s="3">
        <v>44</v>
      </c>
      <c r="C45" s="3" t="s">
        <v>15</v>
      </c>
      <c r="D45" s="3" t="s">
        <v>16</v>
      </c>
      <c r="J45" s="3" t="e">
        <f t="shared" si="24"/>
        <v>#VALUE!</v>
      </c>
      <c r="K45" s="3" t="e">
        <f t="shared" si="25"/>
        <v>#VALUE!</v>
      </c>
      <c r="L45" s="3" t="e">
        <f t="shared" si="26"/>
        <v>#VALUE!</v>
      </c>
      <c r="M45" s="3" t="e">
        <f t="shared" si="27"/>
        <v>#VALUE!</v>
      </c>
      <c r="N45" s="3" t="e">
        <f t="shared" si="28"/>
        <v>#VALUE!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</row>
    <row r="46" spans="1:18" x14ac:dyDescent="0.25">
      <c r="A46" s="3">
        <v>45</v>
      </c>
      <c r="C46" s="3" t="s">
        <v>15</v>
      </c>
      <c r="D46" s="3" t="s">
        <v>16</v>
      </c>
      <c r="J46" s="3" t="e">
        <f t="shared" si="24"/>
        <v>#VALUE!</v>
      </c>
      <c r="K46" s="3" t="e">
        <f t="shared" si="25"/>
        <v>#VALUE!</v>
      </c>
      <c r="L46" s="3" t="e">
        <f t="shared" si="26"/>
        <v>#VALUE!</v>
      </c>
      <c r="M46" s="3" t="e">
        <f t="shared" si="27"/>
        <v>#VALUE!</v>
      </c>
      <c r="N46" s="3" t="e">
        <f t="shared" si="28"/>
        <v>#VALUE!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</row>
    <row r="47" spans="1:18" x14ac:dyDescent="0.25">
      <c r="A47" s="3">
        <v>46</v>
      </c>
      <c r="C47" s="3" t="s">
        <v>15</v>
      </c>
      <c r="D47" s="3" t="s">
        <v>16</v>
      </c>
      <c r="J47" s="3" t="e">
        <f t="shared" si="24"/>
        <v>#VALUE!</v>
      </c>
      <c r="K47" s="3" t="e">
        <f t="shared" si="25"/>
        <v>#VALUE!</v>
      </c>
      <c r="L47" s="3" t="e">
        <f t="shared" si="26"/>
        <v>#VALUE!</v>
      </c>
      <c r="M47" s="3" t="e">
        <f t="shared" si="27"/>
        <v>#VALUE!</v>
      </c>
      <c r="N47" s="3" t="e">
        <f t="shared" si="28"/>
        <v>#VALUE!</v>
      </c>
      <c r="O47" s="3" t="e">
        <f t="shared" si="29"/>
        <v>#VALUE!</v>
      </c>
      <c r="P47" s="1" t="e">
        <f t="shared" si="30"/>
        <v>#VALUE!</v>
      </c>
      <c r="Q47" s="1" t="e">
        <f t="shared" si="31"/>
        <v>#VALUE!</v>
      </c>
    </row>
    <row r="48" spans="1:18" x14ac:dyDescent="0.25">
      <c r="A48" s="3">
        <v>47</v>
      </c>
      <c r="C48" s="3" t="s">
        <v>15</v>
      </c>
      <c r="D48" s="3" t="s">
        <v>16</v>
      </c>
      <c r="J48" s="3" t="e">
        <f t="shared" si="24"/>
        <v>#VALUE!</v>
      </c>
      <c r="K48" s="3" t="e">
        <f t="shared" si="25"/>
        <v>#VALUE!</v>
      </c>
      <c r="L48" s="3" t="e">
        <f t="shared" si="26"/>
        <v>#VALUE!</v>
      </c>
      <c r="M48" s="3" t="e">
        <f t="shared" si="27"/>
        <v>#VALUE!</v>
      </c>
      <c r="N48" s="3" t="e">
        <f t="shared" si="28"/>
        <v>#VALUE!</v>
      </c>
      <c r="O48" s="3" t="e">
        <f t="shared" si="29"/>
        <v>#VALUE!</v>
      </c>
      <c r="P48" s="1" t="e">
        <f t="shared" si="30"/>
        <v>#VALUE!</v>
      </c>
      <c r="Q48" s="1" t="e">
        <f t="shared" si="31"/>
        <v>#VALUE!</v>
      </c>
    </row>
    <row r="49" spans="1:17" x14ac:dyDescent="0.25">
      <c r="A49" s="3">
        <v>48</v>
      </c>
      <c r="C49" s="3" t="s">
        <v>15</v>
      </c>
      <c r="D49" s="3" t="s">
        <v>16</v>
      </c>
      <c r="I49" s="5"/>
      <c r="J49" s="3" t="e">
        <f t="shared" si="24"/>
        <v>#VALUE!</v>
      </c>
      <c r="K49" s="3" t="e">
        <f t="shared" si="25"/>
        <v>#VALUE!</v>
      </c>
      <c r="L49" s="3" t="e">
        <f t="shared" si="26"/>
        <v>#VALUE!</v>
      </c>
      <c r="M49" s="3" t="e">
        <f t="shared" si="27"/>
        <v>#VALUE!</v>
      </c>
      <c r="N49" s="3" t="e">
        <f t="shared" si="28"/>
        <v>#VALUE!</v>
      </c>
      <c r="O49" s="3" t="e">
        <f t="shared" si="29"/>
        <v>#VALUE!</v>
      </c>
      <c r="P49" s="1" t="e">
        <f t="shared" si="30"/>
        <v>#VALUE!</v>
      </c>
      <c r="Q49" s="1" t="e">
        <f t="shared" si="31"/>
        <v>#VALUE!</v>
      </c>
    </row>
    <row r="50" spans="1:17" x14ac:dyDescent="0.25">
      <c r="A50" s="3">
        <v>49</v>
      </c>
      <c r="C50" s="3" t="s">
        <v>15</v>
      </c>
      <c r="D50" s="3" t="s">
        <v>16</v>
      </c>
      <c r="I50" s="5"/>
      <c r="J50" s="3" t="e">
        <f t="shared" si="24"/>
        <v>#VALUE!</v>
      </c>
      <c r="K50" s="3" t="e">
        <f t="shared" si="25"/>
        <v>#VALUE!</v>
      </c>
      <c r="L50" s="3" t="e">
        <f t="shared" si="26"/>
        <v>#VALUE!</v>
      </c>
      <c r="M50" s="3" t="e">
        <f t="shared" si="27"/>
        <v>#VALUE!</v>
      </c>
      <c r="N50" s="3" t="e">
        <f t="shared" si="28"/>
        <v>#VALUE!</v>
      </c>
      <c r="O50" s="3" t="e">
        <f t="shared" si="29"/>
        <v>#VALUE!</v>
      </c>
      <c r="P50" s="1" t="e">
        <f t="shared" si="30"/>
        <v>#VALUE!</v>
      </c>
      <c r="Q50" s="1" t="e">
        <f t="shared" si="31"/>
        <v>#VALUE!</v>
      </c>
    </row>
    <row r="51" spans="1:17" x14ac:dyDescent="0.25">
      <c r="A51" s="3">
        <v>50</v>
      </c>
      <c r="C51" s="3" t="s">
        <v>15</v>
      </c>
      <c r="D51" s="3" t="s">
        <v>16</v>
      </c>
      <c r="I51" s="5"/>
      <c r="J51" s="3" t="e">
        <f t="shared" si="24"/>
        <v>#VALUE!</v>
      </c>
      <c r="K51" s="3" t="e">
        <f t="shared" si="25"/>
        <v>#VALUE!</v>
      </c>
      <c r="L51" s="3" t="e">
        <f t="shared" si="26"/>
        <v>#VALUE!</v>
      </c>
      <c r="M51" s="3" t="e">
        <f t="shared" si="27"/>
        <v>#VALUE!</v>
      </c>
      <c r="N51" s="3" t="e">
        <f t="shared" si="28"/>
        <v>#VALUE!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</row>
    <row r="52" spans="1:17" x14ac:dyDescent="0.25">
      <c r="A52" s="3">
        <v>51</v>
      </c>
      <c r="C52" s="3" t="s">
        <v>15</v>
      </c>
      <c r="D52" s="3" t="s">
        <v>16</v>
      </c>
      <c r="I52" s="5"/>
      <c r="J52" s="3" t="e">
        <f t="shared" si="24"/>
        <v>#VALUE!</v>
      </c>
      <c r="K52" s="3" t="e">
        <f t="shared" si="25"/>
        <v>#VALUE!</v>
      </c>
      <c r="L52" s="3" t="e">
        <f t="shared" si="26"/>
        <v>#VALUE!</v>
      </c>
      <c r="M52" s="3" t="e">
        <f t="shared" si="27"/>
        <v>#VALUE!</v>
      </c>
      <c r="N52" s="3" t="e">
        <f t="shared" si="28"/>
        <v>#VALUE!</v>
      </c>
      <c r="O52" s="3" t="e">
        <f t="shared" si="29"/>
        <v>#VALUE!</v>
      </c>
      <c r="P52" s="1" t="e">
        <f t="shared" si="30"/>
        <v>#VALUE!</v>
      </c>
      <c r="Q52" s="1" t="e">
        <f t="shared" si="31"/>
        <v>#VALUE!</v>
      </c>
    </row>
    <row r="53" spans="1:17" x14ac:dyDescent="0.25">
      <c r="A53" s="3">
        <v>52</v>
      </c>
      <c r="C53" s="3" t="s">
        <v>15</v>
      </c>
      <c r="D53" s="3" t="s">
        <v>16</v>
      </c>
      <c r="E53" s="2"/>
      <c r="F53" s="2"/>
      <c r="J53" s="3" t="e">
        <f t="shared" si="24"/>
        <v>#VALUE!</v>
      </c>
      <c r="K53" s="3" t="e">
        <f t="shared" si="25"/>
        <v>#VALUE!</v>
      </c>
      <c r="L53" s="3" t="e">
        <f t="shared" si="26"/>
        <v>#VALUE!</v>
      </c>
      <c r="M53" s="3" t="e">
        <f t="shared" si="27"/>
        <v>#VALUE!</v>
      </c>
      <c r="N53" s="3" t="e">
        <f t="shared" si="28"/>
        <v>#VALUE!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</row>
    <row r="54" spans="1:17" x14ac:dyDescent="0.25">
      <c r="A54" s="3">
        <v>53</v>
      </c>
      <c r="C54" s="3" t="s">
        <v>15</v>
      </c>
      <c r="D54" s="3" t="s">
        <v>16</v>
      </c>
      <c r="E54" s="2"/>
      <c r="J54" s="3" t="e">
        <f t="shared" si="24"/>
        <v>#VALUE!</v>
      </c>
      <c r="K54" s="3" t="e">
        <f t="shared" si="25"/>
        <v>#VALUE!</v>
      </c>
      <c r="L54" s="3" t="e">
        <f t="shared" si="26"/>
        <v>#VALUE!</v>
      </c>
      <c r="M54" s="3" t="e">
        <f t="shared" si="27"/>
        <v>#VALUE!</v>
      </c>
      <c r="N54" s="3" t="e">
        <f t="shared" si="28"/>
        <v>#VALUE!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</row>
    <row r="55" spans="1:17" x14ac:dyDescent="0.25">
      <c r="A55" s="3">
        <v>54</v>
      </c>
      <c r="C55" s="3" t="s">
        <v>15</v>
      </c>
      <c r="D55" s="3" t="s">
        <v>16</v>
      </c>
      <c r="E55" s="2"/>
      <c r="F55" s="2"/>
      <c r="J55" s="3" t="e">
        <f t="shared" si="24"/>
        <v>#VALUE!</v>
      </c>
      <c r="K55" s="3" t="e">
        <f t="shared" si="25"/>
        <v>#VALUE!</v>
      </c>
      <c r="L55" s="3" t="e">
        <f t="shared" si="26"/>
        <v>#VALUE!</v>
      </c>
      <c r="M55" s="3" t="e">
        <f t="shared" si="27"/>
        <v>#VALUE!</v>
      </c>
      <c r="N55" s="3" t="e">
        <f t="shared" si="28"/>
        <v>#VALUE!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</row>
    <row r="56" spans="1:17" x14ac:dyDescent="0.25">
      <c r="A56" s="3">
        <v>55</v>
      </c>
      <c r="C56" s="3" t="s">
        <v>15</v>
      </c>
      <c r="D56" s="3" t="s">
        <v>16</v>
      </c>
      <c r="E56" s="2"/>
      <c r="F56" s="2"/>
      <c r="J56" s="3" t="e">
        <f t="shared" si="24"/>
        <v>#VALUE!</v>
      </c>
      <c r="K56" s="3" t="e">
        <f t="shared" si="25"/>
        <v>#VALUE!</v>
      </c>
      <c r="L56" s="3" t="e">
        <f t="shared" si="26"/>
        <v>#VALUE!</v>
      </c>
      <c r="M56" s="3" t="e">
        <f t="shared" si="27"/>
        <v>#VALUE!</v>
      </c>
      <c r="N56" s="3" t="e">
        <f t="shared" si="28"/>
        <v>#VALUE!</v>
      </c>
      <c r="O56" s="3" t="e">
        <f t="shared" si="29"/>
        <v>#VALUE!</v>
      </c>
      <c r="P56" s="1" t="e">
        <f t="shared" si="30"/>
        <v>#VALUE!</v>
      </c>
      <c r="Q56" s="1" t="e">
        <f t="shared" si="31"/>
        <v>#VALUE!</v>
      </c>
    </row>
    <row r="57" spans="1:17" x14ac:dyDescent="0.25">
      <c r="A57" s="3">
        <v>56</v>
      </c>
      <c r="C57" s="3" t="s">
        <v>15</v>
      </c>
      <c r="D57" s="3" t="s">
        <v>16</v>
      </c>
      <c r="E57" s="2"/>
      <c r="F57" s="2"/>
      <c r="J57" s="3" t="e">
        <f t="shared" si="24"/>
        <v>#VALUE!</v>
      </c>
      <c r="K57" s="3" t="e">
        <f t="shared" si="25"/>
        <v>#VALUE!</v>
      </c>
      <c r="L57" s="3" t="e">
        <f t="shared" si="26"/>
        <v>#VALUE!</v>
      </c>
      <c r="M57" s="3" t="e">
        <f t="shared" si="27"/>
        <v>#VALUE!</v>
      </c>
      <c r="N57" s="3" t="e">
        <f t="shared" si="28"/>
        <v>#VALUE!</v>
      </c>
      <c r="O57" s="3" t="e">
        <f t="shared" si="29"/>
        <v>#VALUE!</v>
      </c>
      <c r="P57" s="1" t="e">
        <f t="shared" si="30"/>
        <v>#VALUE!</v>
      </c>
      <c r="Q57" s="1" t="e">
        <f t="shared" si="31"/>
        <v>#VALUE!</v>
      </c>
    </row>
    <row r="58" spans="1:17" x14ac:dyDescent="0.25">
      <c r="A58" s="3">
        <v>57</v>
      </c>
      <c r="C58" s="3" t="s">
        <v>15</v>
      </c>
      <c r="D58" s="3" t="s">
        <v>16</v>
      </c>
      <c r="E58" s="2"/>
      <c r="F58" s="2"/>
      <c r="J58" s="3" t="e">
        <f t="shared" si="24"/>
        <v>#VALUE!</v>
      </c>
      <c r="K58" s="3" t="e">
        <f t="shared" si="25"/>
        <v>#VALUE!</v>
      </c>
      <c r="L58" s="3" t="e">
        <f t="shared" si="26"/>
        <v>#VALUE!</v>
      </c>
      <c r="M58" s="3" t="e">
        <f t="shared" si="27"/>
        <v>#VALUE!</v>
      </c>
      <c r="N58" s="3" t="e">
        <f t="shared" si="28"/>
        <v>#VALUE!</v>
      </c>
      <c r="O58" s="3" t="e">
        <f t="shared" si="29"/>
        <v>#VALUE!</v>
      </c>
      <c r="P58" s="1" t="e">
        <f t="shared" si="30"/>
        <v>#VALUE!</v>
      </c>
      <c r="Q58" s="1" t="e">
        <f t="shared" si="31"/>
        <v>#VALUE!</v>
      </c>
    </row>
    <row r="59" spans="1:17" x14ac:dyDescent="0.25">
      <c r="A59" s="3">
        <v>58</v>
      </c>
      <c r="C59" s="3" t="s">
        <v>15</v>
      </c>
      <c r="D59" s="3" t="s">
        <v>16</v>
      </c>
      <c r="E59" s="2"/>
      <c r="F59" s="2"/>
      <c r="J59" s="3" t="e">
        <f t="shared" si="24"/>
        <v>#VALUE!</v>
      </c>
      <c r="K59" s="3" t="e">
        <f t="shared" si="25"/>
        <v>#VALUE!</v>
      </c>
      <c r="L59" s="3" t="e">
        <f t="shared" si="26"/>
        <v>#VALUE!</v>
      </c>
      <c r="M59" s="3" t="e">
        <f t="shared" si="27"/>
        <v>#VALUE!</v>
      </c>
      <c r="N59" s="3" t="e">
        <f t="shared" si="28"/>
        <v>#VALUE!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</row>
    <row r="60" spans="1:17" x14ac:dyDescent="0.25">
      <c r="A60" s="3">
        <v>59</v>
      </c>
      <c r="C60" s="3" t="s">
        <v>15</v>
      </c>
      <c r="D60" s="3" t="s">
        <v>16</v>
      </c>
      <c r="E60" s="2"/>
      <c r="F60" s="2"/>
      <c r="J60" s="3" t="e">
        <f t="shared" si="24"/>
        <v>#VALUE!</v>
      </c>
      <c r="K60" s="3" t="e">
        <f t="shared" si="25"/>
        <v>#VALUE!</v>
      </c>
      <c r="L60" s="3" t="e">
        <f t="shared" si="26"/>
        <v>#VALUE!</v>
      </c>
      <c r="M60" s="3" t="e">
        <f t="shared" si="27"/>
        <v>#VALUE!</v>
      </c>
      <c r="N60" s="3" t="e">
        <f t="shared" si="28"/>
        <v>#VALUE!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</row>
    <row r="61" spans="1:17" x14ac:dyDescent="0.25">
      <c r="A61" s="3">
        <v>60</v>
      </c>
      <c r="C61" s="3" t="s">
        <v>15</v>
      </c>
      <c r="D61" s="3" t="s">
        <v>16</v>
      </c>
      <c r="E61" s="2"/>
      <c r="F61" s="2"/>
      <c r="J61" s="3" t="e">
        <f t="shared" si="24"/>
        <v>#VALUE!</v>
      </c>
      <c r="K61" s="3" t="e">
        <f t="shared" si="25"/>
        <v>#VALUE!</v>
      </c>
      <c r="L61" s="3" t="e">
        <f t="shared" si="26"/>
        <v>#VALUE!</v>
      </c>
      <c r="M61" s="3" t="e">
        <f t="shared" si="27"/>
        <v>#VALUE!</v>
      </c>
      <c r="N61" s="3" t="e">
        <f t="shared" si="28"/>
        <v>#VALUE!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</row>
    <row r="62" spans="1:17" x14ac:dyDescent="0.25">
      <c r="A62" s="3">
        <v>61</v>
      </c>
      <c r="C62" s="3" t="s">
        <v>15</v>
      </c>
      <c r="D62" s="3" t="s">
        <v>16</v>
      </c>
      <c r="E62" s="2"/>
      <c r="F62" s="2"/>
      <c r="J62" s="3" t="e">
        <f t="shared" si="24"/>
        <v>#VALUE!</v>
      </c>
      <c r="K62" s="3" t="e">
        <f t="shared" si="25"/>
        <v>#VALUE!</v>
      </c>
      <c r="L62" s="3" t="e">
        <f t="shared" si="26"/>
        <v>#VALUE!</v>
      </c>
      <c r="M62" s="3" t="e">
        <f t="shared" si="27"/>
        <v>#VALUE!</v>
      </c>
      <c r="N62" s="3" t="e">
        <f t="shared" si="28"/>
        <v>#VALUE!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</row>
    <row r="63" spans="1:17" x14ac:dyDescent="0.25">
      <c r="A63" s="3">
        <v>62</v>
      </c>
      <c r="C63" s="3" t="s">
        <v>15</v>
      </c>
      <c r="D63" s="3" t="s">
        <v>16</v>
      </c>
      <c r="E63" s="2"/>
      <c r="F63" s="2"/>
      <c r="J63" s="3" t="e">
        <f t="shared" si="24"/>
        <v>#VALUE!</v>
      </c>
      <c r="K63" s="3" t="e">
        <f t="shared" si="25"/>
        <v>#VALUE!</v>
      </c>
      <c r="L63" s="3" t="e">
        <f t="shared" si="26"/>
        <v>#VALUE!</v>
      </c>
      <c r="M63" s="3" t="e">
        <f t="shared" si="27"/>
        <v>#VALUE!</v>
      </c>
      <c r="N63" s="3" t="e">
        <f t="shared" si="28"/>
        <v>#VALUE!</v>
      </c>
      <c r="O63" s="3" t="e">
        <f t="shared" si="29"/>
        <v>#VALUE!</v>
      </c>
      <c r="P63" s="1" t="e">
        <f t="shared" si="30"/>
        <v>#VALUE!</v>
      </c>
      <c r="Q63" s="1" t="e">
        <f t="shared" si="31"/>
        <v>#VALUE!</v>
      </c>
    </row>
    <row r="64" spans="1:17" x14ac:dyDescent="0.25">
      <c r="A64" s="3">
        <v>63</v>
      </c>
      <c r="C64" s="3" t="s">
        <v>15</v>
      </c>
      <c r="D64" s="3" t="s">
        <v>16</v>
      </c>
      <c r="E64" s="2"/>
      <c r="F64" s="2"/>
      <c r="J64" s="3" t="e">
        <f t="shared" si="24"/>
        <v>#VALUE!</v>
      </c>
      <c r="K64" s="3" t="e">
        <f t="shared" si="25"/>
        <v>#VALUE!</v>
      </c>
      <c r="L64" s="3" t="e">
        <f t="shared" si="26"/>
        <v>#VALUE!</v>
      </c>
      <c r="M64" s="3" t="e">
        <f t="shared" si="27"/>
        <v>#VALUE!</v>
      </c>
      <c r="N64" s="3" t="e">
        <f t="shared" si="28"/>
        <v>#VALUE!</v>
      </c>
      <c r="O64" s="3" t="e">
        <f t="shared" si="29"/>
        <v>#VALUE!</v>
      </c>
      <c r="P64" s="1" t="e">
        <f t="shared" si="30"/>
        <v>#VALUE!</v>
      </c>
      <c r="Q64" s="1" t="e">
        <f t="shared" si="31"/>
        <v>#VALUE!</v>
      </c>
    </row>
    <row r="65" spans="1:17" x14ac:dyDescent="0.25">
      <c r="A65" s="3">
        <v>64</v>
      </c>
      <c r="C65" s="3" t="s">
        <v>15</v>
      </c>
      <c r="D65" s="3" t="s">
        <v>16</v>
      </c>
      <c r="E65" s="2"/>
      <c r="F65" s="2"/>
      <c r="J65" s="3" t="e">
        <f t="shared" si="24"/>
        <v>#VALUE!</v>
      </c>
      <c r="K65" s="3" t="e">
        <f t="shared" si="25"/>
        <v>#VALUE!</v>
      </c>
      <c r="L65" s="3" t="e">
        <f t="shared" si="26"/>
        <v>#VALUE!</v>
      </c>
      <c r="M65" s="3" t="e">
        <f t="shared" si="27"/>
        <v>#VALUE!</v>
      </c>
      <c r="N65" s="3" t="e">
        <f t="shared" si="28"/>
        <v>#VALUE!</v>
      </c>
      <c r="O65" s="3" t="e">
        <f t="shared" si="29"/>
        <v>#VALUE!</v>
      </c>
      <c r="P65" s="1" t="e">
        <f t="shared" si="30"/>
        <v>#VALUE!</v>
      </c>
      <c r="Q65" s="1" t="e">
        <f t="shared" si="31"/>
        <v>#VALUE!</v>
      </c>
    </row>
    <row r="66" spans="1:17" x14ac:dyDescent="0.25">
      <c r="A66" s="3">
        <v>65</v>
      </c>
      <c r="C66" s="3" t="s">
        <v>15</v>
      </c>
      <c r="D66" s="3" t="s">
        <v>16</v>
      </c>
      <c r="E66" s="2"/>
      <c r="F66" s="2"/>
      <c r="J66" s="3" t="e">
        <f t="shared" si="24"/>
        <v>#VALUE!</v>
      </c>
      <c r="K66" s="3" t="e">
        <f t="shared" si="25"/>
        <v>#VALUE!</v>
      </c>
      <c r="L66" s="3" t="e">
        <f t="shared" si="26"/>
        <v>#VALUE!</v>
      </c>
      <c r="M66" s="3" t="e">
        <f t="shared" si="27"/>
        <v>#VALUE!</v>
      </c>
      <c r="N66" s="3" t="e">
        <f t="shared" si="28"/>
        <v>#VALUE!</v>
      </c>
      <c r="O66" s="3" t="e">
        <f t="shared" si="29"/>
        <v>#VALUE!</v>
      </c>
      <c r="P66" s="1" t="e">
        <f t="shared" si="30"/>
        <v>#VALUE!</v>
      </c>
      <c r="Q66" s="1" t="e">
        <f t="shared" si="31"/>
        <v>#VALUE!</v>
      </c>
    </row>
    <row r="67" spans="1:17" x14ac:dyDescent="0.25">
      <c r="A67" s="3">
        <v>66</v>
      </c>
      <c r="C67" s="3" t="s">
        <v>15</v>
      </c>
      <c r="D67" s="3" t="s">
        <v>16</v>
      </c>
      <c r="E67" s="2"/>
      <c r="F67" s="2"/>
      <c r="J67" s="3" t="e">
        <f t="shared" si="24"/>
        <v>#VALUE!</v>
      </c>
      <c r="K67" s="3" t="e">
        <f t="shared" si="25"/>
        <v>#VALUE!</v>
      </c>
      <c r="L67" s="3" t="e">
        <f t="shared" si="26"/>
        <v>#VALUE!</v>
      </c>
      <c r="M67" s="3" t="e">
        <f t="shared" si="27"/>
        <v>#VALUE!</v>
      </c>
      <c r="N67" s="3" t="e">
        <f t="shared" si="28"/>
        <v>#VALUE!</v>
      </c>
      <c r="O67" s="3" t="e">
        <f t="shared" si="29"/>
        <v>#VALUE!</v>
      </c>
      <c r="P67" s="1" t="e">
        <f t="shared" si="30"/>
        <v>#VALUE!</v>
      </c>
      <c r="Q67" s="1" t="e">
        <f t="shared" si="31"/>
        <v>#VALUE!</v>
      </c>
    </row>
    <row r="68" spans="1:17" x14ac:dyDescent="0.25">
      <c r="A68" s="3">
        <v>67</v>
      </c>
      <c r="C68" s="3" t="s">
        <v>15</v>
      </c>
      <c r="D68" s="3" t="s">
        <v>16</v>
      </c>
      <c r="E68" s="2"/>
      <c r="J68" s="3" t="e">
        <f t="shared" si="24"/>
        <v>#VALUE!</v>
      </c>
      <c r="K68" s="3" t="e">
        <f t="shared" si="25"/>
        <v>#VALUE!</v>
      </c>
      <c r="L68" s="3" t="e">
        <f t="shared" si="26"/>
        <v>#VALUE!</v>
      </c>
      <c r="M68" s="3" t="e">
        <f t="shared" si="27"/>
        <v>#VALUE!</v>
      </c>
      <c r="N68" s="3" t="e">
        <f t="shared" si="28"/>
        <v>#VALUE!</v>
      </c>
      <c r="O68" s="3" t="e">
        <f t="shared" si="29"/>
        <v>#VALUE!</v>
      </c>
      <c r="P68" s="1" t="e">
        <f t="shared" si="30"/>
        <v>#VALUE!</v>
      </c>
      <c r="Q68" s="1" t="e">
        <f t="shared" si="31"/>
        <v>#VALUE!</v>
      </c>
    </row>
    <row r="69" spans="1:17" x14ac:dyDescent="0.25">
      <c r="A69" s="3">
        <v>68</v>
      </c>
      <c r="C69" s="3" t="s">
        <v>15</v>
      </c>
      <c r="D69" s="3" t="s">
        <v>16</v>
      </c>
      <c r="E69" s="2"/>
      <c r="F69" s="2"/>
      <c r="J69" s="3" t="e">
        <f t="shared" si="24"/>
        <v>#VALUE!</v>
      </c>
      <c r="K69" s="3" t="e">
        <f t="shared" si="25"/>
        <v>#VALUE!</v>
      </c>
      <c r="L69" s="3" t="e">
        <f t="shared" si="26"/>
        <v>#VALUE!</v>
      </c>
      <c r="M69" s="3" t="e">
        <f t="shared" si="27"/>
        <v>#VALUE!</v>
      </c>
      <c r="N69" s="3" t="e">
        <f t="shared" si="28"/>
        <v>#VALUE!</v>
      </c>
      <c r="O69" s="3" t="e">
        <f t="shared" si="29"/>
        <v>#VALUE!</v>
      </c>
      <c r="P69" s="1" t="e">
        <f t="shared" si="30"/>
        <v>#VALUE!</v>
      </c>
      <c r="Q69" s="1" t="e">
        <f t="shared" si="31"/>
        <v>#VALUE!</v>
      </c>
    </row>
    <row r="70" spans="1:17" x14ac:dyDescent="0.25">
      <c r="A70" s="3">
        <v>69</v>
      </c>
      <c r="C70" s="3" t="s">
        <v>15</v>
      </c>
      <c r="D70" s="3" t="s">
        <v>16</v>
      </c>
      <c r="E70" s="2"/>
      <c r="F70" s="2"/>
      <c r="J70" s="3" t="e">
        <f t="shared" si="24"/>
        <v>#VALUE!</v>
      </c>
      <c r="K70" s="3" t="e">
        <f t="shared" si="25"/>
        <v>#VALUE!</v>
      </c>
      <c r="L70" s="3" t="e">
        <f t="shared" si="26"/>
        <v>#VALUE!</v>
      </c>
      <c r="M70" s="3" t="e">
        <f t="shared" si="27"/>
        <v>#VALUE!</v>
      </c>
      <c r="N70" s="3" t="e">
        <f t="shared" si="28"/>
        <v>#VALUE!</v>
      </c>
      <c r="O70" s="3" t="e">
        <f t="shared" si="29"/>
        <v>#VALUE!</v>
      </c>
      <c r="P70" s="1" t="e">
        <f t="shared" si="30"/>
        <v>#VALUE!</v>
      </c>
      <c r="Q70" s="1" t="e">
        <f t="shared" si="31"/>
        <v>#VALUE!</v>
      </c>
    </row>
    <row r="71" spans="1:17" x14ac:dyDescent="0.25">
      <c r="A71" s="3">
        <v>70</v>
      </c>
      <c r="C71" s="3" t="s">
        <v>15</v>
      </c>
      <c r="D71" s="3" t="s">
        <v>16</v>
      </c>
      <c r="E71" s="2"/>
      <c r="F71" s="2"/>
      <c r="J71" s="3" t="e">
        <f t="shared" si="24"/>
        <v>#VALUE!</v>
      </c>
      <c r="K71" s="3" t="e">
        <f t="shared" si="25"/>
        <v>#VALUE!</v>
      </c>
      <c r="L71" s="3" t="e">
        <f t="shared" si="26"/>
        <v>#VALUE!</v>
      </c>
      <c r="M71" s="3" t="e">
        <f t="shared" si="27"/>
        <v>#VALUE!</v>
      </c>
      <c r="N71" s="3" t="e">
        <f t="shared" si="28"/>
        <v>#VALUE!</v>
      </c>
      <c r="O71" s="3" t="e">
        <f t="shared" si="29"/>
        <v>#VALUE!</v>
      </c>
      <c r="P71" s="1" t="e">
        <f t="shared" si="30"/>
        <v>#VALUE!</v>
      </c>
      <c r="Q71" s="1" t="e">
        <f t="shared" si="31"/>
        <v>#VALUE!</v>
      </c>
    </row>
    <row r="72" spans="1:17" x14ac:dyDescent="0.25">
      <c r="A72" s="3">
        <v>71</v>
      </c>
      <c r="C72" s="3" t="s">
        <v>15</v>
      </c>
      <c r="D72" s="3" t="s">
        <v>16</v>
      </c>
      <c r="E72" s="7"/>
      <c r="F72" s="2"/>
      <c r="J72" s="3" t="e">
        <f t="shared" si="24"/>
        <v>#VALUE!</v>
      </c>
      <c r="K72" s="3" t="e">
        <f t="shared" si="25"/>
        <v>#VALUE!</v>
      </c>
      <c r="L72" s="3" t="e">
        <f t="shared" si="26"/>
        <v>#VALUE!</v>
      </c>
      <c r="M72" s="3" t="e">
        <f t="shared" si="27"/>
        <v>#VALUE!</v>
      </c>
      <c r="N72" s="3" t="e">
        <f t="shared" si="28"/>
        <v>#VALUE!</v>
      </c>
      <c r="O72" s="3" t="e">
        <f t="shared" si="29"/>
        <v>#VALUE!</v>
      </c>
      <c r="P72" s="1" t="e">
        <f t="shared" si="30"/>
        <v>#VALUE!</v>
      </c>
      <c r="Q72" s="1" t="e">
        <f t="shared" si="31"/>
        <v>#VALUE!</v>
      </c>
    </row>
    <row r="73" spans="1:17" x14ac:dyDescent="0.25">
      <c r="A73" s="3">
        <v>72</v>
      </c>
      <c r="C73" s="3" t="s">
        <v>15</v>
      </c>
      <c r="D73" s="3" t="s">
        <v>16</v>
      </c>
      <c r="E73" s="2"/>
      <c r="J73" s="3" t="e">
        <f t="shared" si="24"/>
        <v>#VALUE!</v>
      </c>
      <c r="K73" s="3" t="e">
        <f t="shared" si="25"/>
        <v>#VALUE!</v>
      </c>
      <c r="L73" s="3" t="e">
        <f t="shared" si="26"/>
        <v>#VALUE!</v>
      </c>
      <c r="M73" s="3" t="e">
        <f t="shared" si="27"/>
        <v>#VALUE!</v>
      </c>
      <c r="N73" s="3" t="e">
        <f t="shared" si="28"/>
        <v>#VALUE!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</row>
    <row r="74" spans="1:17" x14ac:dyDescent="0.25">
      <c r="A74" s="3">
        <v>73</v>
      </c>
      <c r="C74" s="3" t="s">
        <v>15</v>
      </c>
      <c r="D74" s="3" t="s">
        <v>16</v>
      </c>
      <c r="J74" s="3" t="e">
        <f t="shared" si="24"/>
        <v>#VALUE!</v>
      </c>
      <c r="K74" s="3" t="e">
        <f t="shared" si="25"/>
        <v>#VALUE!</v>
      </c>
      <c r="L74" s="3" t="e">
        <f t="shared" si="26"/>
        <v>#VALUE!</v>
      </c>
      <c r="M74" s="3" t="e">
        <f t="shared" si="27"/>
        <v>#VALUE!</v>
      </c>
      <c r="N74" s="3" t="e">
        <f t="shared" si="28"/>
        <v>#VALUE!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</row>
    <row r="75" spans="1:17" x14ac:dyDescent="0.25">
      <c r="A75" s="3">
        <v>74</v>
      </c>
      <c r="C75" s="3" t="s">
        <v>15</v>
      </c>
      <c r="D75" s="3" t="s">
        <v>16</v>
      </c>
      <c r="J75" s="3" t="e">
        <f t="shared" si="24"/>
        <v>#VALUE!</v>
      </c>
      <c r="K75" s="3" t="e">
        <f t="shared" si="25"/>
        <v>#VALUE!</v>
      </c>
      <c r="L75" s="3" t="e">
        <f t="shared" si="26"/>
        <v>#VALUE!</v>
      </c>
      <c r="M75" s="3" t="e">
        <f t="shared" si="27"/>
        <v>#VALUE!</v>
      </c>
      <c r="N75" s="3" t="e">
        <f t="shared" si="28"/>
        <v>#VALUE!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</row>
    <row r="76" spans="1:17" x14ac:dyDescent="0.25">
      <c r="A76" s="3">
        <v>75</v>
      </c>
      <c r="C76" s="3" t="s">
        <v>15</v>
      </c>
      <c r="D76" s="3" t="s">
        <v>16</v>
      </c>
      <c r="J76" s="3" t="e">
        <f t="shared" si="24"/>
        <v>#VALUE!</v>
      </c>
      <c r="K76" s="3" t="e">
        <f t="shared" si="25"/>
        <v>#VALUE!</v>
      </c>
      <c r="L76" s="3" t="e">
        <f t="shared" si="26"/>
        <v>#VALUE!</v>
      </c>
      <c r="M76" s="3" t="e">
        <f t="shared" si="27"/>
        <v>#VALUE!</v>
      </c>
      <c r="N76" s="3" t="e">
        <f t="shared" si="28"/>
        <v>#VALUE!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</row>
    <row r="77" spans="1:17" x14ac:dyDescent="0.25">
      <c r="A77" s="3">
        <v>76</v>
      </c>
      <c r="C77" s="3" t="s">
        <v>15</v>
      </c>
      <c r="D77" s="3" t="s">
        <v>16</v>
      </c>
      <c r="J77" s="3" t="e">
        <f t="shared" si="24"/>
        <v>#VALUE!</v>
      </c>
      <c r="K77" s="3" t="e">
        <f t="shared" si="25"/>
        <v>#VALUE!</v>
      </c>
      <c r="L77" s="3" t="e">
        <f t="shared" si="26"/>
        <v>#VALUE!</v>
      </c>
      <c r="M77" s="3" t="e">
        <f t="shared" si="27"/>
        <v>#VALUE!</v>
      </c>
      <c r="N77" s="3" t="e">
        <f t="shared" si="28"/>
        <v>#VALUE!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</row>
    <row r="78" spans="1:17" x14ac:dyDescent="0.25">
      <c r="A78" s="3">
        <v>77</v>
      </c>
      <c r="C78" s="3" t="s">
        <v>15</v>
      </c>
      <c r="D78" s="3" t="s">
        <v>16</v>
      </c>
      <c r="J78" s="3" t="e">
        <f t="shared" si="24"/>
        <v>#VALUE!</v>
      </c>
      <c r="K78" s="3" t="e">
        <f t="shared" si="25"/>
        <v>#VALUE!</v>
      </c>
      <c r="L78" s="3" t="e">
        <f t="shared" si="26"/>
        <v>#VALUE!</v>
      </c>
      <c r="M78" s="3" t="e">
        <f t="shared" si="27"/>
        <v>#VALUE!</v>
      </c>
      <c r="N78" s="3" t="e">
        <f t="shared" si="28"/>
        <v>#VALUE!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</row>
    <row r="79" spans="1:17" x14ac:dyDescent="0.25">
      <c r="A79" s="3">
        <v>78</v>
      </c>
      <c r="C79" s="3" t="s">
        <v>15</v>
      </c>
      <c r="D79" s="3" t="s">
        <v>16</v>
      </c>
      <c r="J79" s="3" t="e">
        <f t="shared" si="24"/>
        <v>#VALUE!</v>
      </c>
      <c r="K79" s="3" t="e">
        <f t="shared" si="25"/>
        <v>#VALUE!</v>
      </c>
      <c r="L79" s="3" t="e">
        <f t="shared" si="26"/>
        <v>#VALUE!</v>
      </c>
      <c r="M79" s="3" t="e">
        <f t="shared" si="27"/>
        <v>#VALUE!</v>
      </c>
      <c r="N79" s="3" t="e">
        <f t="shared" si="28"/>
        <v>#VALUE!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</row>
    <row r="80" spans="1:17" x14ac:dyDescent="0.25">
      <c r="A80" s="3">
        <v>79</v>
      </c>
      <c r="C80" s="3" t="s">
        <v>15</v>
      </c>
      <c r="D80" s="3" t="s">
        <v>16</v>
      </c>
      <c r="J80" s="3" t="e">
        <f t="shared" si="24"/>
        <v>#VALUE!</v>
      </c>
      <c r="K80" s="3" t="e">
        <f t="shared" si="25"/>
        <v>#VALUE!</v>
      </c>
      <c r="L80" s="3" t="e">
        <f t="shared" si="26"/>
        <v>#VALUE!</v>
      </c>
      <c r="M80" s="3" t="e">
        <f t="shared" si="27"/>
        <v>#VALUE!</v>
      </c>
      <c r="N80" s="3" t="e">
        <f t="shared" si="28"/>
        <v>#VALUE!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</row>
    <row r="81" spans="1:17" x14ac:dyDescent="0.25">
      <c r="A81" s="3">
        <v>80</v>
      </c>
      <c r="C81" s="3" t="s">
        <v>15</v>
      </c>
      <c r="D81" s="3" t="s">
        <v>16</v>
      </c>
      <c r="J81" s="3" t="e">
        <f t="shared" si="24"/>
        <v>#VALUE!</v>
      </c>
      <c r="K81" s="3" t="e">
        <f t="shared" si="25"/>
        <v>#VALUE!</v>
      </c>
      <c r="L81" s="3" t="e">
        <f t="shared" si="26"/>
        <v>#VALUE!</v>
      </c>
      <c r="M81" s="3" t="e">
        <f t="shared" si="27"/>
        <v>#VALUE!</v>
      </c>
      <c r="N81" s="3" t="e">
        <f t="shared" si="28"/>
        <v>#VALUE!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</row>
    <row r="82" spans="1:17" x14ac:dyDescent="0.25">
      <c r="A82" s="3">
        <v>81</v>
      </c>
      <c r="C82" s="3" t="s">
        <v>15</v>
      </c>
      <c r="D82" s="3" t="s">
        <v>16</v>
      </c>
      <c r="J82" s="3" t="e">
        <f t="shared" si="24"/>
        <v>#VALUE!</v>
      </c>
      <c r="K82" s="3" t="e">
        <f t="shared" si="25"/>
        <v>#VALUE!</v>
      </c>
      <c r="L82" s="3" t="e">
        <f t="shared" si="26"/>
        <v>#VALUE!</v>
      </c>
      <c r="M82" s="3" t="e">
        <f t="shared" si="27"/>
        <v>#VALUE!</v>
      </c>
      <c r="N82" s="3" t="e">
        <f t="shared" si="28"/>
        <v>#VALUE!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</row>
    <row r="83" spans="1:17" x14ac:dyDescent="0.25">
      <c r="A83" s="3">
        <v>82</v>
      </c>
      <c r="C83" s="3" t="s">
        <v>15</v>
      </c>
      <c r="D83" s="3" t="s">
        <v>16</v>
      </c>
      <c r="J83" s="3" t="e">
        <f t="shared" si="24"/>
        <v>#VALUE!</v>
      </c>
      <c r="K83" s="3" t="e">
        <f t="shared" si="25"/>
        <v>#VALUE!</v>
      </c>
      <c r="L83" s="3" t="e">
        <f t="shared" si="26"/>
        <v>#VALUE!</v>
      </c>
      <c r="M83" s="3" t="e">
        <f t="shared" si="27"/>
        <v>#VALUE!</v>
      </c>
      <c r="N83" s="3" t="e">
        <f t="shared" si="28"/>
        <v>#VALUE!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</row>
    <row r="84" spans="1:17" x14ac:dyDescent="0.25">
      <c r="A84" s="3">
        <v>83</v>
      </c>
      <c r="C84" s="3" t="s">
        <v>15</v>
      </c>
      <c r="D84" s="3" t="s">
        <v>16</v>
      </c>
      <c r="J84" s="3" t="e">
        <f t="shared" si="24"/>
        <v>#VALUE!</v>
      </c>
      <c r="K84" s="3" t="e">
        <f t="shared" si="25"/>
        <v>#VALUE!</v>
      </c>
      <c r="L84" s="3" t="e">
        <f t="shared" si="26"/>
        <v>#VALUE!</v>
      </c>
      <c r="M84" s="3" t="e">
        <f t="shared" si="27"/>
        <v>#VALUE!</v>
      </c>
      <c r="N84" s="3" t="e">
        <f t="shared" si="28"/>
        <v>#VALUE!</v>
      </c>
      <c r="O84" s="3" t="e">
        <f t="shared" si="29"/>
        <v>#VALUE!</v>
      </c>
      <c r="P84" s="1" t="e">
        <f t="shared" si="30"/>
        <v>#VALUE!</v>
      </c>
      <c r="Q84" s="1" t="e">
        <f t="shared" si="31"/>
        <v>#VALUE!</v>
      </c>
    </row>
    <row r="85" spans="1:17" x14ac:dyDescent="0.25">
      <c r="A85" s="3">
        <v>84</v>
      </c>
      <c r="C85" s="3" t="s">
        <v>15</v>
      </c>
      <c r="D85" s="3" t="s">
        <v>16</v>
      </c>
      <c r="J85" s="3" t="e">
        <f t="shared" si="24"/>
        <v>#VALUE!</v>
      </c>
      <c r="K85" s="3" t="e">
        <f t="shared" si="25"/>
        <v>#VALUE!</v>
      </c>
      <c r="L85" s="3" t="e">
        <f t="shared" si="26"/>
        <v>#VALUE!</v>
      </c>
      <c r="M85" s="3" t="e">
        <f t="shared" si="27"/>
        <v>#VALUE!</v>
      </c>
      <c r="N85" s="3" t="e">
        <f t="shared" si="28"/>
        <v>#VALUE!</v>
      </c>
      <c r="O85" s="3" t="e">
        <f t="shared" si="29"/>
        <v>#VALUE!</v>
      </c>
      <c r="P85" s="1" t="e">
        <f t="shared" si="30"/>
        <v>#VALUE!</v>
      </c>
      <c r="Q85" s="1" t="e">
        <f t="shared" si="31"/>
        <v>#VALUE!</v>
      </c>
    </row>
    <row r="86" spans="1:17" x14ac:dyDescent="0.25">
      <c r="A86" s="3">
        <v>85</v>
      </c>
      <c r="C86" s="3" t="s">
        <v>15</v>
      </c>
      <c r="D86" s="3" t="s">
        <v>16</v>
      </c>
      <c r="J86" s="3" t="e">
        <f t="shared" si="24"/>
        <v>#VALUE!</v>
      </c>
      <c r="K86" s="3" t="e">
        <f t="shared" si="25"/>
        <v>#VALUE!</v>
      </c>
      <c r="L86" s="3" t="e">
        <f t="shared" si="26"/>
        <v>#VALUE!</v>
      </c>
      <c r="M86" s="3" t="e">
        <f t="shared" si="27"/>
        <v>#VALUE!</v>
      </c>
      <c r="N86" s="3" t="e">
        <f t="shared" si="28"/>
        <v>#VALUE!</v>
      </c>
      <c r="O86" s="3" t="e">
        <f t="shared" si="29"/>
        <v>#VALUE!</v>
      </c>
      <c r="P86" s="1" t="e">
        <f t="shared" si="30"/>
        <v>#VALUE!</v>
      </c>
      <c r="Q86" s="1" t="e">
        <f t="shared" si="31"/>
        <v>#VALUE!</v>
      </c>
    </row>
    <row r="87" spans="1:17" x14ac:dyDescent="0.25">
      <c r="A87" s="3">
        <v>86</v>
      </c>
      <c r="C87" s="3" t="s">
        <v>15</v>
      </c>
      <c r="D87" s="3" t="s">
        <v>16</v>
      </c>
      <c r="J87" s="3" t="e">
        <f t="shared" si="24"/>
        <v>#VALUE!</v>
      </c>
      <c r="K87" s="3" t="e">
        <f t="shared" si="25"/>
        <v>#VALUE!</v>
      </c>
      <c r="L87" s="3" t="e">
        <f t="shared" si="26"/>
        <v>#VALUE!</v>
      </c>
      <c r="M87" s="3" t="e">
        <f t="shared" si="27"/>
        <v>#VALUE!</v>
      </c>
      <c r="N87" s="3" t="e">
        <f t="shared" si="28"/>
        <v>#VALUE!</v>
      </c>
      <c r="O87" s="3" t="e">
        <f t="shared" si="29"/>
        <v>#VALUE!</v>
      </c>
      <c r="P87" s="1" t="e">
        <f t="shared" si="30"/>
        <v>#VALUE!</v>
      </c>
      <c r="Q87" s="1" t="e">
        <f t="shared" si="31"/>
        <v>#VALUE!</v>
      </c>
    </row>
    <row r="88" spans="1:17" x14ac:dyDescent="0.25">
      <c r="A88" s="3">
        <v>87</v>
      </c>
      <c r="C88" s="3" t="s">
        <v>15</v>
      </c>
      <c r="D88" s="3" t="s">
        <v>16</v>
      </c>
      <c r="J88" s="3" t="e">
        <f t="shared" si="24"/>
        <v>#VALUE!</v>
      </c>
      <c r="K88" s="3" t="e">
        <f t="shared" si="25"/>
        <v>#VALUE!</v>
      </c>
      <c r="L88" s="3" t="e">
        <f t="shared" si="26"/>
        <v>#VALUE!</v>
      </c>
      <c r="M88" s="3" t="e">
        <f t="shared" si="27"/>
        <v>#VALUE!</v>
      </c>
      <c r="N88" s="3" t="e">
        <f t="shared" si="28"/>
        <v>#VALUE!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</row>
    <row r="89" spans="1:17" x14ac:dyDescent="0.25">
      <c r="A89" s="3">
        <v>88</v>
      </c>
      <c r="C89" s="3" t="s">
        <v>15</v>
      </c>
      <c r="D89" s="3" t="s">
        <v>16</v>
      </c>
      <c r="J89" s="3" t="e">
        <f t="shared" si="24"/>
        <v>#VALUE!</v>
      </c>
      <c r="K89" s="3" t="e">
        <f t="shared" si="25"/>
        <v>#VALUE!</v>
      </c>
      <c r="L89" s="3" t="e">
        <f t="shared" si="26"/>
        <v>#VALUE!</v>
      </c>
      <c r="M89" s="3" t="e">
        <f t="shared" si="27"/>
        <v>#VALUE!</v>
      </c>
      <c r="N89" s="3" t="e">
        <f t="shared" si="28"/>
        <v>#VALUE!</v>
      </c>
      <c r="O89" s="3" t="e">
        <f t="shared" si="29"/>
        <v>#VALUE!</v>
      </c>
      <c r="P89" s="1" t="e">
        <f t="shared" si="30"/>
        <v>#VALUE!</v>
      </c>
      <c r="Q89" s="1" t="e">
        <f t="shared" si="31"/>
        <v>#VALUE!</v>
      </c>
    </row>
    <row r="90" spans="1:17" x14ac:dyDescent="0.25">
      <c r="A90" s="3">
        <v>89</v>
      </c>
      <c r="C90" s="3" t="s">
        <v>15</v>
      </c>
      <c r="D90" s="3" t="s">
        <v>16</v>
      </c>
      <c r="J90" s="3" t="e">
        <f t="shared" si="24"/>
        <v>#VALUE!</v>
      </c>
      <c r="K90" s="3" t="e">
        <f t="shared" si="25"/>
        <v>#VALUE!</v>
      </c>
      <c r="L90" s="3" t="e">
        <f t="shared" si="26"/>
        <v>#VALUE!</v>
      </c>
      <c r="M90" s="3" t="e">
        <f t="shared" si="27"/>
        <v>#VALUE!</v>
      </c>
      <c r="N90" s="3" t="e">
        <f t="shared" si="28"/>
        <v>#VALUE!</v>
      </c>
      <c r="O90" s="3" t="e">
        <f t="shared" si="29"/>
        <v>#VALUE!</v>
      </c>
      <c r="P90" s="1" t="e">
        <f t="shared" si="30"/>
        <v>#VALUE!</v>
      </c>
      <c r="Q90" s="1" t="e">
        <f t="shared" si="31"/>
        <v>#VALUE!</v>
      </c>
    </row>
    <row r="91" spans="1:17" x14ac:dyDescent="0.25">
      <c r="A91" s="3">
        <v>90</v>
      </c>
      <c r="C91" s="3" t="s">
        <v>15</v>
      </c>
      <c r="D91" s="3" t="s">
        <v>16</v>
      </c>
      <c r="J91" s="3" t="e">
        <f t="shared" si="24"/>
        <v>#VALUE!</v>
      </c>
      <c r="K91" s="3" t="e">
        <f t="shared" si="25"/>
        <v>#VALUE!</v>
      </c>
      <c r="L91" s="3" t="e">
        <f t="shared" si="26"/>
        <v>#VALUE!</v>
      </c>
      <c r="M91" s="3" t="e">
        <f t="shared" si="27"/>
        <v>#VALUE!</v>
      </c>
      <c r="N91" s="3" t="e">
        <f t="shared" si="28"/>
        <v>#VALUE!</v>
      </c>
      <c r="O91" s="3" t="e">
        <f t="shared" si="29"/>
        <v>#VALUE!</v>
      </c>
      <c r="P91" s="1" t="e">
        <f t="shared" si="30"/>
        <v>#VALUE!</v>
      </c>
      <c r="Q91" s="1" t="e">
        <f t="shared" si="31"/>
        <v>#VALUE!</v>
      </c>
    </row>
    <row r="92" spans="1:17" x14ac:dyDescent="0.25">
      <c r="A92" s="3">
        <v>91</v>
      </c>
      <c r="C92" s="3" t="s">
        <v>15</v>
      </c>
      <c r="D92" s="3" t="s">
        <v>16</v>
      </c>
      <c r="J92" s="3" t="e">
        <f t="shared" si="24"/>
        <v>#VALUE!</v>
      </c>
      <c r="K92" s="3" t="e">
        <f t="shared" si="25"/>
        <v>#VALUE!</v>
      </c>
      <c r="L92" s="3" t="e">
        <f t="shared" si="26"/>
        <v>#VALUE!</v>
      </c>
      <c r="M92" s="3" t="e">
        <f t="shared" si="27"/>
        <v>#VALUE!</v>
      </c>
      <c r="N92" s="3" t="e">
        <f t="shared" si="28"/>
        <v>#VALUE!</v>
      </c>
      <c r="O92" s="3" t="e">
        <f t="shared" si="29"/>
        <v>#VALUE!</v>
      </c>
      <c r="P92" s="1" t="e">
        <f t="shared" si="30"/>
        <v>#VALUE!</v>
      </c>
      <c r="Q92" s="1" t="e">
        <f t="shared" si="31"/>
        <v>#VALUE!</v>
      </c>
    </row>
    <row r="93" spans="1:17" x14ac:dyDescent="0.25">
      <c r="A93" s="3">
        <v>92</v>
      </c>
      <c r="C93" s="3" t="s">
        <v>15</v>
      </c>
      <c r="D93" s="3" t="s">
        <v>16</v>
      </c>
      <c r="J93" s="3" t="e">
        <f t="shared" si="24"/>
        <v>#VALUE!</v>
      </c>
      <c r="K93" s="3" t="e">
        <f t="shared" si="25"/>
        <v>#VALUE!</v>
      </c>
      <c r="L93" s="3" t="e">
        <f t="shared" si="26"/>
        <v>#VALUE!</v>
      </c>
      <c r="M93" s="3" t="e">
        <f t="shared" si="27"/>
        <v>#VALUE!</v>
      </c>
      <c r="N93" s="3" t="e">
        <f t="shared" si="28"/>
        <v>#VALUE!</v>
      </c>
      <c r="O93" s="3" t="e">
        <f t="shared" si="29"/>
        <v>#VALUE!</v>
      </c>
      <c r="P93" s="1" t="e">
        <f t="shared" si="30"/>
        <v>#VALUE!</v>
      </c>
      <c r="Q93" s="1" t="e">
        <f t="shared" si="31"/>
        <v>#VALUE!</v>
      </c>
    </row>
    <row r="94" spans="1:17" x14ac:dyDescent="0.25">
      <c r="A94" s="3">
        <v>93</v>
      </c>
      <c r="C94" s="3" t="s">
        <v>15</v>
      </c>
      <c r="D94" s="3" t="s">
        <v>16</v>
      </c>
      <c r="J94" s="3" t="e">
        <f t="shared" si="24"/>
        <v>#VALUE!</v>
      </c>
      <c r="K94" s="3" t="e">
        <f t="shared" si="25"/>
        <v>#VALUE!</v>
      </c>
      <c r="L94" s="3" t="e">
        <f t="shared" si="26"/>
        <v>#VALUE!</v>
      </c>
      <c r="M94" s="3" t="e">
        <f t="shared" si="27"/>
        <v>#VALUE!</v>
      </c>
      <c r="N94" s="3" t="e">
        <f t="shared" si="28"/>
        <v>#VALUE!</v>
      </c>
      <c r="O94" s="3" t="e">
        <f t="shared" si="29"/>
        <v>#VALUE!</v>
      </c>
      <c r="P94" s="1" t="e">
        <f t="shared" si="30"/>
        <v>#VALUE!</v>
      </c>
      <c r="Q94" s="1" t="e">
        <f t="shared" si="31"/>
        <v>#VALUE!</v>
      </c>
    </row>
    <row r="95" spans="1:17" x14ac:dyDescent="0.25">
      <c r="A95" s="3">
        <v>94</v>
      </c>
      <c r="C95" s="3" t="s">
        <v>15</v>
      </c>
      <c r="D95" s="3" t="s">
        <v>16</v>
      </c>
      <c r="J95" s="3" t="e">
        <f t="shared" ref="J95:J140" si="32">MID(E95,1,FIND("°",E95,1)-1)</f>
        <v>#VALUE!</v>
      </c>
      <c r="K95" s="3" t="e">
        <f t="shared" ref="K95:K140" si="33">MID(E95,FIND("°",E95,1)+1,(FIND("′",E95,1)-FIND("°",E95,1))-1)</f>
        <v>#VALUE!</v>
      </c>
      <c r="L95" s="3" t="e">
        <f t="shared" ref="L95:L140" si="34">MID(E95,FIND("′",E95,1)+1,(FIND("″",E95,1)-FIND("′",E95,1))-1)</f>
        <v>#VALUE!</v>
      </c>
      <c r="M95" s="3" t="e">
        <f t="shared" ref="M95:M140" si="35">MID(F95,1,FIND("°",F95,1)-1)</f>
        <v>#VALUE!</v>
      </c>
      <c r="N95" s="3" t="e">
        <f t="shared" ref="N95:N140" si="36">MID(F95,FIND("°",F95,1)+1,(FIND("′",F95,1)-FIND("°",F95,1))-1)</f>
        <v>#VALUE!</v>
      </c>
      <c r="O95" s="3" t="e">
        <f t="shared" ref="O95:O140" si="37">MID(F95,FIND("′",F95,1)+1,(FIND("″",F95,1)-FIND("′",F95,1))-1)</f>
        <v>#VALUE!</v>
      </c>
      <c r="P95" s="1" t="e">
        <f t="shared" ref="P95:P140" si="38">((((L95/60)+K95)/60)+J95)*IF(C95="S",-1, 1)</f>
        <v>#VALUE!</v>
      </c>
      <c r="Q95" s="1" t="e">
        <f t="shared" ref="Q95:Q140" si="39">((((O95/60)+N95)/60)+M95)*IF(D95="W",-1, 1)</f>
        <v>#VALUE!</v>
      </c>
    </row>
    <row r="96" spans="1:17" x14ac:dyDescent="0.25">
      <c r="A96" s="3">
        <v>95</v>
      </c>
      <c r="C96" s="3" t="s">
        <v>15</v>
      </c>
      <c r="D96" s="3" t="s">
        <v>16</v>
      </c>
      <c r="J96" s="3" t="e">
        <f t="shared" si="32"/>
        <v>#VALUE!</v>
      </c>
      <c r="K96" s="3" t="e">
        <f t="shared" si="33"/>
        <v>#VALUE!</v>
      </c>
      <c r="L96" s="3" t="e">
        <f t="shared" si="34"/>
        <v>#VALUE!</v>
      </c>
      <c r="M96" s="3" t="e">
        <f t="shared" si="35"/>
        <v>#VALUE!</v>
      </c>
      <c r="N96" s="3" t="e">
        <f t="shared" si="36"/>
        <v>#VALUE!</v>
      </c>
      <c r="O96" s="3" t="e">
        <f t="shared" si="37"/>
        <v>#VALUE!</v>
      </c>
      <c r="P96" s="1" t="e">
        <f t="shared" si="38"/>
        <v>#VALUE!</v>
      </c>
      <c r="Q96" s="1" t="e">
        <f t="shared" si="39"/>
        <v>#VALUE!</v>
      </c>
    </row>
    <row r="97" spans="1:17" x14ac:dyDescent="0.25">
      <c r="A97" s="3">
        <v>96</v>
      </c>
      <c r="C97" s="3" t="s">
        <v>15</v>
      </c>
      <c r="D97" s="3" t="s">
        <v>16</v>
      </c>
      <c r="J97" s="3" t="e">
        <f t="shared" si="32"/>
        <v>#VALUE!</v>
      </c>
      <c r="K97" s="3" t="e">
        <f t="shared" si="33"/>
        <v>#VALUE!</v>
      </c>
      <c r="L97" s="3" t="e">
        <f t="shared" si="34"/>
        <v>#VALUE!</v>
      </c>
      <c r="M97" s="3" t="e">
        <f t="shared" si="35"/>
        <v>#VALUE!</v>
      </c>
      <c r="N97" s="3" t="e">
        <f t="shared" si="36"/>
        <v>#VALUE!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</row>
    <row r="98" spans="1:17" x14ac:dyDescent="0.25">
      <c r="A98" s="3">
        <v>97</v>
      </c>
      <c r="C98" s="3" t="s">
        <v>15</v>
      </c>
      <c r="D98" s="3" t="s">
        <v>16</v>
      </c>
      <c r="J98" s="3" t="e">
        <f t="shared" si="32"/>
        <v>#VALUE!</v>
      </c>
      <c r="K98" s="3" t="e">
        <f t="shared" si="33"/>
        <v>#VALUE!</v>
      </c>
      <c r="L98" s="3" t="e">
        <f t="shared" si="34"/>
        <v>#VALUE!</v>
      </c>
      <c r="M98" s="3" t="e">
        <f t="shared" si="35"/>
        <v>#VALUE!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</row>
    <row r="99" spans="1:17" x14ac:dyDescent="0.25">
      <c r="A99" s="3">
        <v>98</v>
      </c>
      <c r="C99" s="3" t="s">
        <v>15</v>
      </c>
      <c r="D99" s="3" t="s">
        <v>16</v>
      </c>
      <c r="J99" s="3" t="e">
        <f t="shared" si="32"/>
        <v>#VALUE!</v>
      </c>
      <c r="K99" s="3" t="e">
        <f t="shared" si="33"/>
        <v>#VALUE!</v>
      </c>
      <c r="L99" s="3" t="e">
        <f t="shared" si="34"/>
        <v>#VALUE!</v>
      </c>
      <c r="M99" s="3" t="e">
        <f t="shared" si="35"/>
        <v>#VALUE!</v>
      </c>
      <c r="N99" s="3" t="e">
        <f t="shared" si="36"/>
        <v>#VALUE!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</row>
    <row r="100" spans="1:17" x14ac:dyDescent="0.25">
      <c r="A100" s="3">
        <v>99</v>
      </c>
      <c r="C100" s="3" t="s">
        <v>15</v>
      </c>
      <c r="D100" s="3" t="s">
        <v>16</v>
      </c>
      <c r="J100" s="3" t="e">
        <f t="shared" si="32"/>
        <v>#VALUE!</v>
      </c>
      <c r="K100" s="3" t="e">
        <f t="shared" si="33"/>
        <v>#VALUE!</v>
      </c>
      <c r="L100" s="3" t="e">
        <f t="shared" si="34"/>
        <v>#VALUE!</v>
      </c>
      <c r="M100" s="3" t="e">
        <f t="shared" si="35"/>
        <v>#VALUE!</v>
      </c>
      <c r="N100" s="3" t="e">
        <f t="shared" si="36"/>
        <v>#VALUE!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</row>
    <row r="101" spans="1:17" x14ac:dyDescent="0.25">
      <c r="A101" s="3">
        <v>100</v>
      </c>
      <c r="C101" s="3" t="s">
        <v>15</v>
      </c>
      <c r="D101" s="3" t="s">
        <v>16</v>
      </c>
      <c r="J101" s="3" t="e">
        <f t="shared" si="32"/>
        <v>#VALUE!</v>
      </c>
      <c r="K101" s="3" t="e">
        <f t="shared" si="33"/>
        <v>#VALUE!</v>
      </c>
      <c r="L101" s="3" t="e">
        <f t="shared" si="34"/>
        <v>#VALUE!</v>
      </c>
      <c r="M101" s="3" t="e">
        <f t="shared" si="35"/>
        <v>#VALUE!</v>
      </c>
      <c r="N101" s="3" t="e">
        <f t="shared" si="36"/>
        <v>#VALUE!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</row>
    <row r="102" spans="1:17" x14ac:dyDescent="0.25">
      <c r="A102" s="3">
        <v>101</v>
      </c>
      <c r="C102" s="3" t="s">
        <v>15</v>
      </c>
      <c r="D102" s="3" t="s">
        <v>16</v>
      </c>
      <c r="J102" s="3" t="e">
        <f t="shared" si="32"/>
        <v>#VALUE!</v>
      </c>
      <c r="K102" s="3" t="e">
        <f t="shared" si="33"/>
        <v>#VALUE!</v>
      </c>
      <c r="L102" s="3" t="e">
        <f t="shared" si="34"/>
        <v>#VALUE!</v>
      </c>
      <c r="M102" s="3" t="e">
        <f t="shared" si="35"/>
        <v>#VALUE!</v>
      </c>
      <c r="N102" s="3" t="e">
        <f t="shared" si="36"/>
        <v>#VALUE!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</row>
    <row r="103" spans="1:17" x14ac:dyDescent="0.25">
      <c r="A103" s="3">
        <v>102</v>
      </c>
      <c r="C103" s="3" t="s">
        <v>15</v>
      </c>
      <c r="D103" s="3" t="s">
        <v>16</v>
      </c>
      <c r="J103" s="3" t="e">
        <f t="shared" si="32"/>
        <v>#VALUE!</v>
      </c>
      <c r="K103" s="3" t="e">
        <f t="shared" si="33"/>
        <v>#VALUE!</v>
      </c>
      <c r="L103" s="3" t="e">
        <f t="shared" si="34"/>
        <v>#VALUE!</v>
      </c>
      <c r="M103" s="3" t="e">
        <f t="shared" si="35"/>
        <v>#VALUE!</v>
      </c>
      <c r="N103" s="3" t="e">
        <f t="shared" si="36"/>
        <v>#VALUE!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</row>
    <row r="104" spans="1:17" x14ac:dyDescent="0.25">
      <c r="A104" s="3">
        <v>103</v>
      </c>
      <c r="C104" s="3" t="s">
        <v>15</v>
      </c>
      <c r="D104" s="3" t="s">
        <v>16</v>
      </c>
      <c r="J104" s="3" t="e">
        <f t="shared" si="32"/>
        <v>#VALUE!</v>
      </c>
      <c r="K104" s="3" t="e">
        <f t="shared" si="33"/>
        <v>#VALUE!</v>
      </c>
      <c r="L104" s="3" t="e">
        <f t="shared" si="34"/>
        <v>#VALUE!</v>
      </c>
      <c r="M104" s="3" t="e">
        <f t="shared" si="35"/>
        <v>#VALUE!</v>
      </c>
      <c r="N104" s="3" t="e">
        <f t="shared" si="36"/>
        <v>#VALUE!</v>
      </c>
      <c r="O104" s="3" t="e">
        <f t="shared" si="37"/>
        <v>#VALUE!</v>
      </c>
      <c r="P104" s="1" t="e">
        <f t="shared" si="38"/>
        <v>#VALUE!</v>
      </c>
      <c r="Q104" s="1" t="e">
        <f t="shared" si="39"/>
        <v>#VALUE!</v>
      </c>
    </row>
    <row r="105" spans="1:17" x14ac:dyDescent="0.25">
      <c r="A105" s="3">
        <v>104</v>
      </c>
      <c r="C105" s="3" t="s">
        <v>15</v>
      </c>
      <c r="D105" s="3" t="s">
        <v>16</v>
      </c>
      <c r="E105" s="7"/>
      <c r="J105" s="3" t="e">
        <f t="shared" si="32"/>
        <v>#VALUE!</v>
      </c>
      <c r="K105" s="3" t="e">
        <f t="shared" si="33"/>
        <v>#VALUE!</v>
      </c>
      <c r="L105" s="3" t="e">
        <f t="shared" si="34"/>
        <v>#VALUE!</v>
      </c>
      <c r="M105" s="3" t="e">
        <f t="shared" si="35"/>
        <v>#VALUE!</v>
      </c>
      <c r="N105" s="3" t="e">
        <f t="shared" si="36"/>
        <v>#VALUE!</v>
      </c>
      <c r="O105" s="3" t="e">
        <f t="shared" si="37"/>
        <v>#VALUE!</v>
      </c>
      <c r="P105" s="1" t="e">
        <f t="shared" si="38"/>
        <v>#VALUE!</v>
      </c>
      <c r="Q105" s="1" t="e">
        <f t="shared" si="39"/>
        <v>#VALUE!</v>
      </c>
    </row>
    <row r="106" spans="1:17" x14ac:dyDescent="0.25">
      <c r="A106" s="3">
        <v>105</v>
      </c>
      <c r="C106" s="3" t="s">
        <v>15</v>
      </c>
      <c r="D106" s="3" t="s">
        <v>16</v>
      </c>
      <c r="E106" s="7"/>
      <c r="J106" s="3" t="e">
        <f t="shared" si="32"/>
        <v>#VALUE!</v>
      </c>
      <c r="K106" s="3" t="e">
        <f t="shared" si="33"/>
        <v>#VALUE!</v>
      </c>
      <c r="L106" s="3" t="e">
        <f t="shared" si="34"/>
        <v>#VALUE!</v>
      </c>
      <c r="M106" s="3" t="e">
        <f t="shared" si="35"/>
        <v>#VALUE!</v>
      </c>
      <c r="N106" s="3" t="e">
        <f t="shared" si="36"/>
        <v>#VALUE!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</row>
    <row r="107" spans="1:17" x14ac:dyDescent="0.25">
      <c r="A107" s="3">
        <v>106</v>
      </c>
      <c r="C107" s="3" t="s">
        <v>15</v>
      </c>
      <c r="D107" s="3" t="s">
        <v>16</v>
      </c>
      <c r="E107" s="7"/>
      <c r="J107" s="3" t="e">
        <f t="shared" si="32"/>
        <v>#VALUE!</v>
      </c>
      <c r="K107" s="3" t="e">
        <f t="shared" si="33"/>
        <v>#VALUE!</v>
      </c>
      <c r="L107" s="3" t="e">
        <f t="shared" si="34"/>
        <v>#VALUE!</v>
      </c>
      <c r="M107" s="3" t="e">
        <f t="shared" si="35"/>
        <v>#VALUE!</v>
      </c>
      <c r="N107" s="3" t="e">
        <f t="shared" si="36"/>
        <v>#VALUE!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</row>
    <row r="108" spans="1:17" x14ac:dyDescent="0.25">
      <c r="A108" s="3">
        <v>107</v>
      </c>
      <c r="C108" s="3" t="s">
        <v>15</v>
      </c>
      <c r="D108" s="3" t="s">
        <v>16</v>
      </c>
      <c r="J108" s="3" t="e">
        <f t="shared" si="32"/>
        <v>#VALUE!</v>
      </c>
      <c r="K108" s="3" t="e">
        <f t="shared" si="33"/>
        <v>#VALUE!</v>
      </c>
      <c r="L108" s="3" t="e">
        <f t="shared" si="34"/>
        <v>#VALUE!</v>
      </c>
      <c r="M108" s="3" t="e">
        <f t="shared" si="35"/>
        <v>#VALUE!</v>
      </c>
      <c r="N108" s="3" t="e">
        <f t="shared" si="36"/>
        <v>#VALUE!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</row>
    <row r="109" spans="1:17" x14ac:dyDescent="0.25">
      <c r="A109" s="3">
        <v>108</v>
      </c>
      <c r="C109" s="3" t="s">
        <v>15</v>
      </c>
      <c r="D109" s="3" t="s">
        <v>16</v>
      </c>
      <c r="J109" s="3" t="e">
        <f t="shared" si="32"/>
        <v>#VALUE!</v>
      </c>
      <c r="K109" s="3" t="e">
        <f t="shared" si="33"/>
        <v>#VALUE!</v>
      </c>
      <c r="L109" s="3" t="e">
        <f t="shared" si="34"/>
        <v>#VALUE!</v>
      </c>
      <c r="M109" s="3" t="e">
        <f t="shared" si="35"/>
        <v>#VALUE!</v>
      </c>
      <c r="N109" s="3" t="e">
        <f t="shared" si="36"/>
        <v>#VALUE!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</row>
    <row r="110" spans="1:17" x14ac:dyDescent="0.25">
      <c r="A110" s="3">
        <v>109</v>
      </c>
      <c r="C110" s="3" t="s">
        <v>15</v>
      </c>
      <c r="D110" s="3" t="s">
        <v>16</v>
      </c>
      <c r="J110" s="3" t="e">
        <f t="shared" si="32"/>
        <v>#VALUE!</v>
      </c>
      <c r="K110" s="3" t="e">
        <f t="shared" si="33"/>
        <v>#VALUE!</v>
      </c>
      <c r="L110" s="3" t="e">
        <f t="shared" si="34"/>
        <v>#VALUE!</v>
      </c>
      <c r="M110" s="3" t="e">
        <f t="shared" si="35"/>
        <v>#VALUE!</v>
      </c>
      <c r="N110" s="3" t="e">
        <f t="shared" si="36"/>
        <v>#VALUE!</v>
      </c>
      <c r="O110" s="3" t="e">
        <f t="shared" si="37"/>
        <v>#VALUE!</v>
      </c>
      <c r="P110" s="1" t="e">
        <f t="shared" si="38"/>
        <v>#VALUE!</v>
      </c>
      <c r="Q110" s="1" t="e">
        <f t="shared" si="39"/>
        <v>#VALUE!</v>
      </c>
    </row>
    <row r="111" spans="1:17" x14ac:dyDescent="0.25">
      <c r="A111" s="3">
        <v>110</v>
      </c>
      <c r="C111" s="3" t="s">
        <v>15</v>
      </c>
      <c r="D111" s="3" t="s">
        <v>16</v>
      </c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</row>
    <row r="112" spans="1:17" x14ac:dyDescent="0.25">
      <c r="A112" s="3">
        <v>111</v>
      </c>
      <c r="C112" s="3" t="s">
        <v>15</v>
      </c>
      <c r="D112" s="3" t="s">
        <v>16</v>
      </c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</row>
    <row r="113" spans="1:17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</row>
    <row r="114" spans="1:17" x14ac:dyDescent="0.25">
      <c r="A114" s="3">
        <v>113</v>
      </c>
      <c r="C114" s="3" t="s">
        <v>15</v>
      </c>
      <c r="D114" s="3" t="s">
        <v>16</v>
      </c>
      <c r="E114" s="7"/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</row>
    <row r="115" spans="1:17" x14ac:dyDescent="0.25">
      <c r="A115" s="3">
        <v>114</v>
      </c>
      <c r="C115" s="3" t="s">
        <v>15</v>
      </c>
      <c r="D115" s="3" t="s">
        <v>16</v>
      </c>
      <c r="E115" s="7"/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</row>
    <row r="116" spans="1:17" x14ac:dyDescent="0.25">
      <c r="A116" s="3">
        <v>115</v>
      </c>
      <c r="C116" s="3" t="s">
        <v>15</v>
      </c>
      <c r="D116" s="3" t="s">
        <v>16</v>
      </c>
      <c r="E116" s="7"/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</row>
    <row r="117" spans="1:17" x14ac:dyDescent="0.25">
      <c r="A117" s="3">
        <v>116</v>
      </c>
      <c r="C117" s="3" t="s">
        <v>15</v>
      </c>
      <c r="D117" s="3" t="s">
        <v>16</v>
      </c>
      <c r="E117" s="7"/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</row>
    <row r="118" spans="1:17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</row>
    <row r="119" spans="1:17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</row>
    <row r="120" spans="1:17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</row>
    <row r="121" spans="1:17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</row>
    <row r="122" spans="1:17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</row>
    <row r="123" spans="1:17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</row>
    <row r="124" spans="1:17" x14ac:dyDescent="0.25">
      <c r="A124" s="3">
        <v>123</v>
      </c>
      <c r="C124" s="3" t="s">
        <v>15</v>
      </c>
      <c r="D124" s="3" t="s">
        <v>16</v>
      </c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</row>
    <row r="125" spans="1:17" x14ac:dyDescent="0.25">
      <c r="A125" s="3">
        <v>124</v>
      </c>
      <c r="C125" s="3" t="s">
        <v>15</v>
      </c>
      <c r="D125" s="3" t="s">
        <v>16</v>
      </c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</row>
    <row r="126" spans="1:17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</row>
    <row r="127" spans="1:17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</row>
    <row r="128" spans="1:17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</row>
    <row r="129" spans="1:17" x14ac:dyDescent="0.25">
      <c r="A129" s="3">
        <v>128</v>
      </c>
      <c r="C129" s="3" t="s">
        <v>15</v>
      </c>
      <c r="D129" s="3" t="s">
        <v>16</v>
      </c>
      <c r="E129" s="7"/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</row>
    <row r="130" spans="1:17" x14ac:dyDescent="0.25">
      <c r="A130" s="3">
        <v>129</v>
      </c>
      <c r="C130" s="3" t="s">
        <v>15</v>
      </c>
      <c r="D130" s="3" t="s">
        <v>16</v>
      </c>
      <c r="E130" s="7"/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</row>
    <row r="131" spans="1:17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</row>
    <row r="132" spans="1:17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</row>
    <row r="133" spans="1:17" x14ac:dyDescent="0.25">
      <c r="A133" s="3">
        <v>132</v>
      </c>
      <c r="C133" s="3" t="s">
        <v>15</v>
      </c>
      <c r="D133" s="3" t="s">
        <v>16</v>
      </c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</row>
    <row r="134" spans="1:17" x14ac:dyDescent="0.25">
      <c r="A134" s="3">
        <v>133</v>
      </c>
      <c r="C134" s="3" t="s">
        <v>15</v>
      </c>
      <c r="D134" s="3" t="s">
        <v>16</v>
      </c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</row>
    <row r="135" spans="1:17" x14ac:dyDescent="0.25">
      <c r="A135" s="3">
        <v>134</v>
      </c>
      <c r="C135" s="3" t="s">
        <v>15</v>
      </c>
      <c r="D135" s="3" t="s">
        <v>16</v>
      </c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</row>
    <row r="136" spans="1:17" x14ac:dyDescent="0.25">
      <c r="A136" s="3">
        <v>135</v>
      </c>
      <c r="C136" s="3" t="s">
        <v>15</v>
      </c>
      <c r="D136" s="3" t="s">
        <v>16</v>
      </c>
      <c r="J136" s="3" t="e">
        <f t="shared" si="32"/>
        <v>#VALUE!</v>
      </c>
      <c r="K136" s="3" t="e">
        <f t="shared" si="33"/>
        <v>#VALUE!</v>
      </c>
      <c r="L136" s="3" t="e">
        <f t="shared" si="34"/>
        <v>#VALUE!</v>
      </c>
      <c r="M136" s="3" t="e">
        <f t="shared" si="35"/>
        <v>#VALUE!</v>
      </c>
      <c r="N136" s="3" t="e">
        <f t="shared" si="36"/>
        <v>#VALUE!</v>
      </c>
      <c r="O136" s="3" t="e">
        <f t="shared" si="37"/>
        <v>#VALUE!</v>
      </c>
      <c r="P136" s="1" t="e">
        <f t="shared" si="38"/>
        <v>#VALUE!</v>
      </c>
      <c r="Q136" s="1" t="e">
        <f t="shared" si="39"/>
        <v>#VALUE!</v>
      </c>
    </row>
    <row r="137" spans="1:17" x14ac:dyDescent="0.25">
      <c r="A137" s="3">
        <v>136</v>
      </c>
      <c r="C137" s="3" t="s">
        <v>15</v>
      </c>
      <c r="D137" s="3" t="s">
        <v>16</v>
      </c>
      <c r="J137" s="3" t="e">
        <f t="shared" si="32"/>
        <v>#VALUE!</v>
      </c>
      <c r="K137" s="3" t="e">
        <f t="shared" si="33"/>
        <v>#VALUE!</v>
      </c>
      <c r="L137" s="3" t="e">
        <f t="shared" si="34"/>
        <v>#VALUE!</v>
      </c>
      <c r="M137" s="3" t="e">
        <f t="shared" si="35"/>
        <v>#VALUE!</v>
      </c>
      <c r="N137" s="3" t="e">
        <f t="shared" si="36"/>
        <v>#VALUE!</v>
      </c>
      <c r="O137" s="3" t="e">
        <f t="shared" si="37"/>
        <v>#VALUE!</v>
      </c>
      <c r="P137" s="1" t="e">
        <f t="shared" si="38"/>
        <v>#VALUE!</v>
      </c>
      <c r="Q137" s="1" t="e">
        <f t="shared" si="39"/>
        <v>#VALUE!</v>
      </c>
    </row>
    <row r="138" spans="1:17" x14ac:dyDescent="0.25">
      <c r="A138" s="3">
        <v>137</v>
      </c>
      <c r="C138" s="3" t="s">
        <v>15</v>
      </c>
      <c r="D138" s="3" t="s">
        <v>16</v>
      </c>
      <c r="E138" s="2"/>
      <c r="F138" s="2"/>
      <c r="J138" s="3" t="e">
        <f t="shared" si="32"/>
        <v>#VALUE!</v>
      </c>
      <c r="K138" s="3" t="e">
        <f t="shared" si="33"/>
        <v>#VALUE!</v>
      </c>
      <c r="L138" s="3" t="e">
        <f t="shared" si="34"/>
        <v>#VALUE!</v>
      </c>
      <c r="M138" s="3" t="e">
        <f t="shared" si="35"/>
        <v>#VALUE!</v>
      </c>
      <c r="N138" s="3" t="e">
        <f t="shared" si="36"/>
        <v>#VALUE!</v>
      </c>
      <c r="O138" s="3" t="e">
        <f t="shared" si="37"/>
        <v>#VALUE!</v>
      </c>
      <c r="P138" s="1" t="e">
        <f t="shared" si="38"/>
        <v>#VALUE!</v>
      </c>
      <c r="Q138" s="1" t="e">
        <f t="shared" si="39"/>
        <v>#VALUE!</v>
      </c>
    </row>
    <row r="139" spans="1:17" x14ac:dyDescent="0.25">
      <c r="A139" s="3">
        <v>138</v>
      </c>
      <c r="C139" s="3" t="s">
        <v>15</v>
      </c>
      <c r="D139" s="3" t="s">
        <v>16</v>
      </c>
      <c r="E139" s="2"/>
      <c r="F139" s="2"/>
      <c r="J139" s="3" t="e">
        <f t="shared" si="32"/>
        <v>#VALUE!</v>
      </c>
      <c r="K139" s="3" t="e">
        <f t="shared" si="33"/>
        <v>#VALUE!</v>
      </c>
      <c r="L139" s="3" t="e">
        <f t="shared" si="34"/>
        <v>#VALUE!</v>
      </c>
      <c r="M139" s="3" t="e">
        <f t="shared" si="35"/>
        <v>#VALUE!</v>
      </c>
      <c r="N139" s="3" t="e">
        <f t="shared" si="36"/>
        <v>#VALUE!</v>
      </c>
      <c r="O139" s="3" t="e">
        <f t="shared" si="37"/>
        <v>#VALUE!</v>
      </c>
      <c r="P139" s="1" t="e">
        <f t="shared" si="38"/>
        <v>#VALUE!</v>
      </c>
      <c r="Q139" s="1" t="e">
        <f t="shared" si="39"/>
        <v>#VALUE!</v>
      </c>
    </row>
    <row r="140" spans="1:17" x14ac:dyDescent="0.25">
      <c r="A140" s="3">
        <v>139</v>
      </c>
      <c r="C140" s="3" t="s">
        <v>15</v>
      </c>
      <c r="D140" s="3" t="s">
        <v>16</v>
      </c>
      <c r="E140" s="2"/>
      <c r="F140" s="2"/>
      <c r="J140" s="3" t="e">
        <f t="shared" si="32"/>
        <v>#VALUE!</v>
      </c>
      <c r="K140" s="3" t="e">
        <f t="shared" si="33"/>
        <v>#VALUE!</v>
      </c>
      <c r="L140" s="3" t="e">
        <f t="shared" si="34"/>
        <v>#VALUE!</v>
      </c>
      <c r="M140" s="3" t="e">
        <f t="shared" si="35"/>
        <v>#VALUE!</v>
      </c>
      <c r="N140" s="3" t="e">
        <f t="shared" si="36"/>
        <v>#VALUE!</v>
      </c>
      <c r="O140" s="3" t="e">
        <f t="shared" si="37"/>
        <v>#VALUE!</v>
      </c>
      <c r="P140" s="1" t="e">
        <f t="shared" si="38"/>
        <v>#VALUE!</v>
      </c>
      <c r="Q140" s="1" t="e">
        <f t="shared" si="39"/>
        <v>#VALUE!</v>
      </c>
    </row>
    <row r="141" spans="1:17" x14ac:dyDescent="0.25">
      <c r="E141" s="2"/>
      <c r="F141" s="2"/>
      <c r="P141" s="1"/>
      <c r="Q141" s="1"/>
    </row>
    <row r="142" spans="1:17" x14ac:dyDescent="0.25">
      <c r="P142" s="1"/>
      <c r="Q142" s="1"/>
    </row>
    <row r="143" spans="1:17" x14ac:dyDescent="0.25">
      <c r="P143" s="1"/>
      <c r="Q143" s="1"/>
    </row>
    <row r="144" spans="1:17" x14ac:dyDescent="0.25">
      <c r="P144" s="1"/>
      <c r="Q144" s="1"/>
    </row>
    <row r="145" spans="16:17" x14ac:dyDescent="0.25">
      <c r="P145" s="1"/>
      <c r="Q145" s="1"/>
    </row>
    <row r="146" spans="16:17" x14ac:dyDescent="0.25">
      <c r="P146" s="1"/>
      <c r="Q146" s="1"/>
    </row>
    <row r="147" spans="16:17" x14ac:dyDescent="0.25">
      <c r="P147" s="1"/>
      <c r="Q147" s="1"/>
    </row>
    <row r="148" spans="16:17" x14ac:dyDescent="0.25">
      <c r="P148" s="1"/>
      <c r="Q148" s="1"/>
    </row>
    <row r="149" spans="16:17" x14ac:dyDescent="0.25">
      <c r="P149" s="1"/>
      <c r="Q149" s="1"/>
    </row>
    <row r="150" spans="16:17" x14ac:dyDescent="0.25">
      <c r="P150" s="1"/>
      <c r="Q150" s="1"/>
    </row>
    <row r="151" spans="16:17" x14ac:dyDescent="0.25">
      <c r="P151" s="1"/>
      <c r="Q151" s="1"/>
    </row>
    <row r="152" spans="16:17" x14ac:dyDescent="0.25">
      <c r="P152" s="1"/>
      <c r="Q152" s="1"/>
    </row>
    <row r="153" spans="16:17" x14ac:dyDescent="0.25">
      <c r="P153" s="1"/>
      <c r="Q153" s="1"/>
    </row>
    <row r="154" spans="16:17" x14ac:dyDescent="0.25">
      <c r="P154" s="1"/>
      <c r="Q154" s="1"/>
    </row>
    <row r="155" spans="16:17" x14ac:dyDescent="0.25">
      <c r="P155" s="1"/>
      <c r="Q155" s="1"/>
    </row>
    <row r="156" spans="16:17" x14ac:dyDescent="0.25">
      <c r="P156" s="1"/>
      <c r="Q156" s="1"/>
    </row>
    <row r="157" spans="16:17" x14ac:dyDescent="0.25">
      <c r="P157" s="1"/>
      <c r="Q157" s="1"/>
    </row>
    <row r="158" spans="16:17" x14ac:dyDescent="0.25">
      <c r="P158" s="1"/>
      <c r="Q158" s="1"/>
    </row>
    <row r="159" spans="16:17" x14ac:dyDescent="0.25">
      <c r="P159" s="1"/>
      <c r="Q159" s="1"/>
    </row>
    <row r="160" spans="16:17" x14ac:dyDescent="0.25">
      <c r="P160" s="1"/>
      <c r="Q160" s="1"/>
    </row>
    <row r="161" spans="5:17" x14ac:dyDescent="0.25">
      <c r="P161" s="1"/>
      <c r="Q161" s="1"/>
    </row>
    <row r="162" spans="5:17" x14ac:dyDescent="0.25">
      <c r="P162" s="1"/>
      <c r="Q162" s="1"/>
    </row>
    <row r="163" spans="5:17" x14ac:dyDescent="0.25"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E167" s="7"/>
      <c r="P167" s="1"/>
      <c r="Q167" s="1"/>
    </row>
    <row r="168" spans="5:17" x14ac:dyDescent="0.25">
      <c r="E168" s="7"/>
      <c r="P168" s="1"/>
      <c r="Q168" s="1"/>
    </row>
    <row r="169" spans="5:17" x14ac:dyDescent="0.25">
      <c r="E169" s="7"/>
      <c r="P169" s="1"/>
      <c r="Q169" s="1"/>
    </row>
    <row r="170" spans="5:17" x14ac:dyDescent="0.25">
      <c r="E170" s="7"/>
      <c r="P170" s="1"/>
      <c r="Q170" s="1"/>
    </row>
    <row r="171" spans="5:17" x14ac:dyDescent="0.25">
      <c r="E171" s="7"/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P174" s="1"/>
      <c r="Q174" s="1"/>
    </row>
    <row r="175" spans="5:17" x14ac:dyDescent="0.25">
      <c r="P175" s="1"/>
      <c r="Q175" s="1"/>
    </row>
    <row r="176" spans="5:17" x14ac:dyDescent="0.25">
      <c r="P176" s="1"/>
      <c r="Q176" s="1"/>
    </row>
    <row r="177" spans="5:17" x14ac:dyDescent="0.25">
      <c r="P177" s="1"/>
      <c r="Q177" s="1"/>
    </row>
    <row r="178" spans="5:17" x14ac:dyDescent="0.25">
      <c r="P178" s="1"/>
      <c r="Q178" s="1"/>
    </row>
    <row r="179" spans="5:17" x14ac:dyDescent="0.25">
      <c r="E179" s="7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F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2"/>
      <c r="F192" s="2"/>
      <c r="P192" s="1"/>
      <c r="Q192" s="1"/>
    </row>
    <row r="193" spans="5:17" x14ac:dyDescent="0.25">
      <c r="E193" s="2"/>
      <c r="P193" s="1"/>
      <c r="Q193" s="1"/>
    </row>
    <row r="194" spans="5:17" x14ac:dyDescent="0.25">
      <c r="E194" s="2"/>
      <c r="F194" s="2"/>
      <c r="P194" s="1"/>
      <c r="Q194" s="1"/>
    </row>
    <row r="195" spans="5:17" x14ac:dyDescent="0.25">
      <c r="E195" s="2"/>
      <c r="F195" s="2"/>
      <c r="P195" s="1"/>
      <c r="Q195" s="1"/>
    </row>
    <row r="196" spans="5:17" x14ac:dyDescent="0.25">
      <c r="E196" s="2"/>
      <c r="F196" s="2"/>
      <c r="P196" s="1"/>
      <c r="Q196" s="1"/>
    </row>
    <row r="197" spans="5:17" x14ac:dyDescent="0.25">
      <c r="E197" s="7"/>
      <c r="P197" s="1"/>
      <c r="Q197" s="1"/>
    </row>
    <row r="198" spans="5:17" x14ac:dyDescent="0.25">
      <c r="E198" s="7"/>
      <c r="P198" s="1"/>
      <c r="Q198" s="1"/>
    </row>
    <row r="199" spans="5:17" x14ac:dyDescent="0.25">
      <c r="P199" s="1"/>
      <c r="Q199" s="1"/>
    </row>
    <row r="200" spans="5:17" x14ac:dyDescent="0.25">
      <c r="P200" s="1"/>
      <c r="Q200" s="1"/>
    </row>
    <row r="201" spans="5:17" x14ac:dyDescent="0.25">
      <c r="P201" s="1"/>
      <c r="Q201" s="1"/>
    </row>
    <row r="202" spans="5:17" x14ac:dyDescent="0.25"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E205" s="7"/>
      <c r="P205" s="1"/>
      <c r="Q205" s="1"/>
    </row>
    <row r="206" spans="5:17" x14ac:dyDescent="0.25">
      <c r="E206" s="7"/>
      <c r="P206" s="1"/>
      <c r="Q206" s="1"/>
    </row>
    <row r="207" spans="5:17" x14ac:dyDescent="0.25">
      <c r="E207" s="7"/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P219" s="1"/>
      <c r="Q219" s="1"/>
    </row>
    <row r="220" spans="5:17" x14ac:dyDescent="0.25"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E224" s="7"/>
      <c r="P224" s="1"/>
      <c r="Q224" s="1"/>
    </row>
    <row r="225" spans="5:17" x14ac:dyDescent="0.25">
      <c r="E225" s="7"/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E237" s="7"/>
      <c r="P237" s="1"/>
      <c r="Q237" s="1"/>
    </row>
    <row r="238" spans="5:17" x14ac:dyDescent="0.25">
      <c r="I238" s="5"/>
      <c r="P238" s="1"/>
      <c r="Q238" s="1"/>
    </row>
    <row r="239" spans="5:17" x14ac:dyDescent="0.25">
      <c r="I239" s="5"/>
      <c r="P239" s="1"/>
      <c r="Q239" s="1"/>
    </row>
    <row r="240" spans="5:17" x14ac:dyDescent="0.25">
      <c r="E240" s="7"/>
      <c r="P240" s="1"/>
      <c r="Q240" s="1"/>
    </row>
    <row r="241" spans="5:17" x14ac:dyDescent="0.25">
      <c r="P241" s="1"/>
      <c r="Q241" s="1"/>
    </row>
    <row r="242" spans="5:17" x14ac:dyDescent="0.25"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P246" s="1"/>
      <c r="Q246" s="1"/>
    </row>
    <row r="247" spans="5:17" x14ac:dyDescent="0.25">
      <c r="P247" s="1"/>
      <c r="Q247" s="1"/>
    </row>
    <row r="248" spans="5:17" x14ac:dyDescent="0.25">
      <c r="P248" s="1"/>
      <c r="Q248" s="1"/>
    </row>
    <row r="249" spans="5:17" x14ac:dyDescent="0.25">
      <c r="P249" s="1"/>
      <c r="Q249" s="1"/>
    </row>
    <row r="250" spans="5:17" x14ac:dyDescent="0.25">
      <c r="P250" s="1"/>
      <c r="Q250" s="1"/>
    </row>
    <row r="251" spans="5:17" x14ac:dyDescent="0.25">
      <c r="P251" s="1"/>
      <c r="Q251" s="1"/>
    </row>
    <row r="252" spans="5:17" x14ac:dyDescent="0.25">
      <c r="P252" s="1"/>
      <c r="Q252" s="1"/>
    </row>
    <row r="253" spans="5:17" x14ac:dyDescent="0.25">
      <c r="P253" s="1"/>
      <c r="Q253" s="1"/>
    </row>
    <row r="254" spans="5:17" x14ac:dyDescent="0.25">
      <c r="P254" s="1"/>
      <c r="Q254" s="1"/>
    </row>
    <row r="255" spans="5:17" x14ac:dyDescent="0.25">
      <c r="P255" s="1"/>
      <c r="Q255" s="1"/>
    </row>
    <row r="256" spans="5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P263" s="1"/>
      <c r="Q263" s="1"/>
    </row>
    <row r="264" spans="5:17" x14ac:dyDescent="0.25">
      <c r="P264" s="1"/>
      <c r="Q264" s="1"/>
    </row>
    <row r="265" spans="5:17" x14ac:dyDescent="0.25">
      <c r="P265" s="1"/>
      <c r="Q265" s="1"/>
    </row>
    <row r="266" spans="5:17" x14ac:dyDescent="0.25">
      <c r="P266" s="1"/>
      <c r="Q266" s="1"/>
    </row>
    <row r="267" spans="5:17" x14ac:dyDescent="0.25">
      <c r="P267" s="1"/>
      <c r="Q267" s="1"/>
    </row>
    <row r="268" spans="5:17" x14ac:dyDescent="0.25">
      <c r="E268" s="7"/>
      <c r="P268" s="1"/>
      <c r="Q268" s="1"/>
    </row>
    <row r="269" spans="5:17" x14ac:dyDescent="0.25"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I271" s="5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E274" s="7"/>
      <c r="P274" s="1"/>
      <c r="Q274" s="1"/>
    </row>
    <row r="275" spans="5:17" x14ac:dyDescent="0.25">
      <c r="E275" s="7"/>
      <c r="P275" s="1"/>
      <c r="Q275" s="1"/>
    </row>
    <row r="276" spans="5:17" x14ac:dyDescent="0.25">
      <c r="E276" s="7"/>
      <c r="P276" s="1"/>
      <c r="Q276" s="1"/>
    </row>
    <row r="277" spans="5:17" x14ac:dyDescent="0.25">
      <c r="E277" s="7"/>
      <c r="P277" s="1"/>
      <c r="Q277" s="1"/>
    </row>
    <row r="278" spans="5:17" x14ac:dyDescent="0.25">
      <c r="E278" s="7"/>
      <c r="P278" s="1"/>
      <c r="Q278" s="1"/>
    </row>
    <row r="279" spans="5:17" x14ac:dyDescent="0.25">
      <c r="P279" s="4"/>
      <c r="Q279" s="4"/>
    </row>
    <row r="280" spans="5:17" x14ac:dyDescent="0.25">
      <c r="P280" s="4"/>
      <c r="Q280" s="4"/>
    </row>
    <row r="281" spans="5:17" x14ac:dyDescent="0.25">
      <c r="P281" s="4"/>
      <c r="Q281" s="4"/>
    </row>
    <row r="282" spans="5:17" x14ac:dyDescent="0.25">
      <c r="E282" s="2"/>
      <c r="F282" s="2"/>
      <c r="P282" s="1"/>
      <c r="Q282" s="1"/>
    </row>
    <row r="283" spans="5:17" x14ac:dyDescent="0.25">
      <c r="E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2"/>
      <c r="F361" s="2"/>
      <c r="P361" s="1"/>
      <c r="Q361" s="1"/>
    </row>
    <row r="362" spans="5:17" x14ac:dyDescent="0.25">
      <c r="E362" s="2"/>
      <c r="F362" s="2"/>
      <c r="P362" s="1"/>
      <c r="Q362" s="1"/>
    </row>
    <row r="363" spans="5:17" x14ac:dyDescent="0.25">
      <c r="E363" s="2"/>
      <c r="F363" s="2"/>
      <c r="P363" s="1"/>
      <c r="Q363" s="1"/>
    </row>
    <row r="364" spans="5:17" x14ac:dyDescent="0.25">
      <c r="E364" s="2"/>
      <c r="F364" s="2"/>
      <c r="P364" s="1"/>
      <c r="Q364" s="1"/>
    </row>
    <row r="365" spans="5:17" x14ac:dyDescent="0.25">
      <c r="E365" s="2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6"/>
      <c r="F372" s="2"/>
      <c r="P372" s="1"/>
      <c r="Q372" s="1"/>
    </row>
    <row r="373" spans="5:17" x14ac:dyDescent="0.25">
      <c r="E373" s="6"/>
      <c r="F373" s="2"/>
      <c r="P373" s="1"/>
      <c r="Q373" s="1"/>
    </row>
    <row r="374" spans="5:17" x14ac:dyDescent="0.25">
      <c r="E374" s="6"/>
      <c r="F374" s="2"/>
      <c r="P374" s="1"/>
      <c r="Q374" s="1"/>
    </row>
    <row r="375" spans="5:17" x14ac:dyDescent="0.25">
      <c r="E375" s="6"/>
      <c r="F375" s="2"/>
      <c r="P375" s="1"/>
      <c r="Q375" s="1"/>
    </row>
    <row r="376" spans="5:17" x14ac:dyDescent="0.25">
      <c r="E376" s="6"/>
      <c r="F376" s="2"/>
      <c r="P376" s="1"/>
      <c r="Q376" s="1"/>
    </row>
    <row r="377" spans="5:17" x14ac:dyDescent="0.25">
      <c r="E377" s="2"/>
      <c r="F377" s="2"/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P391" s="1"/>
      <c r="Q391" s="1"/>
    </row>
    <row r="392" spans="5:17" x14ac:dyDescent="0.25">
      <c r="P392" s="1"/>
      <c r="Q392" s="1"/>
    </row>
    <row r="393" spans="5:17" x14ac:dyDescent="0.25">
      <c r="P393" s="1"/>
      <c r="Q393" s="1"/>
    </row>
    <row r="394" spans="5:17" x14ac:dyDescent="0.25">
      <c r="P394" s="1"/>
      <c r="Q394" s="1"/>
    </row>
    <row r="395" spans="5:17" x14ac:dyDescent="0.25">
      <c r="P395" s="1"/>
      <c r="Q395" s="1"/>
    </row>
    <row r="396" spans="5:17" x14ac:dyDescent="0.25">
      <c r="E396" s="7"/>
      <c r="F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E407" s="7"/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P410" s="1"/>
      <c r="Q410" s="1"/>
    </row>
    <row r="411" spans="5:17" x14ac:dyDescent="0.25">
      <c r="E411" s="7"/>
      <c r="P411" s="1"/>
      <c r="Q411" s="1"/>
    </row>
    <row r="412" spans="5:17" x14ac:dyDescent="0.25"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F415" s="7"/>
      <c r="P415" s="1"/>
      <c r="Q415" s="1"/>
    </row>
    <row r="416" spans="5:17" x14ac:dyDescent="0.25">
      <c r="E416" s="7"/>
      <c r="F416" s="7"/>
      <c r="P416" s="1"/>
      <c r="Q416" s="1"/>
    </row>
    <row r="417" spans="5:17" x14ac:dyDescent="0.25">
      <c r="E417" s="7"/>
      <c r="P417" s="1"/>
      <c r="Q417" s="1"/>
    </row>
    <row r="418" spans="5:17" x14ac:dyDescent="0.25">
      <c r="E418" s="7"/>
      <c r="P418" s="1"/>
      <c r="Q418" s="1"/>
    </row>
    <row r="419" spans="5:17" x14ac:dyDescent="0.25">
      <c r="E419" s="7"/>
      <c r="P419" s="1"/>
      <c r="Q419" s="1"/>
    </row>
    <row r="420" spans="5:17" x14ac:dyDescent="0.25">
      <c r="E420" s="7"/>
      <c r="P420" s="1"/>
      <c r="Q420" s="1"/>
    </row>
    <row r="421" spans="5:17" x14ac:dyDescent="0.25">
      <c r="E421" s="7"/>
      <c r="P421" s="1"/>
      <c r="Q421" s="1"/>
    </row>
    <row r="422" spans="5:17" x14ac:dyDescent="0.25">
      <c r="E422" s="7"/>
      <c r="P422" s="1"/>
      <c r="Q422" s="1"/>
    </row>
    <row r="423" spans="5:17" x14ac:dyDescent="0.25">
      <c r="E423" s="7"/>
      <c r="P423" s="1"/>
      <c r="Q423" s="1"/>
    </row>
    <row r="424" spans="5:17" x14ac:dyDescent="0.25">
      <c r="P424" s="1"/>
      <c r="Q424" s="1"/>
    </row>
    <row r="425" spans="5:17" x14ac:dyDescent="0.25">
      <c r="P425" s="1"/>
      <c r="Q425" s="1"/>
    </row>
    <row r="426" spans="5:17" x14ac:dyDescent="0.25">
      <c r="E426" s="7"/>
      <c r="P426" s="1"/>
      <c r="Q426" s="1"/>
    </row>
    <row r="427" spans="5:17" x14ac:dyDescent="0.25">
      <c r="E427" s="7"/>
      <c r="P427" s="1"/>
      <c r="Q427" s="1"/>
    </row>
    <row r="428" spans="5:17" x14ac:dyDescent="0.25">
      <c r="E428" s="7"/>
      <c r="P428" s="1"/>
      <c r="Q428" s="1"/>
    </row>
    <row r="429" spans="5:17" x14ac:dyDescent="0.25">
      <c r="E429" s="7"/>
      <c r="P429" s="1"/>
      <c r="Q429" s="1"/>
    </row>
    <row r="430" spans="5:17" x14ac:dyDescent="0.25">
      <c r="P430" s="1"/>
      <c r="Q430" s="1"/>
    </row>
    <row r="431" spans="5:17" x14ac:dyDescent="0.25">
      <c r="P431" s="1"/>
      <c r="Q431" s="1"/>
    </row>
    <row r="432" spans="5:17" x14ac:dyDescent="0.25">
      <c r="P432" s="1"/>
      <c r="Q432" s="1"/>
    </row>
    <row r="433" spans="2:17" x14ac:dyDescent="0.25">
      <c r="P433" s="1"/>
      <c r="Q433" s="1"/>
    </row>
    <row r="434" spans="2:17" x14ac:dyDescent="0.25">
      <c r="P434" s="1"/>
      <c r="Q434" s="1"/>
    </row>
    <row r="435" spans="2:17" x14ac:dyDescent="0.25">
      <c r="B435" s="8"/>
      <c r="E435" s="7"/>
      <c r="G435" s="8"/>
      <c r="H435" s="8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9"/>
      <c r="F437" s="9"/>
      <c r="G437" s="8"/>
      <c r="H437" s="8"/>
      <c r="I437" s="10"/>
      <c r="P437" s="1"/>
      <c r="Q437" s="1"/>
    </row>
    <row r="438" spans="2:17" x14ac:dyDescent="0.25">
      <c r="B438" s="9"/>
      <c r="E438" s="9"/>
      <c r="F438" s="9"/>
      <c r="G438" s="8"/>
      <c r="H438" s="8"/>
      <c r="I438" s="10"/>
      <c r="P438" s="1"/>
      <c r="Q438" s="1"/>
    </row>
    <row r="439" spans="2:17" x14ac:dyDescent="0.25">
      <c r="B439" s="9"/>
      <c r="E439" s="9"/>
      <c r="F439" s="9"/>
      <c r="G439" s="8"/>
      <c r="H439" s="8"/>
      <c r="I439" s="10"/>
      <c r="P439" s="1"/>
      <c r="Q439" s="1"/>
    </row>
    <row r="440" spans="2:17" x14ac:dyDescent="0.25">
      <c r="B440" s="9"/>
      <c r="E440" s="9"/>
      <c r="F440" s="9"/>
      <c r="G440" s="8"/>
      <c r="H440" s="8"/>
      <c r="I440" s="10"/>
      <c r="P440" s="1"/>
      <c r="Q440" s="1"/>
    </row>
    <row r="441" spans="2:17" x14ac:dyDescent="0.25">
      <c r="B441" s="9"/>
      <c r="E441" s="9"/>
      <c r="F441" s="9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9"/>
      <c r="E456" s="10"/>
      <c r="F456" s="10"/>
      <c r="G456" s="8"/>
      <c r="H456" s="8"/>
      <c r="I456" s="10"/>
      <c r="P456" s="1"/>
      <c r="Q456" s="1"/>
    </row>
    <row r="457" spans="2:17" x14ac:dyDescent="0.25">
      <c r="B457" s="9"/>
      <c r="E457" s="10"/>
      <c r="F457" s="10"/>
      <c r="G457" s="8"/>
      <c r="H457" s="8"/>
      <c r="I457" s="10"/>
      <c r="P457" s="1"/>
      <c r="Q457" s="1"/>
    </row>
    <row r="458" spans="2:17" x14ac:dyDescent="0.25">
      <c r="B458" s="9"/>
      <c r="E458" s="10"/>
      <c r="F458" s="10"/>
      <c r="G458" s="8"/>
      <c r="H458" s="8"/>
      <c r="I458" s="10"/>
      <c r="P458" s="1"/>
      <c r="Q458" s="1"/>
    </row>
    <row r="459" spans="2:17" x14ac:dyDescent="0.25">
      <c r="B459" s="9"/>
      <c r="E459" s="10"/>
      <c r="F459" s="10"/>
      <c r="G459" s="8"/>
      <c r="H459" s="8"/>
      <c r="I459" s="10"/>
      <c r="P459" s="1"/>
      <c r="Q459" s="1"/>
    </row>
    <row r="460" spans="2:17" x14ac:dyDescent="0.25">
      <c r="B460" s="9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9"/>
      <c r="F461" s="9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10"/>
      <c r="E466" s="10"/>
      <c r="F466" s="10"/>
      <c r="G466" s="8"/>
      <c r="H466" s="8"/>
      <c r="I466" s="10"/>
      <c r="P466" s="1"/>
      <c r="Q466" s="1"/>
    </row>
    <row r="467" spans="2:17" x14ac:dyDescent="0.25">
      <c r="B467" s="10"/>
      <c r="E467" s="9"/>
      <c r="F467" s="9"/>
      <c r="G467" s="8"/>
      <c r="H467" s="8"/>
      <c r="I467" s="10"/>
      <c r="P467" s="1"/>
      <c r="Q467" s="1"/>
    </row>
    <row r="468" spans="2:17" x14ac:dyDescent="0.25">
      <c r="B468" s="10"/>
      <c r="E468" s="9"/>
      <c r="F468" s="9"/>
      <c r="G468" s="8"/>
      <c r="H468" s="8"/>
      <c r="I468" s="10"/>
      <c r="P468" s="1"/>
      <c r="Q468" s="1"/>
    </row>
    <row r="469" spans="2:17" x14ac:dyDescent="0.25">
      <c r="B469" s="10"/>
      <c r="E469" s="10"/>
      <c r="F469" s="10"/>
      <c r="G469" s="8"/>
      <c r="H469" s="8"/>
      <c r="I469" s="10"/>
      <c r="P469" s="1"/>
      <c r="Q469" s="1"/>
    </row>
    <row r="470" spans="2:17" x14ac:dyDescent="0.25">
      <c r="B470" s="10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9"/>
      <c r="F471" s="9"/>
      <c r="G471" s="8"/>
      <c r="H471" s="8"/>
      <c r="I471" s="10"/>
      <c r="P471" s="1"/>
      <c r="Q471" s="1"/>
    </row>
    <row r="472" spans="2:17" x14ac:dyDescent="0.25">
      <c r="B472" s="9"/>
      <c r="E472" s="9"/>
      <c r="F472" s="9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B478" s="9"/>
      <c r="E478" s="9"/>
      <c r="F478" s="9"/>
      <c r="G478" s="8"/>
      <c r="H478" s="8"/>
      <c r="I478" s="10"/>
      <c r="P478" s="1"/>
      <c r="Q478" s="1"/>
    </row>
    <row r="479" spans="2:17" x14ac:dyDescent="0.25">
      <c r="B479" s="9"/>
      <c r="E479" s="9"/>
      <c r="F479" s="9"/>
      <c r="G479" s="8"/>
      <c r="H479" s="8"/>
      <c r="I479" s="10"/>
      <c r="P479" s="1"/>
      <c r="Q479" s="1"/>
    </row>
    <row r="480" spans="2:17" x14ac:dyDescent="0.25">
      <c r="B480" s="9"/>
      <c r="E480" s="10"/>
      <c r="F480" s="10"/>
      <c r="G480" s="8"/>
      <c r="H480" s="8"/>
      <c r="I480" s="10"/>
      <c r="P480" s="1"/>
      <c r="Q480" s="1"/>
    </row>
    <row r="481" spans="2:17" x14ac:dyDescent="0.25">
      <c r="B481" s="9"/>
      <c r="E481" s="10"/>
      <c r="F481" s="10"/>
      <c r="G481" s="8"/>
      <c r="H481" s="8"/>
      <c r="I481" s="10"/>
      <c r="P481" s="1"/>
      <c r="Q481" s="1"/>
    </row>
    <row r="482" spans="2:17" x14ac:dyDescent="0.25">
      <c r="B482" s="9"/>
      <c r="E482" s="10"/>
      <c r="F482" s="10"/>
      <c r="G482" s="8"/>
      <c r="H482" s="8"/>
      <c r="I482" s="10"/>
      <c r="P482" s="1"/>
      <c r="Q482" s="1"/>
    </row>
    <row r="483" spans="2:17" x14ac:dyDescent="0.25">
      <c r="P483" s="1"/>
      <c r="Q483" s="1"/>
    </row>
    <row r="484" spans="2:17" x14ac:dyDescent="0.25">
      <c r="P484" s="1"/>
      <c r="Q484" s="1"/>
    </row>
    <row r="485" spans="2:17" x14ac:dyDescent="0.25">
      <c r="P485" s="1"/>
      <c r="Q485" s="1"/>
    </row>
    <row r="486" spans="2:17" x14ac:dyDescent="0.25">
      <c r="P486" s="1"/>
      <c r="Q486" s="1"/>
    </row>
    <row r="487" spans="2:17" x14ac:dyDescent="0.25">
      <c r="P487" s="1"/>
      <c r="Q487" s="1"/>
    </row>
    <row r="488" spans="2:17" x14ac:dyDescent="0.25">
      <c r="P488" s="1"/>
      <c r="Q488" s="1"/>
    </row>
    <row r="489" spans="2:17" x14ac:dyDescent="0.25">
      <c r="P489" s="1"/>
      <c r="Q489" s="1"/>
    </row>
    <row r="490" spans="2:17" x14ac:dyDescent="0.25">
      <c r="P490" s="1"/>
      <c r="Q490" s="1"/>
    </row>
    <row r="491" spans="2:17" x14ac:dyDescent="0.25">
      <c r="P491" s="1"/>
      <c r="Q491" s="1"/>
    </row>
    <row r="492" spans="2:17" x14ac:dyDescent="0.25">
      <c r="P492" s="1"/>
      <c r="Q492" s="1"/>
    </row>
    <row r="493" spans="2:17" x14ac:dyDescent="0.25">
      <c r="P493" s="1"/>
      <c r="Q493" s="1"/>
    </row>
    <row r="494" spans="2:17" x14ac:dyDescent="0.25">
      <c r="P494" s="1"/>
      <c r="Q494" s="1"/>
    </row>
    <row r="495" spans="2:17" x14ac:dyDescent="0.25">
      <c r="P495" s="1"/>
      <c r="Q495" s="1"/>
    </row>
  </sheetData>
  <autoFilter ref="B1:I482" xr:uid="{00000000-0009-0000-0000-000000000000}"/>
  <phoneticPr fontId="9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2026-03-21T21:18:54Z</dcterms:modified>
</cp:coreProperties>
</file>