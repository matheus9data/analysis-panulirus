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Faculdade\Laboratorio\lagostas_carapaca\"/>
    </mc:Choice>
  </mc:AlternateContent>
  <xr:revisionPtr revIDLastSave="0" documentId="13_ncr:1_{84A5F4B2-7335-403D-81E5-E4950768F14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corrências Panulirus" sheetId="1" r:id="rId1"/>
  </sheets>
  <definedNames>
    <definedName name="_xlnm._FilterDatabase" localSheetId="0" hidden="1">'Ocorrências Panulirus'!$R$1:$R$486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7" i="1" l="1"/>
  <c r="K197" i="1"/>
  <c r="L197" i="1"/>
  <c r="P197" i="1" s="1"/>
  <c r="M197" i="1"/>
  <c r="N197" i="1"/>
  <c r="O197" i="1"/>
  <c r="Q197" i="1" s="1"/>
  <c r="J198" i="1"/>
  <c r="K198" i="1"/>
  <c r="L198" i="1"/>
  <c r="P198" i="1" s="1"/>
  <c r="M198" i="1"/>
  <c r="N198" i="1"/>
  <c r="O198" i="1"/>
  <c r="Q198" i="1" s="1"/>
  <c r="J196" i="1"/>
  <c r="K196" i="1"/>
  <c r="L196" i="1"/>
  <c r="M196" i="1"/>
  <c r="N196" i="1"/>
  <c r="O196" i="1"/>
  <c r="Q196" i="1" s="1"/>
  <c r="P196" i="1"/>
  <c r="J178" i="1"/>
  <c r="K178" i="1"/>
  <c r="L178" i="1"/>
  <c r="M178" i="1"/>
  <c r="N178" i="1"/>
  <c r="O178" i="1"/>
  <c r="J179" i="1"/>
  <c r="K179" i="1"/>
  <c r="L179" i="1"/>
  <c r="M179" i="1"/>
  <c r="N179" i="1"/>
  <c r="O179" i="1"/>
  <c r="J180" i="1"/>
  <c r="K180" i="1"/>
  <c r="L180" i="1"/>
  <c r="M180" i="1"/>
  <c r="N180" i="1"/>
  <c r="O180" i="1"/>
  <c r="J181" i="1"/>
  <c r="K181" i="1"/>
  <c r="L181" i="1"/>
  <c r="M181" i="1"/>
  <c r="N181" i="1"/>
  <c r="O181" i="1"/>
  <c r="J182" i="1"/>
  <c r="K182" i="1"/>
  <c r="L182" i="1"/>
  <c r="M182" i="1"/>
  <c r="N182" i="1"/>
  <c r="O182" i="1"/>
  <c r="J183" i="1"/>
  <c r="K183" i="1"/>
  <c r="L183" i="1"/>
  <c r="M183" i="1"/>
  <c r="N183" i="1"/>
  <c r="O183" i="1"/>
  <c r="Q183" i="1" s="1"/>
  <c r="J184" i="1"/>
  <c r="K184" i="1"/>
  <c r="L184" i="1"/>
  <c r="M184" i="1"/>
  <c r="N184" i="1"/>
  <c r="O184" i="1"/>
  <c r="J185" i="1"/>
  <c r="K185" i="1"/>
  <c r="L185" i="1"/>
  <c r="M185" i="1"/>
  <c r="N185" i="1"/>
  <c r="O185" i="1"/>
  <c r="J186" i="1"/>
  <c r="K186" i="1"/>
  <c r="L186" i="1"/>
  <c r="M186" i="1"/>
  <c r="N186" i="1"/>
  <c r="O186" i="1"/>
  <c r="J187" i="1"/>
  <c r="K187" i="1"/>
  <c r="L187" i="1"/>
  <c r="M187" i="1"/>
  <c r="N187" i="1"/>
  <c r="O187" i="1"/>
  <c r="J188" i="1"/>
  <c r="K188" i="1"/>
  <c r="L188" i="1"/>
  <c r="M188" i="1"/>
  <c r="N188" i="1"/>
  <c r="O188" i="1"/>
  <c r="J189" i="1"/>
  <c r="K189" i="1"/>
  <c r="L189" i="1"/>
  <c r="M189" i="1"/>
  <c r="N189" i="1"/>
  <c r="O189" i="1"/>
  <c r="J190" i="1"/>
  <c r="K190" i="1"/>
  <c r="L190" i="1"/>
  <c r="M190" i="1"/>
  <c r="N190" i="1"/>
  <c r="O190" i="1"/>
  <c r="J191" i="1"/>
  <c r="K191" i="1"/>
  <c r="L191" i="1"/>
  <c r="M191" i="1"/>
  <c r="N191" i="1"/>
  <c r="O191" i="1"/>
  <c r="J192" i="1"/>
  <c r="K192" i="1"/>
  <c r="L192" i="1"/>
  <c r="M192" i="1"/>
  <c r="N192" i="1"/>
  <c r="O192" i="1"/>
  <c r="J193" i="1"/>
  <c r="K193" i="1"/>
  <c r="L193" i="1"/>
  <c r="M193" i="1"/>
  <c r="N193" i="1"/>
  <c r="O193" i="1"/>
  <c r="J194" i="1"/>
  <c r="K194" i="1"/>
  <c r="L194" i="1"/>
  <c r="M194" i="1"/>
  <c r="N194" i="1"/>
  <c r="O194" i="1"/>
  <c r="J195" i="1"/>
  <c r="K195" i="1"/>
  <c r="L195" i="1"/>
  <c r="M195" i="1"/>
  <c r="N195" i="1"/>
  <c r="O195" i="1"/>
  <c r="J130" i="1"/>
  <c r="K130" i="1"/>
  <c r="L130" i="1"/>
  <c r="M130" i="1"/>
  <c r="N130" i="1"/>
  <c r="O130" i="1"/>
  <c r="J131" i="1"/>
  <c r="K131" i="1"/>
  <c r="L131" i="1"/>
  <c r="M131" i="1"/>
  <c r="N131" i="1"/>
  <c r="O131" i="1"/>
  <c r="J132" i="1"/>
  <c r="K132" i="1"/>
  <c r="L132" i="1"/>
  <c r="M132" i="1"/>
  <c r="N132" i="1"/>
  <c r="O132" i="1"/>
  <c r="J133" i="1"/>
  <c r="K133" i="1"/>
  <c r="L133" i="1"/>
  <c r="M133" i="1"/>
  <c r="N133" i="1"/>
  <c r="O133" i="1"/>
  <c r="J134" i="1"/>
  <c r="K134" i="1"/>
  <c r="L134" i="1"/>
  <c r="M134" i="1"/>
  <c r="N134" i="1"/>
  <c r="O134" i="1"/>
  <c r="J135" i="1"/>
  <c r="K135" i="1"/>
  <c r="L135" i="1"/>
  <c r="M135" i="1"/>
  <c r="N135" i="1"/>
  <c r="O135" i="1"/>
  <c r="J136" i="1"/>
  <c r="K136" i="1"/>
  <c r="L136" i="1"/>
  <c r="M136" i="1"/>
  <c r="N136" i="1"/>
  <c r="O136" i="1"/>
  <c r="J137" i="1"/>
  <c r="K137" i="1"/>
  <c r="L137" i="1"/>
  <c r="M137" i="1"/>
  <c r="N137" i="1"/>
  <c r="O137" i="1"/>
  <c r="J138" i="1"/>
  <c r="K138" i="1"/>
  <c r="L138" i="1"/>
  <c r="M138" i="1"/>
  <c r="N138" i="1"/>
  <c r="O138" i="1"/>
  <c r="J139" i="1"/>
  <c r="K139" i="1"/>
  <c r="L139" i="1"/>
  <c r="M139" i="1"/>
  <c r="N139" i="1"/>
  <c r="O139" i="1"/>
  <c r="J140" i="1"/>
  <c r="K140" i="1"/>
  <c r="L140" i="1"/>
  <c r="M140" i="1"/>
  <c r="N140" i="1"/>
  <c r="O140" i="1"/>
  <c r="J141" i="1"/>
  <c r="K141" i="1"/>
  <c r="L141" i="1"/>
  <c r="M141" i="1"/>
  <c r="N141" i="1"/>
  <c r="O141" i="1"/>
  <c r="J142" i="1"/>
  <c r="K142" i="1"/>
  <c r="L142" i="1"/>
  <c r="M142" i="1"/>
  <c r="N142" i="1"/>
  <c r="O142" i="1"/>
  <c r="J143" i="1"/>
  <c r="K143" i="1"/>
  <c r="L143" i="1"/>
  <c r="M143" i="1"/>
  <c r="N143" i="1"/>
  <c r="O143" i="1"/>
  <c r="J144" i="1"/>
  <c r="K144" i="1"/>
  <c r="L144" i="1"/>
  <c r="M144" i="1"/>
  <c r="N144" i="1"/>
  <c r="O144" i="1"/>
  <c r="J145" i="1"/>
  <c r="K145" i="1"/>
  <c r="L145" i="1"/>
  <c r="M145" i="1"/>
  <c r="N145" i="1"/>
  <c r="O145" i="1"/>
  <c r="J146" i="1"/>
  <c r="K146" i="1"/>
  <c r="L146" i="1"/>
  <c r="M146" i="1"/>
  <c r="N146" i="1"/>
  <c r="O146" i="1"/>
  <c r="J147" i="1"/>
  <c r="K147" i="1"/>
  <c r="L147" i="1"/>
  <c r="M147" i="1"/>
  <c r="N147" i="1"/>
  <c r="O147" i="1"/>
  <c r="J148" i="1"/>
  <c r="K148" i="1"/>
  <c r="L148" i="1"/>
  <c r="M148" i="1"/>
  <c r="N148" i="1"/>
  <c r="O148" i="1"/>
  <c r="J149" i="1"/>
  <c r="K149" i="1"/>
  <c r="L149" i="1"/>
  <c r="M149" i="1"/>
  <c r="N149" i="1"/>
  <c r="O149" i="1"/>
  <c r="J150" i="1"/>
  <c r="K150" i="1"/>
  <c r="L150" i="1"/>
  <c r="M150" i="1"/>
  <c r="N150" i="1"/>
  <c r="O150" i="1"/>
  <c r="J151" i="1"/>
  <c r="K151" i="1"/>
  <c r="L151" i="1"/>
  <c r="M151" i="1"/>
  <c r="N151" i="1"/>
  <c r="O151" i="1"/>
  <c r="J152" i="1"/>
  <c r="K152" i="1"/>
  <c r="L152" i="1"/>
  <c r="M152" i="1"/>
  <c r="N152" i="1"/>
  <c r="O152" i="1"/>
  <c r="J153" i="1"/>
  <c r="K153" i="1"/>
  <c r="L153" i="1"/>
  <c r="M153" i="1"/>
  <c r="N153" i="1"/>
  <c r="O153" i="1"/>
  <c r="J154" i="1"/>
  <c r="K154" i="1"/>
  <c r="L154" i="1"/>
  <c r="M154" i="1"/>
  <c r="N154" i="1"/>
  <c r="O154" i="1"/>
  <c r="J155" i="1"/>
  <c r="K155" i="1"/>
  <c r="L155" i="1"/>
  <c r="M155" i="1"/>
  <c r="N155" i="1"/>
  <c r="O155" i="1"/>
  <c r="J156" i="1"/>
  <c r="K156" i="1"/>
  <c r="L156" i="1"/>
  <c r="M156" i="1"/>
  <c r="N156" i="1"/>
  <c r="O156" i="1"/>
  <c r="J157" i="1"/>
  <c r="K157" i="1"/>
  <c r="L157" i="1"/>
  <c r="M157" i="1"/>
  <c r="N157" i="1"/>
  <c r="O157" i="1"/>
  <c r="J158" i="1"/>
  <c r="K158" i="1"/>
  <c r="L158" i="1"/>
  <c r="M158" i="1"/>
  <c r="N158" i="1"/>
  <c r="O158" i="1"/>
  <c r="J159" i="1"/>
  <c r="K159" i="1"/>
  <c r="L159" i="1"/>
  <c r="M159" i="1"/>
  <c r="N159" i="1"/>
  <c r="O159" i="1"/>
  <c r="J160" i="1"/>
  <c r="K160" i="1"/>
  <c r="L160" i="1"/>
  <c r="M160" i="1"/>
  <c r="N160" i="1"/>
  <c r="O160" i="1"/>
  <c r="J161" i="1"/>
  <c r="K161" i="1"/>
  <c r="L161" i="1"/>
  <c r="M161" i="1"/>
  <c r="N161" i="1"/>
  <c r="O161" i="1"/>
  <c r="J162" i="1"/>
  <c r="K162" i="1"/>
  <c r="L162" i="1"/>
  <c r="M162" i="1"/>
  <c r="N162" i="1"/>
  <c r="O162" i="1"/>
  <c r="J163" i="1"/>
  <c r="K163" i="1"/>
  <c r="L163" i="1"/>
  <c r="M163" i="1"/>
  <c r="N163" i="1"/>
  <c r="O163" i="1"/>
  <c r="J164" i="1"/>
  <c r="K164" i="1"/>
  <c r="L164" i="1"/>
  <c r="M164" i="1"/>
  <c r="N164" i="1"/>
  <c r="O164" i="1"/>
  <c r="J165" i="1"/>
  <c r="K165" i="1"/>
  <c r="L165" i="1"/>
  <c r="M165" i="1"/>
  <c r="N165" i="1"/>
  <c r="O165" i="1"/>
  <c r="J166" i="1"/>
  <c r="K166" i="1"/>
  <c r="L166" i="1"/>
  <c r="M166" i="1"/>
  <c r="N166" i="1"/>
  <c r="O166" i="1"/>
  <c r="J167" i="1"/>
  <c r="K167" i="1"/>
  <c r="L167" i="1"/>
  <c r="M167" i="1"/>
  <c r="N167" i="1"/>
  <c r="O167" i="1"/>
  <c r="J168" i="1"/>
  <c r="K168" i="1"/>
  <c r="L168" i="1"/>
  <c r="M168" i="1"/>
  <c r="N168" i="1"/>
  <c r="O168" i="1"/>
  <c r="J169" i="1"/>
  <c r="K169" i="1"/>
  <c r="L169" i="1"/>
  <c r="M169" i="1"/>
  <c r="N169" i="1"/>
  <c r="O169" i="1"/>
  <c r="J170" i="1"/>
  <c r="K170" i="1"/>
  <c r="L170" i="1"/>
  <c r="M170" i="1"/>
  <c r="N170" i="1"/>
  <c r="O170" i="1"/>
  <c r="J171" i="1"/>
  <c r="K171" i="1"/>
  <c r="L171" i="1"/>
  <c r="M171" i="1"/>
  <c r="N171" i="1"/>
  <c r="O171" i="1"/>
  <c r="J172" i="1"/>
  <c r="K172" i="1"/>
  <c r="L172" i="1"/>
  <c r="M172" i="1"/>
  <c r="N172" i="1"/>
  <c r="O172" i="1"/>
  <c r="J173" i="1"/>
  <c r="K173" i="1"/>
  <c r="L173" i="1"/>
  <c r="M173" i="1"/>
  <c r="N173" i="1"/>
  <c r="O173" i="1"/>
  <c r="J174" i="1"/>
  <c r="K174" i="1"/>
  <c r="L174" i="1"/>
  <c r="M174" i="1"/>
  <c r="N174" i="1"/>
  <c r="O174" i="1"/>
  <c r="J175" i="1"/>
  <c r="K175" i="1"/>
  <c r="L175" i="1"/>
  <c r="M175" i="1"/>
  <c r="N175" i="1"/>
  <c r="O175" i="1"/>
  <c r="J176" i="1"/>
  <c r="K176" i="1"/>
  <c r="L176" i="1"/>
  <c r="M176" i="1"/>
  <c r="N176" i="1"/>
  <c r="O176" i="1"/>
  <c r="J177" i="1"/>
  <c r="K177" i="1"/>
  <c r="L177" i="1"/>
  <c r="M177" i="1"/>
  <c r="N177" i="1"/>
  <c r="O177" i="1"/>
  <c r="O9" i="1"/>
  <c r="N9" i="1"/>
  <c r="M9" i="1"/>
  <c r="L9" i="1"/>
  <c r="K9" i="1"/>
  <c r="J9" i="1"/>
  <c r="O8" i="1"/>
  <c r="N8" i="1"/>
  <c r="M8" i="1"/>
  <c r="L8" i="1"/>
  <c r="K8" i="1"/>
  <c r="J8" i="1"/>
  <c r="O90" i="1"/>
  <c r="N90" i="1"/>
  <c r="M90" i="1"/>
  <c r="L90" i="1"/>
  <c r="K90" i="1"/>
  <c r="J90" i="1"/>
  <c r="O89" i="1"/>
  <c r="N89" i="1"/>
  <c r="M89" i="1"/>
  <c r="L89" i="1"/>
  <c r="K89" i="1"/>
  <c r="J89" i="1"/>
  <c r="K20" i="1"/>
  <c r="J24" i="1"/>
  <c r="K24" i="1"/>
  <c r="L24" i="1"/>
  <c r="M24" i="1"/>
  <c r="N24" i="1"/>
  <c r="O24" i="1"/>
  <c r="J25" i="1"/>
  <c r="K25" i="1"/>
  <c r="L25" i="1"/>
  <c r="M25" i="1"/>
  <c r="N25" i="1"/>
  <c r="O25" i="1"/>
  <c r="J26" i="1"/>
  <c r="K26" i="1"/>
  <c r="L26" i="1"/>
  <c r="M26" i="1"/>
  <c r="N26" i="1"/>
  <c r="O26" i="1"/>
  <c r="J27" i="1"/>
  <c r="K27" i="1"/>
  <c r="L27" i="1"/>
  <c r="M27" i="1"/>
  <c r="N27" i="1"/>
  <c r="O27" i="1"/>
  <c r="J28" i="1"/>
  <c r="K28" i="1"/>
  <c r="L28" i="1"/>
  <c r="M28" i="1"/>
  <c r="N28" i="1"/>
  <c r="O28" i="1"/>
  <c r="J29" i="1"/>
  <c r="K29" i="1"/>
  <c r="L29" i="1"/>
  <c r="M29" i="1"/>
  <c r="N29" i="1"/>
  <c r="O29" i="1"/>
  <c r="J30" i="1"/>
  <c r="K30" i="1"/>
  <c r="L30" i="1"/>
  <c r="M30" i="1"/>
  <c r="N30" i="1"/>
  <c r="O30" i="1"/>
  <c r="J31" i="1"/>
  <c r="K31" i="1"/>
  <c r="L31" i="1"/>
  <c r="M31" i="1"/>
  <c r="N31" i="1"/>
  <c r="O31" i="1"/>
  <c r="J32" i="1"/>
  <c r="K32" i="1"/>
  <c r="L32" i="1"/>
  <c r="M32" i="1"/>
  <c r="N32" i="1"/>
  <c r="O32" i="1"/>
  <c r="J33" i="1"/>
  <c r="K33" i="1"/>
  <c r="L33" i="1"/>
  <c r="M33" i="1"/>
  <c r="N33" i="1"/>
  <c r="O33" i="1"/>
  <c r="J34" i="1"/>
  <c r="K34" i="1"/>
  <c r="L34" i="1"/>
  <c r="M34" i="1"/>
  <c r="N34" i="1"/>
  <c r="O34" i="1"/>
  <c r="J35" i="1"/>
  <c r="K35" i="1"/>
  <c r="L35" i="1"/>
  <c r="M35" i="1"/>
  <c r="N35" i="1"/>
  <c r="O35" i="1"/>
  <c r="J36" i="1"/>
  <c r="K36" i="1"/>
  <c r="L36" i="1"/>
  <c r="M36" i="1"/>
  <c r="N36" i="1"/>
  <c r="O36" i="1"/>
  <c r="J37" i="1"/>
  <c r="K37" i="1"/>
  <c r="L37" i="1"/>
  <c r="M37" i="1"/>
  <c r="N37" i="1"/>
  <c r="O37" i="1"/>
  <c r="J38" i="1"/>
  <c r="K38" i="1"/>
  <c r="L38" i="1"/>
  <c r="M38" i="1"/>
  <c r="N38" i="1"/>
  <c r="O38" i="1"/>
  <c r="J39" i="1"/>
  <c r="K39" i="1"/>
  <c r="L39" i="1"/>
  <c r="M39" i="1"/>
  <c r="N39" i="1"/>
  <c r="O39" i="1"/>
  <c r="J40" i="1"/>
  <c r="K40" i="1"/>
  <c r="L40" i="1"/>
  <c r="M40" i="1"/>
  <c r="N40" i="1"/>
  <c r="O40" i="1"/>
  <c r="J41" i="1"/>
  <c r="K41" i="1"/>
  <c r="L41" i="1"/>
  <c r="M41" i="1"/>
  <c r="N41" i="1"/>
  <c r="O41" i="1"/>
  <c r="J42" i="1"/>
  <c r="K42" i="1"/>
  <c r="L42" i="1"/>
  <c r="M42" i="1"/>
  <c r="N42" i="1"/>
  <c r="O42" i="1"/>
  <c r="J43" i="1"/>
  <c r="K43" i="1"/>
  <c r="L43" i="1"/>
  <c r="M43" i="1"/>
  <c r="N43" i="1"/>
  <c r="O43" i="1"/>
  <c r="J44" i="1"/>
  <c r="K44" i="1"/>
  <c r="L44" i="1"/>
  <c r="M44" i="1"/>
  <c r="N44" i="1"/>
  <c r="O44" i="1"/>
  <c r="J45" i="1"/>
  <c r="K45" i="1"/>
  <c r="L45" i="1"/>
  <c r="M45" i="1"/>
  <c r="N45" i="1"/>
  <c r="O45" i="1"/>
  <c r="J46" i="1"/>
  <c r="K46" i="1"/>
  <c r="L46" i="1"/>
  <c r="M46" i="1"/>
  <c r="N46" i="1"/>
  <c r="O46" i="1"/>
  <c r="J47" i="1"/>
  <c r="K47" i="1"/>
  <c r="L47" i="1"/>
  <c r="M47" i="1"/>
  <c r="N47" i="1"/>
  <c r="O47" i="1"/>
  <c r="J48" i="1"/>
  <c r="K48" i="1"/>
  <c r="L48" i="1"/>
  <c r="M48" i="1"/>
  <c r="N48" i="1"/>
  <c r="O48" i="1"/>
  <c r="J49" i="1"/>
  <c r="K49" i="1"/>
  <c r="L49" i="1"/>
  <c r="M49" i="1"/>
  <c r="N49" i="1"/>
  <c r="O49" i="1"/>
  <c r="J50" i="1"/>
  <c r="K50" i="1"/>
  <c r="L50" i="1"/>
  <c r="M50" i="1"/>
  <c r="N50" i="1"/>
  <c r="O50" i="1"/>
  <c r="J51" i="1"/>
  <c r="K51" i="1"/>
  <c r="L51" i="1"/>
  <c r="M51" i="1"/>
  <c r="N51" i="1"/>
  <c r="O51" i="1"/>
  <c r="J52" i="1"/>
  <c r="K52" i="1"/>
  <c r="L52" i="1"/>
  <c r="M52" i="1"/>
  <c r="N52" i="1"/>
  <c r="O52" i="1"/>
  <c r="J53" i="1"/>
  <c r="K53" i="1"/>
  <c r="L53" i="1"/>
  <c r="M53" i="1"/>
  <c r="N53" i="1"/>
  <c r="O53" i="1"/>
  <c r="J54" i="1"/>
  <c r="K54" i="1"/>
  <c r="L54" i="1"/>
  <c r="M54" i="1"/>
  <c r="N54" i="1"/>
  <c r="O54" i="1"/>
  <c r="J55" i="1"/>
  <c r="K55" i="1"/>
  <c r="L55" i="1"/>
  <c r="M55" i="1"/>
  <c r="N55" i="1"/>
  <c r="O55" i="1"/>
  <c r="J56" i="1"/>
  <c r="K56" i="1"/>
  <c r="L56" i="1"/>
  <c r="M56" i="1"/>
  <c r="N56" i="1"/>
  <c r="O56" i="1"/>
  <c r="J57" i="1"/>
  <c r="K57" i="1"/>
  <c r="L57" i="1"/>
  <c r="M57" i="1"/>
  <c r="N57" i="1"/>
  <c r="O57" i="1"/>
  <c r="J58" i="1"/>
  <c r="K58" i="1"/>
  <c r="L58" i="1"/>
  <c r="M58" i="1"/>
  <c r="N58" i="1"/>
  <c r="O58" i="1"/>
  <c r="J59" i="1"/>
  <c r="K59" i="1"/>
  <c r="L59" i="1"/>
  <c r="M59" i="1"/>
  <c r="N59" i="1"/>
  <c r="O59" i="1"/>
  <c r="J60" i="1"/>
  <c r="K60" i="1"/>
  <c r="L60" i="1"/>
  <c r="M60" i="1"/>
  <c r="N60" i="1"/>
  <c r="O60" i="1"/>
  <c r="J61" i="1"/>
  <c r="K61" i="1"/>
  <c r="L61" i="1"/>
  <c r="M61" i="1"/>
  <c r="N61" i="1"/>
  <c r="O61" i="1"/>
  <c r="J62" i="1"/>
  <c r="K62" i="1"/>
  <c r="L62" i="1"/>
  <c r="M62" i="1"/>
  <c r="N62" i="1"/>
  <c r="O62" i="1"/>
  <c r="J63" i="1"/>
  <c r="K63" i="1"/>
  <c r="L63" i="1"/>
  <c r="M63" i="1"/>
  <c r="N63" i="1"/>
  <c r="O63" i="1"/>
  <c r="J64" i="1"/>
  <c r="K64" i="1"/>
  <c r="L64" i="1"/>
  <c r="M64" i="1"/>
  <c r="N64" i="1"/>
  <c r="O64" i="1"/>
  <c r="J65" i="1"/>
  <c r="K65" i="1"/>
  <c r="L65" i="1"/>
  <c r="M65" i="1"/>
  <c r="N65" i="1"/>
  <c r="O65" i="1"/>
  <c r="J66" i="1"/>
  <c r="K66" i="1"/>
  <c r="L66" i="1"/>
  <c r="M66" i="1"/>
  <c r="N66" i="1"/>
  <c r="O66" i="1"/>
  <c r="J67" i="1"/>
  <c r="K67" i="1"/>
  <c r="L67" i="1"/>
  <c r="M67" i="1"/>
  <c r="N67" i="1"/>
  <c r="O67" i="1"/>
  <c r="J68" i="1"/>
  <c r="K68" i="1"/>
  <c r="L68" i="1"/>
  <c r="M68" i="1"/>
  <c r="N68" i="1"/>
  <c r="O68" i="1"/>
  <c r="J69" i="1"/>
  <c r="K69" i="1"/>
  <c r="L69" i="1"/>
  <c r="M69" i="1"/>
  <c r="N69" i="1"/>
  <c r="O69" i="1"/>
  <c r="J70" i="1"/>
  <c r="K70" i="1"/>
  <c r="L70" i="1"/>
  <c r="M70" i="1"/>
  <c r="N70" i="1"/>
  <c r="O70" i="1"/>
  <c r="J71" i="1"/>
  <c r="K71" i="1"/>
  <c r="L71" i="1"/>
  <c r="M71" i="1"/>
  <c r="N71" i="1"/>
  <c r="O71" i="1"/>
  <c r="J72" i="1"/>
  <c r="K72" i="1"/>
  <c r="L72" i="1"/>
  <c r="M72" i="1"/>
  <c r="N72" i="1"/>
  <c r="O72" i="1"/>
  <c r="J73" i="1"/>
  <c r="K73" i="1"/>
  <c r="L73" i="1"/>
  <c r="M73" i="1"/>
  <c r="N73" i="1"/>
  <c r="O73" i="1"/>
  <c r="J74" i="1"/>
  <c r="K74" i="1"/>
  <c r="L74" i="1"/>
  <c r="M74" i="1"/>
  <c r="N74" i="1"/>
  <c r="O74" i="1"/>
  <c r="J75" i="1"/>
  <c r="K75" i="1"/>
  <c r="L75" i="1"/>
  <c r="M75" i="1"/>
  <c r="N75" i="1"/>
  <c r="O75" i="1"/>
  <c r="J76" i="1"/>
  <c r="K76" i="1"/>
  <c r="L76" i="1"/>
  <c r="M76" i="1"/>
  <c r="N76" i="1"/>
  <c r="O76" i="1"/>
  <c r="J77" i="1"/>
  <c r="K77" i="1"/>
  <c r="L77" i="1"/>
  <c r="M77" i="1"/>
  <c r="N77" i="1"/>
  <c r="O77" i="1"/>
  <c r="J78" i="1"/>
  <c r="K78" i="1"/>
  <c r="L78" i="1"/>
  <c r="M78" i="1"/>
  <c r="N78" i="1"/>
  <c r="O78" i="1"/>
  <c r="J79" i="1"/>
  <c r="K79" i="1"/>
  <c r="L79" i="1"/>
  <c r="M79" i="1"/>
  <c r="N79" i="1"/>
  <c r="O79" i="1"/>
  <c r="J80" i="1"/>
  <c r="K80" i="1"/>
  <c r="L80" i="1"/>
  <c r="M80" i="1"/>
  <c r="N80" i="1"/>
  <c r="O80" i="1"/>
  <c r="J81" i="1"/>
  <c r="K81" i="1"/>
  <c r="L81" i="1"/>
  <c r="M81" i="1"/>
  <c r="N81" i="1"/>
  <c r="O81" i="1"/>
  <c r="J82" i="1"/>
  <c r="K82" i="1"/>
  <c r="L82" i="1"/>
  <c r="M82" i="1"/>
  <c r="N82" i="1"/>
  <c r="O82" i="1"/>
  <c r="J83" i="1"/>
  <c r="K83" i="1"/>
  <c r="L83" i="1"/>
  <c r="M83" i="1"/>
  <c r="N83" i="1"/>
  <c r="O83" i="1"/>
  <c r="J84" i="1"/>
  <c r="K84" i="1"/>
  <c r="L84" i="1"/>
  <c r="M84" i="1"/>
  <c r="N84" i="1"/>
  <c r="O84" i="1"/>
  <c r="J85" i="1"/>
  <c r="K85" i="1"/>
  <c r="L85" i="1"/>
  <c r="M85" i="1"/>
  <c r="N85" i="1"/>
  <c r="O85" i="1"/>
  <c r="J86" i="1"/>
  <c r="K86" i="1"/>
  <c r="L86" i="1"/>
  <c r="M86" i="1"/>
  <c r="N86" i="1"/>
  <c r="O86" i="1"/>
  <c r="J87" i="1"/>
  <c r="K87" i="1"/>
  <c r="L87" i="1"/>
  <c r="M87" i="1"/>
  <c r="N87" i="1"/>
  <c r="O87" i="1"/>
  <c r="J88" i="1"/>
  <c r="K88" i="1"/>
  <c r="L88" i="1"/>
  <c r="M88" i="1"/>
  <c r="N88" i="1"/>
  <c r="O88" i="1"/>
  <c r="J91" i="1"/>
  <c r="K91" i="1"/>
  <c r="L91" i="1"/>
  <c r="M91" i="1"/>
  <c r="N91" i="1"/>
  <c r="O91" i="1"/>
  <c r="J92" i="1"/>
  <c r="K92" i="1"/>
  <c r="L92" i="1"/>
  <c r="M92" i="1"/>
  <c r="N92" i="1"/>
  <c r="O92" i="1"/>
  <c r="J93" i="1"/>
  <c r="K93" i="1"/>
  <c r="L93" i="1"/>
  <c r="M93" i="1"/>
  <c r="N93" i="1"/>
  <c r="O93" i="1"/>
  <c r="J94" i="1"/>
  <c r="K94" i="1"/>
  <c r="L94" i="1"/>
  <c r="M94" i="1"/>
  <c r="N94" i="1"/>
  <c r="O94" i="1"/>
  <c r="J95" i="1"/>
  <c r="K95" i="1"/>
  <c r="L95" i="1"/>
  <c r="M95" i="1"/>
  <c r="N95" i="1"/>
  <c r="O95" i="1"/>
  <c r="J96" i="1"/>
  <c r="K96" i="1"/>
  <c r="L96" i="1"/>
  <c r="M96" i="1"/>
  <c r="N96" i="1"/>
  <c r="O96" i="1"/>
  <c r="J97" i="1"/>
  <c r="K97" i="1"/>
  <c r="L97" i="1"/>
  <c r="M97" i="1"/>
  <c r="N97" i="1"/>
  <c r="O97" i="1"/>
  <c r="J98" i="1"/>
  <c r="K98" i="1"/>
  <c r="L98" i="1"/>
  <c r="M98" i="1"/>
  <c r="N98" i="1"/>
  <c r="O98" i="1"/>
  <c r="J99" i="1"/>
  <c r="K99" i="1"/>
  <c r="L99" i="1"/>
  <c r="M99" i="1"/>
  <c r="N99" i="1"/>
  <c r="O99" i="1"/>
  <c r="J100" i="1"/>
  <c r="K100" i="1"/>
  <c r="L100" i="1"/>
  <c r="M100" i="1"/>
  <c r="N100" i="1"/>
  <c r="O100" i="1"/>
  <c r="J101" i="1"/>
  <c r="K101" i="1"/>
  <c r="L101" i="1"/>
  <c r="M101" i="1"/>
  <c r="N101" i="1"/>
  <c r="O101" i="1"/>
  <c r="J102" i="1"/>
  <c r="K102" i="1"/>
  <c r="L102" i="1"/>
  <c r="M102" i="1"/>
  <c r="N102" i="1"/>
  <c r="O102" i="1"/>
  <c r="J103" i="1"/>
  <c r="K103" i="1"/>
  <c r="L103" i="1"/>
  <c r="M103" i="1"/>
  <c r="N103" i="1"/>
  <c r="O103" i="1"/>
  <c r="J104" i="1"/>
  <c r="K104" i="1"/>
  <c r="L104" i="1"/>
  <c r="M104" i="1"/>
  <c r="N104" i="1"/>
  <c r="O104" i="1"/>
  <c r="J105" i="1"/>
  <c r="K105" i="1"/>
  <c r="L105" i="1"/>
  <c r="M105" i="1"/>
  <c r="N105" i="1"/>
  <c r="O105" i="1"/>
  <c r="J106" i="1"/>
  <c r="K106" i="1"/>
  <c r="L106" i="1"/>
  <c r="M106" i="1"/>
  <c r="N106" i="1"/>
  <c r="O106" i="1"/>
  <c r="J107" i="1"/>
  <c r="K107" i="1"/>
  <c r="L107" i="1"/>
  <c r="M107" i="1"/>
  <c r="N107" i="1"/>
  <c r="O107" i="1"/>
  <c r="J108" i="1"/>
  <c r="K108" i="1"/>
  <c r="L108" i="1"/>
  <c r="M108" i="1"/>
  <c r="N108" i="1"/>
  <c r="O108" i="1"/>
  <c r="J109" i="1"/>
  <c r="K109" i="1"/>
  <c r="L109" i="1"/>
  <c r="M109" i="1"/>
  <c r="N109" i="1"/>
  <c r="O109" i="1"/>
  <c r="J110" i="1"/>
  <c r="K110" i="1"/>
  <c r="L110" i="1"/>
  <c r="M110" i="1"/>
  <c r="N110" i="1"/>
  <c r="O110" i="1"/>
  <c r="J111" i="1"/>
  <c r="K111" i="1"/>
  <c r="L111" i="1"/>
  <c r="M111" i="1"/>
  <c r="N111" i="1"/>
  <c r="O111" i="1"/>
  <c r="J112" i="1"/>
  <c r="K112" i="1"/>
  <c r="L112" i="1"/>
  <c r="M112" i="1"/>
  <c r="N112" i="1"/>
  <c r="O112" i="1"/>
  <c r="J113" i="1"/>
  <c r="K113" i="1"/>
  <c r="L113" i="1"/>
  <c r="M113" i="1"/>
  <c r="N113" i="1"/>
  <c r="O113" i="1"/>
  <c r="J114" i="1"/>
  <c r="K114" i="1"/>
  <c r="L114" i="1"/>
  <c r="M114" i="1"/>
  <c r="N114" i="1"/>
  <c r="O114" i="1"/>
  <c r="J115" i="1"/>
  <c r="K115" i="1"/>
  <c r="L115" i="1"/>
  <c r="M115" i="1"/>
  <c r="N115" i="1"/>
  <c r="O115" i="1"/>
  <c r="J116" i="1"/>
  <c r="K116" i="1"/>
  <c r="L116" i="1"/>
  <c r="M116" i="1"/>
  <c r="N116" i="1"/>
  <c r="O116" i="1"/>
  <c r="J117" i="1"/>
  <c r="K117" i="1"/>
  <c r="L117" i="1"/>
  <c r="M117" i="1"/>
  <c r="N117" i="1"/>
  <c r="O117" i="1"/>
  <c r="J118" i="1"/>
  <c r="K118" i="1"/>
  <c r="L118" i="1"/>
  <c r="M118" i="1"/>
  <c r="N118" i="1"/>
  <c r="O118" i="1"/>
  <c r="J119" i="1"/>
  <c r="K119" i="1"/>
  <c r="L119" i="1"/>
  <c r="M119" i="1"/>
  <c r="N119" i="1"/>
  <c r="O119" i="1"/>
  <c r="J120" i="1"/>
  <c r="K120" i="1"/>
  <c r="L120" i="1"/>
  <c r="M120" i="1"/>
  <c r="N120" i="1"/>
  <c r="O120" i="1"/>
  <c r="J121" i="1"/>
  <c r="K121" i="1"/>
  <c r="L121" i="1"/>
  <c r="M121" i="1"/>
  <c r="N121" i="1"/>
  <c r="O121" i="1"/>
  <c r="J122" i="1"/>
  <c r="K122" i="1"/>
  <c r="L122" i="1"/>
  <c r="M122" i="1"/>
  <c r="N122" i="1"/>
  <c r="O122" i="1"/>
  <c r="J123" i="1"/>
  <c r="K123" i="1"/>
  <c r="L123" i="1"/>
  <c r="M123" i="1"/>
  <c r="N123" i="1"/>
  <c r="O123" i="1"/>
  <c r="J124" i="1"/>
  <c r="K124" i="1"/>
  <c r="L124" i="1"/>
  <c r="M124" i="1"/>
  <c r="N124" i="1"/>
  <c r="O124" i="1"/>
  <c r="J125" i="1"/>
  <c r="K125" i="1"/>
  <c r="L125" i="1"/>
  <c r="M125" i="1"/>
  <c r="N125" i="1"/>
  <c r="O125" i="1"/>
  <c r="J126" i="1"/>
  <c r="K126" i="1"/>
  <c r="L126" i="1"/>
  <c r="M126" i="1"/>
  <c r="N126" i="1"/>
  <c r="O126" i="1"/>
  <c r="J127" i="1"/>
  <c r="K127" i="1"/>
  <c r="L127" i="1"/>
  <c r="M127" i="1"/>
  <c r="N127" i="1"/>
  <c r="O127" i="1"/>
  <c r="J128" i="1"/>
  <c r="K128" i="1"/>
  <c r="L128" i="1"/>
  <c r="M128" i="1"/>
  <c r="N128" i="1"/>
  <c r="O128" i="1"/>
  <c r="J129" i="1"/>
  <c r="K129" i="1"/>
  <c r="L129" i="1"/>
  <c r="M129" i="1"/>
  <c r="N129" i="1"/>
  <c r="O129" i="1"/>
  <c r="K18" i="1"/>
  <c r="K13" i="1"/>
  <c r="J18" i="1"/>
  <c r="L18" i="1"/>
  <c r="M18" i="1"/>
  <c r="N18" i="1"/>
  <c r="O18" i="1"/>
  <c r="J19" i="1"/>
  <c r="K19" i="1"/>
  <c r="L19" i="1"/>
  <c r="M19" i="1"/>
  <c r="N19" i="1"/>
  <c r="O19" i="1"/>
  <c r="J20" i="1"/>
  <c r="L20" i="1"/>
  <c r="M20" i="1"/>
  <c r="N20" i="1"/>
  <c r="O20" i="1"/>
  <c r="J21" i="1"/>
  <c r="K21" i="1"/>
  <c r="L21" i="1"/>
  <c r="M21" i="1"/>
  <c r="N21" i="1"/>
  <c r="O21" i="1"/>
  <c r="J22" i="1"/>
  <c r="K22" i="1"/>
  <c r="L22" i="1"/>
  <c r="M22" i="1"/>
  <c r="N22" i="1"/>
  <c r="O22" i="1"/>
  <c r="J23" i="1"/>
  <c r="K23" i="1"/>
  <c r="L23" i="1"/>
  <c r="M23" i="1"/>
  <c r="N23" i="1"/>
  <c r="O23" i="1"/>
  <c r="L3" i="1"/>
  <c r="J11" i="1"/>
  <c r="N12" i="1"/>
  <c r="M12" i="1"/>
  <c r="J3" i="1"/>
  <c r="K3" i="1"/>
  <c r="M3" i="1"/>
  <c r="N3" i="1"/>
  <c r="O3" i="1"/>
  <c r="J4" i="1"/>
  <c r="K4" i="1"/>
  <c r="L4" i="1"/>
  <c r="M4" i="1"/>
  <c r="N4" i="1"/>
  <c r="O4" i="1"/>
  <c r="J5" i="1"/>
  <c r="K5" i="1"/>
  <c r="L5" i="1"/>
  <c r="M5" i="1"/>
  <c r="N5" i="1"/>
  <c r="O5" i="1"/>
  <c r="J6" i="1"/>
  <c r="K6" i="1"/>
  <c r="L6" i="1"/>
  <c r="M6" i="1"/>
  <c r="N6" i="1"/>
  <c r="O6" i="1"/>
  <c r="J7" i="1"/>
  <c r="K7" i="1"/>
  <c r="L7" i="1"/>
  <c r="M7" i="1"/>
  <c r="N7" i="1"/>
  <c r="O7" i="1"/>
  <c r="J10" i="1"/>
  <c r="K10" i="1"/>
  <c r="L10" i="1"/>
  <c r="M10" i="1"/>
  <c r="N10" i="1"/>
  <c r="O10" i="1"/>
  <c r="K11" i="1"/>
  <c r="L11" i="1"/>
  <c r="M11" i="1"/>
  <c r="N11" i="1"/>
  <c r="O11" i="1"/>
  <c r="J12" i="1"/>
  <c r="K12" i="1"/>
  <c r="L12" i="1"/>
  <c r="O12" i="1"/>
  <c r="J13" i="1"/>
  <c r="L13" i="1"/>
  <c r="M13" i="1"/>
  <c r="N13" i="1"/>
  <c r="O13" i="1"/>
  <c r="J14" i="1"/>
  <c r="K14" i="1"/>
  <c r="L14" i="1"/>
  <c r="M14" i="1"/>
  <c r="N14" i="1"/>
  <c r="O14" i="1"/>
  <c r="J15" i="1"/>
  <c r="K15" i="1"/>
  <c r="L15" i="1"/>
  <c r="M15" i="1"/>
  <c r="N15" i="1"/>
  <c r="O15" i="1"/>
  <c r="J16" i="1"/>
  <c r="K16" i="1"/>
  <c r="L16" i="1"/>
  <c r="M16" i="1"/>
  <c r="N16" i="1"/>
  <c r="O16" i="1"/>
  <c r="J17" i="1"/>
  <c r="K17" i="1"/>
  <c r="L17" i="1"/>
  <c r="M17" i="1"/>
  <c r="N17" i="1"/>
  <c r="O17" i="1"/>
  <c r="Q193" i="1" l="1"/>
  <c r="P182" i="1"/>
  <c r="P180" i="1"/>
  <c r="P191" i="1"/>
  <c r="P189" i="1"/>
  <c r="P187" i="1"/>
  <c r="Q195" i="1"/>
  <c r="P195" i="1"/>
  <c r="Q191" i="1"/>
  <c r="Q186" i="1"/>
  <c r="P192" i="1"/>
  <c r="P190" i="1"/>
  <c r="P184" i="1"/>
  <c r="P178" i="1"/>
  <c r="Q189" i="1"/>
  <c r="Q187" i="1"/>
  <c r="P186" i="1"/>
  <c r="Q181" i="1"/>
  <c r="P193" i="1"/>
  <c r="P183" i="1"/>
  <c r="P181" i="1"/>
  <c r="P179" i="1"/>
  <c r="Q192" i="1"/>
  <c r="Q190" i="1"/>
  <c r="Q184" i="1"/>
  <c r="P194" i="1"/>
  <c r="Q165" i="1"/>
  <c r="Q157" i="1"/>
  <c r="Q153" i="1"/>
  <c r="Q151" i="1"/>
  <c r="Q147" i="1"/>
  <c r="Q135" i="1"/>
  <c r="P185" i="1"/>
  <c r="Q188" i="1"/>
  <c r="P188" i="1"/>
  <c r="Q185" i="1"/>
  <c r="Q194" i="1"/>
  <c r="Q180" i="1"/>
  <c r="Q178" i="1"/>
  <c r="Q179" i="1"/>
  <c r="Q182" i="1"/>
  <c r="Q133" i="1"/>
  <c r="Q131" i="1"/>
  <c r="P163" i="1"/>
  <c r="P147" i="1"/>
  <c r="Q174" i="1"/>
  <c r="Q168" i="1"/>
  <c r="Q139" i="1"/>
  <c r="Q175" i="1"/>
  <c r="Q163" i="1"/>
  <c r="Q145" i="1"/>
  <c r="P171" i="1"/>
  <c r="P141" i="1"/>
  <c r="Q172" i="1"/>
  <c r="P157" i="1"/>
  <c r="P139" i="1"/>
  <c r="Q162" i="1"/>
  <c r="Q160" i="1"/>
  <c r="Q150" i="1"/>
  <c r="Q144" i="1"/>
  <c r="Q164" i="1"/>
  <c r="Q146" i="1"/>
  <c r="Q161" i="1"/>
  <c r="P166" i="1"/>
  <c r="P154" i="1"/>
  <c r="Q177" i="1"/>
  <c r="Q173" i="1"/>
  <c r="Q171" i="1"/>
  <c r="Q169" i="1"/>
  <c r="Q156" i="1"/>
  <c r="Q154" i="1"/>
  <c r="P145" i="1"/>
  <c r="Q143" i="1"/>
  <c r="Q148" i="1"/>
  <c r="P160" i="1"/>
  <c r="P137" i="1"/>
  <c r="P133" i="1"/>
  <c r="P131" i="1"/>
  <c r="P177" i="1"/>
  <c r="P173" i="1"/>
  <c r="P169" i="1"/>
  <c r="P162" i="1"/>
  <c r="P156" i="1"/>
  <c r="P135" i="1"/>
  <c r="P150" i="1"/>
  <c r="Q142" i="1"/>
  <c r="P175" i="1"/>
  <c r="P165" i="1"/>
  <c r="Q159" i="1"/>
  <c r="P148" i="1"/>
  <c r="Q138" i="1"/>
  <c r="Q136" i="1"/>
  <c r="Q132" i="1"/>
  <c r="Q166" i="1"/>
  <c r="P142" i="1"/>
  <c r="Q134" i="1"/>
  <c r="P138" i="1"/>
  <c r="P132" i="1"/>
  <c r="P130" i="1"/>
  <c r="P174" i="1"/>
  <c r="P159" i="1"/>
  <c r="P155" i="1"/>
  <c r="P151" i="1"/>
  <c r="P144" i="1"/>
  <c r="P136" i="1"/>
  <c r="P172" i="1"/>
  <c r="P168" i="1"/>
  <c r="P153" i="1"/>
  <c r="Q141" i="1"/>
  <c r="P164" i="1"/>
  <c r="P146" i="1"/>
  <c r="P167" i="1"/>
  <c r="P149" i="1"/>
  <c r="Q170" i="1"/>
  <c r="Q152" i="1"/>
  <c r="P170" i="1"/>
  <c r="P152" i="1"/>
  <c r="P134" i="1"/>
  <c r="Q176" i="1"/>
  <c r="Q155" i="1"/>
  <c r="Q137" i="1"/>
  <c r="Q130" i="1"/>
  <c r="Q158" i="1"/>
  <c r="Q140" i="1"/>
  <c r="Q167" i="1"/>
  <c r="Q149" i="1"/>
  <c r="P176" i="1"/>
  <c r="P158" i="1"/>
  <c r="P140" i="1"/>
  <c r="P161" i="1"/>
  <c r="P143" i="1"/>
  <c r="P8" i="1"/>
  <c r="P89" i="1"/>
  <c r="Q8" i="1"/>
  <c r="P90" i="1"/>
  <c r="P9" i="1"/>
  <c r="Q9" i="1"/>
  <c r="Q90" i="1"/>
  <c r="Q89" i="1"/>
  <c r="P26" i="1"/>
  <c r="P124" i="1"/>
  <c r="P36" i="1"/>
  <c r="P30" i="1"/>
  <c r="P88" i="1"/>
  <c r="P82" i="1"/>
  <c r="P76" i="1"/>
  <c r="Q79" i="1"/>
  <c r="P54" i="1"/>
  <c r="P44" i="1"/>
  <c r="P42" i="1"/>
  <c r="P24" i="1"/>
  <c r="P39" i="1"/>
  <c r="P29" i="1"/>
  <c r="P25" i="1"/>
  <c r="Q124" i="1"/>
  <c r="Q34" i="1"/>
  <c r="Q32" i="1"/>
  <c r="Q30" i="1"/>
  <c r="Q24" i="1"/>
  <c r="Q121" i="1"/>
  <c r="Q35" i="1"/>
  <c r="P41" i="1"/>
  <c r="Q42" i="1"/>
  <c r="Q26" i="1"/>
  <c r="P106" i="1"/>
  <c r="Q127" i="1"/>
  <c r="Q123" i="1"/>
  <c r="Q115" i="1"/>
  <c r="Q67" i="1"/>
  <c r="Q65" i="1"/>
  <c r="Q47" i="1"/>
  <c r="Q43" i="1"/>
  <c r="Q128" i="1"/>
  <c r="Q126" i="1"/>
  <c r="P121" i="1"/>
  <c r="P117" i="1"/>
  <c r="P97" i="1"/>
  <c r="P71" i="1"/>
  <c r="P67" i="1"/>
  <c r="P47" i="1"/>
  <c r="P43" i="1"/>
  <c r="P62" i="1"/>
  <c r="P56" i="1"/>
  <c r="P125" i="1"/>
  <c r="P66" i="1"/>
  <c r="Q97" i="1"/>
  <c r="Q87" i="1"/>
  <c r="Q81" i="1"/>
  <c r="Q53" i="1"/>
  <c r="P115" i="1"/>
  <c r="P87" i="1"/>
  <c r="P81" i="1"/>
  <c r="P79" i="1"/>
  <c r="Q63" i="1"/>
  <c r="P103" i="1"/>
  <c r="P59" i="1"/>
  <c r="P57" i="1"/>
  <c r="Q41" i="1"/>
  <c r="Q112" i="1"/>
  <c r="Q106" i="1"/>
  <c r="Q96" i="1"/>
  <c r="Q39" i="1"/>
  <c r="Q78" i="1"/>
  <c r="P112" i="1"/>
  <c r="Q60" i="1"/>
  <c r="P45" i="1"/>
  <c r="P96" i="1"/>
  <c r="Q82" i="1"/>
  <c r="Q62" i="1"/>
  <c r="Q48" i="1"/>
  <c r="P127" i="1"/>
  <c r="P114" i="1"/>
  <c r="Q73" i="1"/>
  <c r="Q58" i="1"/>
  <c r="P53" i="1"/>
  <c r="P51" i="1"/>
  <c r="P49" i="1"/>
  <c r="Q45" i="1"/>
  <c r="Q38" i="1"/>
  <c r="Q36" i="1"/>
  <c r="P27" i="1"/>
  <c r="Q117" i="1"/>
  <c r="P108" i="1"/>
  <c r="P85" i="1"/>
  <c r="Q22" i="1"/>
  <c r="P123" i="1"/>
  <c r="Q100" i="1"/>
  <c r="Q94" i="1"/>
  <c r="Q71" i="1"/>
  <c r="Q56" i="1"/>
  <c r="Q54" i="1"/>
  <c r="P38" i="1"/>
  <c r="P100" i="1"/>
  <c r="Q88" i="1"/>
  <c r="P73" i="1"/>
  <c r="P60" i="1"/>
  <c r="Q52" i="1"/>
  <c r="Q50" i="1"/>
  <c r="P65" i="1"/>
  <c r="P32" i="1"/>
  <c r="P126" i="1"/>
  <c r="Q109" i="1"/>
  <c r="Q105" i="1"/>
  <c r="Q99" i="1"/>
  <c r="P94" i="1"/>
  <c r="Q76" i="1"/>
  <c r="P63" i="1"/>
  <c r="Q59" i="1"/>
  <c r="P109" i="1"/>
  <c r="Q103" i="1"/>
  <c r="P78" i="1"/>
  <c r="Q66" i="1"/>
  <c r="Q57" i="1"/>
  <c r="P50" i="1"/>
  <c r="P48" i="1"/>
  <c r="Q44" i="1"/>
  <c r="Q33" i="1"/>
  <c r="Q29" i="1"/>
  <c r="Q27" i="1"/>
  <c r="Q7" i="1"/>
  <c r="Q118" i="1"/>
  <c r="Q114" i="1"/>
  <c r="P105" i="1"/>
  <c r="P99" i="1"/>
  <c r="Q91" i="1"/>
  <c r="Q85" i="1"/>
  <c r="Q68" i="1"/>
  <c r="Q25" i="1"/>
  <c r="P118" i="1"/>
  <c r="Q108" i="1"/>
  <c r="P91" i="1"/>
  <c r="P68" i="1"/>
  <c r="P64" i="1"/>
  <c r="Q51" i="1"/>
  <c r="Q40" i="1"/>
  <c r="P35" i="1"/>
  <c r="P33" i="1"/>
  <c r="P31" i="1"/>
  <c r="P129" i="1"/>
  <c r="P120" i="1"/>
  <c r="P111" i="1"/>
  <c r="P102" i="1"/>
  <c r="P93" i="1"/>
  <c r="P84" i="1"/>
  <c r="P75" i="1"/>
  <c r="P70" i="1"/>
  <c r="Q46" i="1"/>
  <c r="Q28" i="1"/>
  <c r="Q64" i="1"/>
  <c r="P61" i="1"/>
  <c r="Q49" i="1"/>
  <c r="Q31" i="1"/>
  <c r="Q119" i="1"/>
  <c r="P116" i="1"/>
  <c r="Q110" i="1"/>
  <c r="P107" i="1"/>
  <c r="Q101" i="1"/>
  <c r="P98" i="1"/>
  <c r="Q92" i="1"/>
  <c r="Q83" i="1"/>
  <c r="P80" i="1"/>
  <c r="Q74" i="1"/>
  <c r="Q69" i="1"/>
  <c r="P46" i="1"/>
  <c r="P28" i="1"/>
  <c r="P6" i="1"/>
  <c r="Q55" i="1"/>
  <c r="Q37" i="1"/>
  <c r="P4" i="1"/>
  <c r="P22" i="1"/>
  <c r="P128" i="1"/>
  <c r="Q122" i="1"/>
  <c r="P119" i="1"/>
  <c r="Q113" i="1"/>
  <c r="P110" i="1"/>
  <c r="Q104" i="1"/>
  <c r="P101" i="1"/>
  <c r="Q95" i="1"/>
  <c r="P92" i="1"/>
  <c r="Q86" i="1"/>
  <c r="P83" i="1"/>
  <c r="Q77" i="1"/>
  <c r="P74" i="1"/>
  <c r="Q72" i="1"/>
  <c r="P69" i="1"/>
  <c r="P52" i="1"/>
  <c r="P34" i="1"/>
  <c r="Q129" i="1"/>
  <c r="Q120" i="1"/>
  <c r="Q111" i="1"/>
  <c r="Q102" i="1"/>
  <c r="Q93" i="1"/>
  <c r="Q84" i="1"/>
  <c r="Q75" i="1"/>
  <c r="Q70" i="1"/>
  <c r="P55" i="1"/>
  <c r="P37" i="1"/>
  <c r="Q125" i="1"/>
  <c r="P122" i="1"/>
  <c r="Q116" i="1"/>
  <c r="P113" i="1"/>
  <c r="Q107" i="1"/>
  <c r="P104" i="1"/>
  <c r="Q98" i="1"/>
  <c r="P95" i="1"/>
  <c r="P86" i="1"/>
  <c r="Q80" i="1"/>
  <c r="P77" i="1"/>
  <c r="P72" i="1"/>
  <c r="Q61" i="1"/>
  <c r="P58" i="1"/>
  <c r="P40" i="1"/>
  <c r="Q5" i="1"/>
  <c r="Q18" i="1"/>
  <c r="Q6" i="1"/>
  <c r="P20" i="1"/>
  <c r="Q12" i="1"/>
  <c r="Q4" i="1"/>
  <c r="P15" i="1"/>
  <c r="P16" i="1"/>
  <c r="P14" i="1"/>
  <c r="Q11" i="1"/>
  <c r="P7" i="1"/>
  <c r="P5" i="1"/>
  <c r="P18" i="1"/>
  <c r="Q17" i="1"/>
  <c r="Q15" i="1"/>
  <c r="Q13" i="1"/>
  <c r="P11" i="1"/>
  <c r="Q20" i="1"/>
  <c r="P3" i="1"/>
  <c r="Q10" i="1"/>
  <c r="P17" i="1"/>
  <c r="P10" i="1"/>
  <c r="Q16" i="1"/>
  <c r="Q14" i="1"/>
  <c r="P12" i="1"/>
  <c r="P23" i="1"/>
  <c r="P21" i="1"/>
  <c r="P19" i="1"/>
  <c r="Q23" i="1"/>
  <c r="Q21" i="1"/>
  <c r="Q19" i="1"/>
  <c r="P13" i="1"/>
  <c r="Q3" i="1"/>
  <c r="J2" i="1" l="1"/>
  <c r="K2" i="1"/>
  <c r="L2" i="1"/>
  <c r="M2" i="1"/>
  <c r="N2" i="1"/>
  <c r="O2" i="1"/>
  <c r="P2" i="1" l="1"/>
  <c r="Q2" i="1"/>
</calcChain>
</file>

<file path=xl/sharedStrings.xml><?xml version="1.0" encoding="utf-8"?>
<sst xmlns="http://schemas.openxmlformats.org/spreadsheetml/2006/main" count="1794" uniqueCount="460">
  <si>
    <t>origem</t>
  </si>
  <si>
    <t>obs</t>
  </si>
  <si>
    <t>long(w)</t>
  </si>
  <si>
    <t>lat(s)</t>
  </si>
  <si>
    <t>latg</t>
  </si>
  <si>
    <t>latm</t>
  </si>
  <si>
    <t>lats</t>
  </si>
  <si>
    <t>longg</t>
  </si>
  <si>
    <t>longm</t>
  </si>
  <si>
    <t>longs</t>
  </si>
  <si>
    <t>lat</t>
  </si>
  <si>
    <t>estimado</t>
  </si>
  <si>
    <t>não</t>
  </si>
  <si>
    <t>N/S</t>
  </si>
  <si>
    <t>E/W</t>
  </si>
  <si>
    <t>S</t>
  </si>
  <si>
    <t>W</t>
  </si>
  <si>
    <t>species</t>
  </si>
  <si>
    <t>lon</t>
  </si>
  <si>
    <t>ID</t>
  </si>
  <si>
    <t>Panulirus argus</t>
  </si>
  <si>
    <t>Panulirus laevicauda</t>
  </si>
  <si>
    <t>NomeDoc</t>
  </si>
  <si>
    <t>diversity-17-00572-v4.pdf</t>
  </si>
  <si>
    <t>3°14′30″</t>
  </si>
  <si>
    <t>39°13′30″</t>
  </si>
  <si>
    <t>Flecheiras (Ceará)</t>
  </si>
  <si>
    <t>Lobsters are distributed throughout the Brazilian continental shelf (CSB) from Amapá (04◦26N 51◦32W)toRio Grande doSul (29◦46 S 53◦10W). Lobster stocks are concen trated in four regions along the Brazilian coast: the North (Great Amazon Reef System), the Northeast (NE), the Southeast (SE), and the South (S).</t>
  </si>
  <si>
    <t>04°26′</t>
  </si>
  <si>
    <t>N</t>
  </si>
  <si>
    <t>51°32′</t>
  </si>
  <si>
    <t>29°46′</t>
  </si>
  <si>
    <t>53°10′</t>
  </si>
  <si>
    <t>Lobsters are distributed throughout the Brazilian continental shelf (CSB) from Amapá (04◦26N 51◦32W)to Rio Grande do Sul (29◦46 S 53◦10W). Lobster stocks are concen trated in four regions along the Brazilian coast: the North (Great Amazon Reef System), the Northeast (NE), the Southeast (SE), and the South (S).</t>
  </si>
  <si>
    <t>9°</t>
  </si>
  <si>
    <t>35°</t>
  </si>
  <si>
    <t>21°</t>
  </si>
  <si>
    <t>40°</t>
  </si>
  <si>
    <t>A plataforma continental ao largo do Nordeste do Brasil (NE) (2° S 4° W a 9° S 35° W, Pernambuco)</t>
  </si>
  <si>
    <t xml:space="preserve">Entre Pernambuco e Espírito Santo (9° S 35° W a 21° S 40° W) no Sudeste do Brasil (SE), a plataforma é estreita e as capturas de lagosta são pequenas. </t>
  </si>
  <si>
    <t>2°</t>
  </si>
  <si>
    <t>4°</t>
  </si>
  <si>
    <t>diversity-13-00507-v2.pdf</t>
  </si>
  <si>
    <t>Cruz, R. (2021)</t>
  </si>
  <si>
    <t>Offshore area around Pau Amarelo Beach, Pernambuco</t>
  </si>
  <si>
    <t>Panulirus meripurpuratus</t>
  </si>
  <si>
    <t>7°54′15,6″</t>
  </si>
  <si>
    <t>34°49′14,3″</t>
  </si>
  <si>
    <t>Giraldes, B (2016)</t>
  </si>
  <si>
    <t>document</t>
  </si>
  <si>
    <t>Alencar et al. (2021)</t>
  </si>
  <si>
    <t>5°59</t>
  </si>
  <si>
    <t>35°7</t>
  </si>
  <si>
    <t>Pirangi</t>
  </si>
  <si>
    <t>Alencaretal.2021</t>
  </si>
  <si>
    <t>0718-560X-lajar-47-04-0694</t>
  </si>
  <si>
    <t>Panulirus echinatus</t>
  </si>
  <si>
    <t>Tamandaré, PE (inshore)</t>
  </si>
  <si>
    <t>Tamandaré, PE (offshore)</t>
  </si>
  <si>
    <t>08°45′31,2″</t>
  </si>
  <si>
    <t>35°05′07,7″</t>
  </si>
  <si>
    <t>35°05′48,9″</t>
  </si>
  <si>
    <t>08°46′57,2″</t>
  </si>
  <si>
    <t>08°45′35,0″</t>
  </si>
  <si>
    <t xml:space="preserve"> 35°04′57,5″</t>
  </si>
  <si>
    <t>08°47′01,2″</t>
  </si>
  <si>
    <t>35°05′42,0″</t>
  </si>
  <si>
    <t>BARRETO, A. V. et al. (2009)</t>
  </si>
  <si>
    <t>sim</t>
  </si>
  <si>
    <t>biometric-relationships-of-the-spotted-lobster-panulirus-echinatus-from-tamandare-coastal-reefs-pernambuco-state-brazil</t>
  </si>
  <si>
    <t>2°46′</t>
  </si>
  <si>
    <t>40°05′</t>
  </si>
  <si>
    <t>Acaraú</t>
  </si>
  <si>
    <t>South of Cuba</t>
  </si>
  <si>
    <t>21°34′</t>
  </si>
  <si>
    <t>83°31′</t>
  </si>
  <si>
    <t>3°32,981′</t>
  </si>
  <si>
    <t>38°48.669′</t>
  </si>
  <si>
    <t>Cruz, R. (2025)</t>
  </si>
  <si>
    <t>8°30′07″</t>
  </si>
  <si>
    <t>35°00′08″</t>
  </si>
  <si>
    <t>Porto de Galinhas</t>
  </si>
  <si>
    <t>08°44′23″</t>
  </si>
  <si>
    <t>35°02′28″</t>
  </si>
  <si>
    <t>Tamandaré, PE</t>
  </si>
  <si>
    <t>1-s2.0-S1470160X21011304-main</t>
  </si>
  <si>
    <t>Guarapari (ES)</t>
  </si>
  <si>
    <t>20°39′</t>
  </si>
  <si>
    <t>40°30′</t>
  </si>
  <si>
    <t>20°43′</t>
  </si>
  <si>
    <t>40°46′</t>
  </si>
  <si>
    <t>21°02′</t>
  </si>
  <si>
    <t>40°49′</t>
  </si>
  <si>
    <t>Anchieta (ES)</t>
  </si>
  <si>
    <t>Marataízes (ES)</t>
  </si>
  <si>
    <t>MELO, Andressa C. M. (2025)</t>
  </si>
  <si>
    <t>Fisheries Management Eco - 2025 - Melo - Reproductive Biology of the Smoothtail Spiny Lobster  Panulirus laevicauda  to</t>
  </si>
  <si>
    <t>São Pedro e São Paulo</t>
  </si>
  <si>
    <t>0°55′10″</t>
  </si>
  <si>
    <t>29°20′33″</t>
  </si>
  <si>
    <t>0°54.787′</t>
  </si>
  <si>
    <t>29°21.451′</t>
  </si>
  <si>
    <t>0°55.681′</t>
  </si>
  <si>
    <t>29°19.804′</t>
  </si>
  <si>
    <t>Nunesetal2017DeepSeaDecapodCrustaceansSPSPA</t>
  </si>
  <si>
    <t>NUNES, Diogo Martins (2017)</t>
  </si>
  <si>
    <t>8°59′57″</t>
  </si>
  <si>
    <t>35°10′49″</t>
  </si>
  <si>
    <t>Alagoas (Maragogi / São José da Coroa Grande)</t>
  </si>
  <si>
    <t>Bragrança</t>
  </si>
  <si>
    <t>1°03′57″</t>
  </si>
  <si>
    <t>46°47′22″W</t>
  </si>
  <si>
    <t>PANAMJAS_16(2)_123-128</t>
  </si>
  <si>
    <t>peerj-19586</t>
  </si>
  <si>
    <t>GAETA, Juliana de Carvalho (2021)</t>
  </si>
  <si>
    <t>SOUSA, Jefferson (2025)</t>
  </si>
  <si>
    <t>Recife (PE)</t>
  </si>
  <si>
    <t>08°10′</t>
  </si>
  <si>
    <t>34°49′</t>
  </si>
  <si>
    <t>s00435-019-00461-5</t>
  </si>
  <si>
    <t>HAMILTON, Santiago (2019)</t>
  </si>
  <si>
    <t>8°30′54″</t>
  </si>
  <si>
    <t>34°59′47″</t>
  </si>
  <si>
    <t>Composition and spatial distribution of subtidal Decapoda on the “Reef Coast”, northeastern Brazil, evaluated through a low-impact visual census technique</t>
  </si>
  <si>
    <t>18°01′15″</t>
  </si>
  <si>
    <t>38°43′16″</t>
  </si>
  <si>
    <t>Arquipélogo de Abrolhos (BA)</t>
  </si>
  <si>
    <t>Belém (PA)</t>
  </si>
  <si>
    <t>São Paulo Capital (SP)</t>
  </si>
  <si>
    <t>01°27′</t>
  </si>
  <si>
    <t>48°30′</t>
  </si>
  <si>
    <t>23°32′</t>
  </si>
  <si>
    <t>46°38′</t>
  </si>
  <si>
    <t>03°50′</t>
  </si>
  <si>
    <t>38°20′</t>
  </si>
  <si>
    <t>23°17′</t>
  </si>
  <si>
    <t>44°10′</t>
  </si>
  <si>
    <r>
      <t>Baía da Ilha Grande</t>
    </r>
    <r>
      <rPr>
        <sz val="11"/>
        <color theme="1"/>
        <rFont val="Calibri"/>
        <family val="2"/>
        <scheme val="minor"/>
      </rPr>
      <t>, no litoral sul do Rio de Janeiro (Costa Verde).</t>
    </r>
  </si>
  <si>
    <t>Região costeira do Ceará, nas proximidades de Aquiraz</t>
  </si>
  <si>
    <t>4°25′</t>
  </si>
  <si>
    <t>37°16′</t>
  </si>
  <si>
    <r>
      <t xml:space="preserve">Litoral leste do </t>
    </r>
    <r>
      <rPr>
        <b/>
        <sz val="11"/>
        <color theme="1"/>
        <rFont val="Calibri"/>
        <family val="2"/>
        <scheme val="minor"/>
      </rPr>
      <t>Ceará</t>
    </r>
    <r>
      <rPr>
        <sz val="11"/>
        <color theme="1"/>
        <rFont val="Calibri"/>
        <family val="2"/>
        <scheme val="minor"/>
      </rPr>
      <t>, na região de Aracati (próximo ao estuário do Rio Jaguaribe).</t>
    </r>
  </si>
  <si>
    <t>Santa Barbara Island</t>
  </si>
  <si>
    <t>Redonda Island</t>
  </si>
  <si>
    <t>Siriba Island</t>
  </si>
  <si>
    <t>FARIA JÚNIOR, Edson (2013)</t>
  </si>
  <si>
    <t>1.pdf</t>
  </si>
  <si>
    <t>17°57′29″</t>
  </si>
  <si>
    <t>38°42′09″</t>
  </si>
  <si>
    <t>17°57′38″</t>
  </si>
  <si>
    <t>38°42′55″</t>
  </si>
  <si>
    <t>17°57′59″</t>
  </si>
  <si>
    <t>38°42′52″</t>
  </si>
  <si>
    <t>32°24′</t>
  </si>
  <si>
    <t>Arquipélago de Fernando de Noronha</t>
  </si>
  <si>
    <t>03°45′</t>
  </si>
  <si>
    <t>32°19′</t>
  </si>
  <si>
    <t>Atol das Rocas</t>
  </si>
  <si>
    <t>1-s2.0-S2351989415001031-main</t>
  </si>
  <si>
    <t>Área de Proteção Ambiental (APA) Costa dos Corais Tamandaré</t>
  </si>
  <si>
    <t>35°07′29″</t>
  </si>
  <si>
    <t>08°44′41″</t>
  </si>
  <si>
    <t>03°52′</t>
  </si>
  <si>
    <t>33°48′</t>
  </si>
  <si>
    <t>Fernando de Noronha</t>
  </si>
  <si>
    <t>Trindade e Martim Vaz</t>
  </si>
  <si>
    <t>03°51′</t>
  </si>
  <si>
    <t>32°25′</t>
  </si>
  <si>
    <t>20°28′</t>
  </si>
  <si>
    <t>29°21′</t>
  </si>
  <si>
    <t>Aquatic Conservation - 2020 - Gaeta - Genetic differentiation among Atlantic island populations of the brown spiny lobster</t>
  </si>
  <si>
    <t>GAETA, Juliana de Carvalho (2019)</t>
  </si>
  <si>
    <t>21°17′</t>
  </si>
  <si>
    <t>Crustaceana_86_3_336_356_ASSESSMENT_OF_W</t>
  </si>
  <si>
    <t>gaeta2019</t>
  </si>
  <si>
    <t>Gaeta, J. (2019)</t>
  </si>
  <si>
    <r>
      <t xml:space="preserve">a longitude </t>
    </r>
    <r>
      <rPr>
        <b/>
        <sz val="11"/>
        <color theme="1"/>
        <rFont val="Calibri"/>
        <family val="2"/>
        <scheme val="minor"/>
      </rPr>
      <t>24°57′W</t>
    </r>
    <r>
      <rPr>
        <sz val="11"/>
        <color theme="1"/>
        <rFont val="Calibri"/>
        <family val="2"/>
        <scheme val="minor"/>
      </rPr>
      <t xml:space="preserve"> cai literalmente no meio do Oceano Atlântico, a mais de 1.000 km da costa, possivel erro, se for 34 ao inves de 24 da certo no litoral</t>
    </r>
  </si>
  <si>
    <t>8°45′</t>
  </si>
  <si>
    <t>24°57′</t>
  </si>
  <si>
    <t>konishi2006</t>
  </si>
  <si>
    <t>KONISHI, Kooichi (2006)</t>
  </si>
  <si>
    <t>00°55′01″</t>
  </si>
  <si>
    <t>29°20′44″</t>
  </si>
  <si>
    <t>PINHEIRO, Allysson P. (2006)</t>
  </si>
  <si>
    <t>Reproductive_Biology_of_Panulirus_echina</t>
  </si>
  <si>
    <t>s00338-024-02569-7</t>
  </si>
  <si>
    <t>37°30′22,9″</t>
  </si>
  <si>
    <t>04°37′48,0″</t>
  </si>
  <si>
    <t>Ceará</t>
  </si>
  <si>
    <t>BAKER, Alyssa M. (2024)</t>
  </si>
  <si>
    <t>PINHEIRO, A. P. (2003)</t>
  </si>
  <si>
    <t>Population_biology_of_Panulirus_echinatu</t>
  </si>
  <si>
    <t>1989.90_art_tevgesteira</t>
  </si>
  <si>
    <t>1996_art_ctcivo</t>
  </si>
  <si>
    <t>Município de Iguape (CE)</t>
  </si>
  <si>
    <t>IVO, Carlos Tassito Corrêa; (1996)</t>
  </si>
  <si>
    <t>GESTEIRA, Tereza Cristina Vasconcelos (1989/1990)</t>
  </si>
  <si>
    <t xml:space="preserve"> 38°13′</t>
  </si>
  <si>
    <t>Entre os municípios de Iguape e Aquiraz</t>
  </si>
  <si>
    <t>03°38′</t>
  </si>
  <si>
    <t>38°13′</t>
  </si>
  <si>
    <t>03°31′</t>
  </si>
  <si>
    <t xml:space="preserve"> 38°12′</t>
  </si>
  <si>
    <t>2°53′22″</t>
  </si>
  <si>
    <t>41°13′46″</t>
  </si>
  <si>
    <t>4°06′06″</t>
  </si>
  <si>
    <t>38°08′56″</t>
  </si>
  <si>
    <t>24°49′13″</t>
  </si>
  <si>
    <t>80°48′03″</t>
  </si>
  <si>
    <t>80°48′48″</t>
  </si>
  <si>
    <t>24°50′55″</t>
  </si>
  <si>
    <r>
      <t xml:space="preserve">guas viradas para o Oceano Atlântico, mesmo ao largo da costa de Long Key. A sigla </t>
    </r>
    <r>
      <rPr>
        <b/>
        <sz val="11"/>
        <color theme="1"/>
        <rFont val="Calibri"/>
        <family val="2"/>
        <scheme val="minor"/>
      </rPr>
      <t>KML</t>
    </r>
    <r>
      <rPr>
        <sz val="11"/>
        <color theme="1"/>
        <rFont val="Calibri"/>
        <family val="2"/>
        <scheme val="minor"/>
      </rPr>
      <t xml:space="preserve"> significa </t>
    </r>
    <r>
      <rPr>
        <i/>
        <sz val="11"/>
        <color theme="1"/>
        <rFont val="Calibri"/>
        <family val="2"/>
        <scheme val="minor"/>
      </rPr>
      <t>Keys Marine Laboratory</t>
    </r>
    <r>
      <rPr>
        <sz val="11"/>
        <color theme="1"/>
        <rFont val="Calibri"/>
        <family val="2"/>
        <scheme val="minor"/>
      </rPr>
      <t>,</t>
    </r>
  </si>
  <si>
    <r>
      <t xml:space="preserve">Fica nas águas do lado oposto (virado para o lado mais calmo da Baía da Flórida / Golfo do México). A sigla </t>
    </r>
    <r>
      <rPr>
        <b/>
        <sz val="11"/>
        <color theme="1"/>
        <rFont val="Calibri"/>
        <family val="2"/>
        <scheme val="minor"/>
      </rPr>
      <t>KOA</t>
    </r>
    <r>
      <rPr>
        <sz val="11"/>
        <color theme="1"/>
        <rFont val="Calibri"/>
        <family val="2"/>
        <scheme val="minor"/>
      </rPr>
      <t xml:space="preserve"> refere-se à pequena ilha vizinha de Fiesta Key, que é muito famosa pelo seu parque de campismo para autocaravanas chamado </t>
    </r>
    <r>
      <rPr>
        <i/>
        <sz val="11"/>
        <color theme="1"/>
        <rFont val="Calibri"/>
        <family val="2"/>
        <scheme val="minor"/>
      </rPr>
      <t>Fiesta Key KOA Resort</t>
    </r>
    <r>
      <rPr>
        <sz val="11"/>
        <color theme="1"/>
        <rFont val="Calibri"/>
        <family val="2"/>
        <scheme val="minor"/>
      </rPr>
      <t>.</t>
    </r>
  </si>
  <si>
    <t>1-s2.0-002209819290070Q-main</t>
  </si>
  <si>
    <t>SMITH, Kenneth N. (1997)</t>
  </si>
  <si>
    <t>Rio Grande do Norte(RN); Ela fica no oceano, a cerca de 30 km a leste do município de Touros</t>
  </si>
  <si>
    <t>05°13′</t>
  </si>
  <si>
    <t>35°10′</t>
  </si>
  <si>
    <t>SARVER, Shane K. (1998)</t>
  </si>
  <si>
    <t>GOLDSTEIN, Jason S. (2008)</t>
  </si>
  <si>
    <t>80°59'37"</t>
  </si>
  <si>
    <t>24°44'20"</t>
  </si>
  <si>
    <t>Keys Marine Laboratory (KML), sul da Florida</t>
  </si>
  <si>
    <t>jcb0177</t>
  </si>
  <si>
    <t>jcb0306</t>
  </si>
  <si>
    <t xml:space="preserve"> 80°92′</t>
  </si>
  <si>
    <t>24°78′</t>
  </si>
  <si>
    <t>Limnology   Oceanography - 2009 - Goldsteina - Behavioral enhancement of onshore transport by postlarval Caribbean spiny</t>
  </si>
  <si>
    <t>GOLDSTEIN, Jason S. (2007)</t>
  </si>
  <si>
    <t>19°27′00″</t>
  </si>
  <si>
    <t xml:space="preserve"> 87°17′24″</t>
  </si>
  <si>
    <t>Bahia de la Ascensión, que fica dentro da Reserva da Biosfera de Sian Ka'an, na Península de Yucatán</t>
  </si>
  <si>
    <t>EGGLESTON, David B. (1990)</t>
  </si>
  <si>
    <t>m062p079</t>
  </si>
  <si>
    <t>25°01′46″</t>
  </si>
  <si>
    <t xml:space="preserve"> 80°23′53″</t>
  </si>
  <si>
    <t>NEVITT, Gabrielle (2000)</t>
  </si>
  <si>
    <r>
      <t>Three Sisters Reef</t>
    </r>
    <r>
      <rPr>
        <sz val="11"/>
        <color theme="1"/>
        <rFont val="Calibri"/>
        <family val="2"/>
        <scheme val="minor"/>
      </rPr>
      <t>.</t>
    </r>
  </si>
  <si>
    <t>m203p225</t>
  </si>
  <si>
    <t>Fowey Rocks, Parque Nacional de Biscayne</t>
  </si>
  <si>
    <t>25°35′28″</t>
  </si>
  <si>
    <t>80°05′49″</t>
  </si>
  <si>
    <t>KOUGH, Andrew S. (2014)</t>
  </si>
  <si>
    <t>m504p207</t>
  </si>
  <si>
    <t>s17</t>
  </si>
  <si>
    <t>24°50′30″</t>
  </si>
  <si>
    <t>KOA</t>
  </si>
  <si>
    <t>FORCUCCI, David; (1994)</t>
  </si>
  <si>
    <t>BRIONES-FOURZÁN, Patricia; (2006)</t>
  </si>
  <si>
    <t>80°47′48″</t>
  </si>
  <si>
    <t>s00227-005-0191-2</t>
  </si>
  <si>
    <t>20°51′00″</t>
  </si>
  <si>
    <t>86°55′00″</t>
  </si>
  <si>
    <t>Unidad Académica Puerto Morelos</t>
  </si>
  <si>
    <t>s002270050148</t>
  </si>
  <si>
    <t>ACOSTA, C. A (1997)</t>
  </si>
  <si>
    <t>Big Munson Key</t>
  </si>
  <si>
    <t>25°36′11″</t>
  </si>
  <si>
    <t>81°24′10″</t>
  </si>
  <si>
    <t>Amapá</t>
  </si>
  <si>
    <t>Espírito Santo</t>
  </si>
  <si>
    <t xml:space="preserve"> 51°32′</t>
  </si>
  <si>
    <t>40°56′</t>
  </si>
  <si>
    <t>salazar2019</t>
  </si>
  <si>
    <t>ORELLANA SALAZAR, Ivo S (2009)</t>
  </si>
  <si>
    <t>Península de Yucatán, no estado de Quintana Roo</t>
  </si>
  <si>
    <t>10.1071@mf01093</t>
  </si>
  <si>
    <t>LOZANO-ÁLVAREZ, Enrique (2001)</t>
  </si>
  <si>
    <t>Florida Keys, USA</t>
  </si>
  <si>
    <t>1-s2.0-S002209810800097X-main</t>
  </si>
  <si>
    <t>24°43′57″</t>
  </si>
  <si>
    <t>81°05′38″</t>
  </si>
  <si>
    <t>24°44′56″</t>
  </si>
  <si>
    <t>24°46′10″</t>
  </si>
  <si>
    <t>24°47′50″</t>
  </si>
  <si>
    <t>24°49′35″</t>
  </si>
  <si>
    <t>24°49′15″</t>
  </si>
  <si>
    <t>24°49′05″</t>
  </si>
  <si>
    <t>24°52′08″</t>
  </si>
  <si>
    <t>24°51′13″</t>
  </si>
  <si>
    <t>24°53′06″</t>
  </si>
  <si>
    <t>24°41′55″</t>
  </si>
  <si>
    <t>24°44′45″</t>
  </si>
  <si>
    <t>81°02′50″</t>
  </si>
  <si>
    <t>80°58′45″</t>
  </si>
  <si>
    <t>81°01′35″</t>
  </si>
  <si>
    <t>80°58′55″</t>
  </si>
  <si>
    <t>80°55′21″</t>
  </si>
  <si>
    <t>80°52′01″</t>
  </si>
  <si>
    <t>80°50′48″</t>
  </si>
  <si>
    <t>80°46′57″</t>
  </si>
  <si>
    <t>80°45′27″</t>
  </si>
  <si>
    <t>81°23′50″</t>
  </si>
  <si>
    <t>81°26′07″</t>
  </si>
  <si>
    <t>BRIONES-FOURZÁN, Patricia (2019)</t>
  </si>
  <si>
    <t>Bahía de la Ascensión, México</t>
  </si>
  <si>
    <t>19°41′54″</t>
  </si>
  <si>
    <t>19°43′35″</t>
  </si>
  <si>
    <t>87°27′43″</t>
  </si>
  <si>
    <t>87°25′06″</t>
  </si>
  <si>
    <t>19°44′04″</t>
  </si>
  <si>
    <t>19°46′33″</t>
  </si>
  <si>
    <t>19°38′59″</t>
  </si>
  <si>
    <t>19°38′36″</t>
  </si>
  <si>
    <t>87°25′23″</t>
  </si>
  <si>
    <t>87°28′37″</t>
  </si>
  <si>
    <t>87°27′21″</t>
  </si>
  <si>
    <t>87°27′36″</t>
  </si>
  <si>
    <t>SANTOS, Francisco José da Silva (2019)</t>
  </si>
  <si>
    <t>Plataforma Continental Amazônica</t>
  </si>
  <si>
    <t>01°45′10″</t>
  </si>
  <si>
    <t>01°43′38″</t>
  </si>
  <si>
    <t>02°00′35″</t>
  </si>
  <si>
    <t>02°39′44″</t>
  </si>
  <si>
    <t>03°29′13″</t>
  </si>
  <si>
    <t>48°12′56″</t>
  </si>
  <si>
    <t>48°26′22″</t>
  </si>
  <si>
    <t>48°12′39″</t>
  </si>
  <si>
    <t>49°08′56″</t>
  </si>
  <si>
    <t>49°47′04″</t>
  </si>
  <si>
    <t>2019_art_fjdassantos</t>
  </si>
  <si>
    <t>OLIVEIRA, Patricia Aguiar de (2009)</t>
  </si>
  <si>
    <t>Praia do Seixas (PB)</t>
  </si>
  <si>
    <t>Praia da Penha(PB)</t>
  </si>
  <si>
    <t>07°09′33″</t>
  </si>
  <si>
    <t>07°10′47″</t>
  </si>
  <si>
    <t>34°47′08″</t>
  </si>
  <si>
    <t>34°46′56″</t>
  </si>
  <si>
    <t>Caracterizacao_populacional_das_lagostas</t>
  </si>
  <si>
    <t>GIRALDES, Bruno W (2012)</t>
  </si>
  <si>
    <t>GIRALDES, Bruno W. (2012)</t>
  </si>
  <si>
    <t>GIRALDES, Bruno W. (2015)</t>
  </si>
  <si>
    <t>GIRALDES, Bruno W. (2021)</t>
  </si>
  <si>
    <t>GIRALDES, Bruno W.(2015)</t>
  </si>
  <si>
    <t>08°30′41″</t>
  </si>
  <si>
    <t>35°00′02″</t>
  </si>
  <si>
    <t>08°30′31″</t>
  </si>
  <si>
    <t>34°59′58″</t>
  </si>
  <si>
    <t>08°30′23″</t>
  </si>
  <si>
    <t>34°59′57″</t>
  </si>
  <si>
    <t>08°30′32″</t>
  </si>
  <si>
    <t>34°59′56″</t>
  </si>
  <si>
    <t>08°30′25″</t>
  </si>
  <si>
    <t>34°59′54″</t>
  </si>
  <si>
    <t>08°30′21″</t>
  </si>
  <si>
    <t>34°59′52″</t>
  </si>
  <si>
    <t>08°30′24″</t>
  </si>
  <si>
    <t>08°30′42″</t>
  </si>
  <si>
    <t>34°59′55″</t>
  </si>
  <si>
    <t>34°59′53″</t>
  </si>
  <si>
    <t>BEHRINGER, Donald C (2011)</t>
  </si>
  <si>
    <t>16°24′18″</t>
  </si>
  <si>
    <t>19°09′17″</t>
  </si>
  <si>
    <t>21°53′01″</t>
  </si>
  <si>
    <t>17°46′53″</t>
  </si>
  <si>
    <t>15°49′37″</t>
  </si>
  <si>
    <t>24°28′24″</t>
  </si>
  <si>
    <t>88°10′42″</t>
  </si>
  <si>
    <t>87°11′43″</t>
  </si>
  <si>
    <t>81°42′21″</t>
  </si>
  <si>
    <t>65°07′50″</t>
  </si>
  <si>
    <t>62°10′49″</t>
  </si>
  <si>
    <t>81°03′19″</t>
  </si>
  <si>
    <t>Belize</t>
  </si>
  <si>
    <t>México - Sian Ka'an</t>
  </si>
  <si>
    <t>lhas Virgens/Porto Rico</t>
  </si>
  <si>
    <t>Cuba - Golfo de Batabanó</t>
  </si>
  <si>
    <t>Dominica/Guadalupe</t>
  </si>
  <si>
    <t>Flórida - Keys</t>
  </si>
  <si>
    <t>d094p153</t>
  </si>
  <si>
    <t>d104p129</t>
  </si>
  <si>
    <t>MOSS, Jessica (2013)</t>
  </si>
  <si>
    <t>América Central (Nicarágua, Honduras e Belize)</t>
  </si>
  <si>
    <t>12°11′35″</t>
  </si>
  <si>
    <t>83°25′46″</t>
  </si>
  <si>
    <t>15°27′28″</t>
  </si>
  <si>
    <t>16°06′27″</t>
  </si>
  <si>
    <t>15°58′47″</t>
  </si>
  <si>
    <t>16°54′33″</t>
  </si>
  <si>
    <t>83°42′30″</t>
  </si>
  <si>
    <t>86°00′39″</t>
  </si>
  <si>
    <t>87°42′42″</t>
  </si>
  <si>
    <t>88°02′54″</t>
  </si>
  <si>
    <t>Norte do Golfo e Grandes Antilhas</t>
  </si>
  <si>
    <t>21°36′45″</t>
  </si>
  <si>
    <t>89°31′40″</t>
  </si>
  <si>
    <t>19°16′24″</t>
  </si>
  <si>
    <t>81°14′12″</t>
  </si>
  <si>
    <t>19°40′37″</t>
  </si>
  <si>
    <t>80°01′17″</t>
  </si>
  <si>
    <t>19°53′57″</t>
  </si>
  <si>
    <t>75°00′52″</t>
  </si>
  <si>
    <t>18°21′10″</t>
  </si>
  <si>
    <t>69°52′10″</t>
  </si>
  <si>
    <t>19°42′37″</t>
  </si>
  <si>
    <t>17°55′50″</t>
  </si>
  <si>
    <t>70°03′14″</t>
  </si>
  <si>
    <t>66°21′14″</t>
  </si>
  <si>
    <t>Pequenas Antilhas e América do Sul</t>
  </si>
  <si>
    <t>17°15′20″</t>
  </si>
  <si>
    <t>14°33′56″</t>
  </si>
  <si>
    <t>11°03′46″</t>
  </si>
  <si>
    <t>10°57′51″</t>
  </si>
  <si>
    <t>65°15′53″</t>
  </si>
  <si>
    <t>64°01′30″</t>
  </si>
  <si>
    <t>61°03′00″</t>
  </si>
  <si>
    <t>62°42′40″</t>
  </si>
  <si>
    <t>12°02′08″</t>
  </si>
  <si>
    <t>12°22′32″</t>
  </si>
  <si>
    <t>69°06′45″</t>
  </si>
  <si>
    <t>68°49′30″</t>
  </si>
  <si>
    <t>Arquipélago das Bahamas</t>
  </si>
  <si>
    <t>23°10′42″</t>
  </si>
  <si>
    <t>25°09′08″</t>
  </si>
  <si>
    <t>23°37′51″</t>
  </si>
  <si>
    <t>24°22′23″</t>
  </si>
  <si>
    <t>24°38′59″</t>
  </si>
  <si>
    <t>25°45′28″</t>
  </si>
  <si>
    <t>26°35′20″</t>
  </si>
  <si>
    <t>78°43′54″</t>
  </si>
  <si>
    <t>78°29′17″</t>
  </si>
  <si>
    <t>77°52′41″</t>
  </si>
  <si>
    <t>78°08′46″</t>
  </si>
  <si>
    <t>77°40′56″</t>
  </si>
  <si>
    <t>76°07′55″</t>
  </si>
  <si>
    <t>75°04′08″</t>
  </si>
  <si>
    <t>KANCIRUK, Paul (1976)</t>
  </si>
  <si>
    <t>Bimini, Bahamas</t>
  </si>
  <si>
    <t>25°32′00″</t>
  </si>
  <si>
    <t>25°44′51″</t>
  </si>
  <si>
    <t>25°40′15″</t>
  </si>
  <si>
    <t>25°47′19″</t>
  </si>
  <si>
    <t>25°39′02″</t>
  </si>
  <si>
    <t>26°02′00″</t>
  </si>
  <si>
    <t>79°06′00″</t>
  </si>
  <si>
    <t>79°17′36″</t>
  </si>
  <si>
    <t>79°15′34″</t>
  </si>
  <si>
    <t>79°17′49″</t>
  </si>
  <si>
    <t>79°18′30″</t>
  </si>
  <si>
    <t>79°17′00″</t>
  </si>
  <si>
    <t>s1</t>
  </si>
  <si>
    <t>02°53′22″</t>
  </si>
  <si>
    <t>04°06′06″</t>
  </si>
  <si>
    <t>04°53′26″</t>
  </si>
  <si>
    <t>Rio Grande do Norte</t>
  </si>
  <si>
    <t>Paraíba</t>
  </si>
  <si>
    <t>Pernambuco</t>
  </si>
  <si>
    <t>37°14′37″</t>
  </si>
  <si>
    <t>05°12′06″</t>
  </si>
  <si>
    <t>35°27′27″</t>
  </si>
  <si>
    <t>06°30′11″</t>
  </si>
  <si>
    <t>06°57′57″</t>
  </si>
  <si>
    <t>34°57′30″</t>
  </si>
  <si>
    <t>34°51′22″</t>
  </si>
  <si>
    <t>07°33′07″</t>
  </si>
  <si>
    <t>08°02′54″</t>
  </si>
  <si>
    <t>34°52′42″</t>
  </si>
  <si>
    <t>34°50′39″</t>
  </si>
  <si>
    <t>CRUZ, Raúl (2013)</t>
  </si>
  <si>
    <t>BEHRINGER, Donald C (2008)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</si>
</sst>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rgb="FF1A1A1A"/>
      <name val="Segoe UI"/>
      <family val="2"/>
    </font>
    <font>
      <sz val="11"/>
      <color theme="1"/>
      <name val="Arial"/>
      <family val="2"/>
    </font>
    <font>
      <sz val="11"/>
      <color rgb="FF11111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quotePrefix="1" applyFont="1" applyAlignment="1">
      <alignment horizontal="center" vertical="center" wrapText="1"/>
    </xf>
    <xf numFmtId="0" fontId="1" fillId="0" borderId="0" xfId="0" quotePrefix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wrapText="1"/>
    </xf>
    <xf numFmtId="0" fontId="0" fillId="0" borderId="0" xfId="0" applyAlignment="1">
      <alignment horizontal="center" vertical="top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top"/>
    </xf>
    <xf numFmtId="0" fontId="0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4"/>
  <sheetViews>
    <sheetView tabSelected="1" zoomScale="85" zoomScaleNormal="85" workbookViewId="0">
      <pane ySplit="1" topLeftCell="A62" activePane="bottomLeft" state="frozen"/>
      <selection pane="bottomLeft" activeCell="A105" sqref="A105:XFD105"/>
    </sheetView>
  </sheetViews>
  <sheetFormatPr defaultColWidth="9.140625" defaultRowHeight="15" x14ac:dyDescent="0.25"/>
  <cols>
    <col min="1" max="1" width="4.140625" style="3" bestFit="1" customWidth="1"/>
    <col min="2" max="2" width="25.140625" style="3" bestFit="1" customWidth="1"/>
    <col min="3" max="3" width="9.140625" style="3" bestFit="1" customWidth="1"/>
    <col min="4" max="4" width="9.7109375" style="3" bestFit="1" customWidth="1"/>
    <col min="5" max="5" width="13.42578125" style="1" bestFit="1" customWidth="1"/>
    <col min="6" max="6" width="12.42578125" style="1" bestFit="1" customWidth="1"/>
    <col min="7" max="7" width="36.85546875" style="3" customWidth="1"/>
    <col min="8" max="8" width="15.28515625" style="3" customWidth="1"/>
    <col min="9" max="9" width="45" style="3" bestFit="1" customWidth="1"/>
    <col min="10" max="11" width="9.140625" style="3"/>
    <col min="12" max="12" width="13" style="3" customWidth="1"/>
    <col min="13" max="15" width="9.140625" style="3"/>
    <col min="16" max="17" width="12.85546875" style="3" bestFit="1" customWidth="1"/>
    <col min="18" max="18" width="84.5703125" style="3" bestFit="1" customWidth="1"/>
    <col min="19" max="16384" width="9.140625" style="3"/>
  </cols>
  <sheetData>
    <row r="1" spans="1:18" ht="15.75" thickBot="1" x14ac:dyDescent="0.3">
      <c r="A1" s="3" t="s">
        <v>19</v>
      </c>
      <c r="B1" s="19" t="s">
        <v>17</v>
      </c>
      <c r="C1" s="19" t="s">
        <v>13</v>
      </c>
      <c r="D1" s="19" t="s">
        <v>14</v>
      </c>
      <c r="E1" s="20" t="s">
        <v>3</v>
      </c>
      <c r="F1" s="20" t="s">
        <v>2</v>
      </c>
      <c r="G1" s="19" t="s">
        <v>0</v>
      </c>
      <c r="H1" s="19" t="s">
        <v>11</v>
      </c>
      <c r="I1" s="19" t="s">
        <v>1</v>
      </c>
      <c r="J1" s="21" t="s">
        <v>4</v>
      </c>
      <c r="K1" s="21" t="s">
        <v>5</v>
      </c>
      <c r="L1" s="21" t="s">
        <v>6</v>
      </c>
      <c r="M1" s="21" t="s">
        <v>7</v>
      </c>
      <c r="N1" s="21" t="s">
        <v>8</v>
      </c>
      <c r="O1" s="22" t="s">
        <v>9</v>
      </c>
      <c r="P1" s="20" t="s">
        <v>10</v>
      </c>
      <c r="Q1" s="20" t="s">
        <v>18</v>
      </c>
      <c r="R1" s="19" t="s">
        <v>22</v>
      </c>
    </row>
    <row r="2" spans="1:18" ht="15.6" customHeight="1" thickBot="1" x14ac:dyDescent="0.3">
      <c r="A2" s="3">
        <v>1</v>
      </c>
      <c r="B2" s="3" t="s">
        <v>20</v>
      </c>
      <c r="C2" s="3" t="s">
        <v>15</v>
      </c>
      <c r="D2" s="3" t="s">
        <v>16</v>
      </c>
      <c r="E2" s="11" t="s">
        <v>24</v>
      </c>
      <c r="F2" s="1" t="s">
        <v>25</v>
      </c>
      <c r="G2" s="8" t="s">
        <v>78</v>
      </c>
      <c r="H2" s="3" t="s">
        <v>12</v>
      </c>
      <c r="I2" s="17" t="s">
        <v>26</v>
      </c>
      <c r="J2" s="3" t="str">
        <f t="shared" ref="J2" si="0">MID(E2,1,FIND("°",E2,1)-1)</f>
        <v>3</v>
      </c>
      <c r="K2" s="3" t="str">
        <f t="shared" ref="K2" si="1">MID(E2,FIND("°",E2,1)+1,(FIND("′",E2,1)-FIND("°",E2,1))-1)</f>
        <v>14</v>
      </c>
      <c r="L2" s="3" t="str">
        <f t="shared" ref="L2" si="2">MID(E2,FIND("′",E2,1)+1,(FIND("″",E2,1)-FIND("′",E2,1))-1)</f>
        <v>30</v>
      </c>
      <c r="M2" s="3" t="str">
        <f t="shared" ref="M2" si="3">MID(F2,1,FIND("°",F2,1)-1)</f>
        <v>39</v>
      </c>
      <c r="N2" s="3" t="str">
        <f t="shared" ref="N2" si="4">MID(F2,FIND("°",F2,1)+1,(FIND("′",F2,1)-FIND("°",F2,1))-1)</f>
        <v>13</v>
      </c>
      <c r="O2" s="3" t="str">
        <f t="shared" ref="O2" si="5">MID(F2,FIND("′",F2,1)+1,(FIND("″",F2,1)-FIND("′",F2,1))-1)</f>
        <v>30</v>
      </c>
      <c r="P2" s="1">
        <f t="shared" ref="P2" si="6">((((L2/60)+K2)/60)+J2)*IF(C2="S",-1, 1)</f>
        <v>-3.2416666666666667</v>
      </c>
      <c r="Q2" s="1">
        <f t="shared" ref="Q2" si="7">((((O2/60)+N2)/60)+M2)*IF(D2="W",-1, 1)</f>
        <v>-39.225000000000001</v>
      </c>
      <c r="R2" s="13" t="s">
        <v>23</v>
      </c>
    </row>
    <row r="3" spans="1:18" ht="15.75" customHeight="1" x14ac:dyDescent="0.25">
      <c r="A3" s="3">
        <v>2</v>
      </c>
      <c r="B3" s="3" t="s">
        <v>20</v>
      </c>
      <c r="C3" s="3" t="s">
        <v>29</v>
      </c>
      <c r="D3" s="3" t="s">
        <v>16</v>
      </c>
      <c r="E3" s="8" t="s">
        <v>28</v>
      </c>
      <c r="F3" s="8" t="s">
        <v>30</v>
      </c>
      <c r="G3" s="8" t="s">
        <v>43</v>
      </c>
      <c r="H3" s="3" t="s">
        <v>12</v>
      </c>
      <c r="I3" s="18" t="s">
        <v>33</v>
      </c>
      <c r="J3" s="3" t="str">
        <f t="shared" ref="J3:J17" si="8">MID(E3,1,FIND("°",E3,1)-1)</f>
        <v>04</v>
      </c>
      <c r="K3" s="3" t="str">
        <f t="shared" ref="K3:K17" si="9">MID(E3,FIND("°",E3,1)+1,(FIND("′",E3,1)-FIND("°",E3,1))-1)</f>
        <v>26</v>
      </c>
      <c r="L3" s="3" t="e">
        <f>MID(E3,FIND("′",E3,1)+1,(FIND("″",E3,1)-FIND("′",E3,1))-1)</f>
        <v>#VALUE!</v>
      </c>
      <c r="M3" s="3" t="str">
        <f t="shared" ref="M3:M17" si="10">MID(F3,1,FIND("°",F3,1)-1)</f>
        <v>51</v>
      </c>
      <c r="N3" s="3" t="str">
        <f t="shared" ref="N3:N17" si="11">MID(F3,FIND("°",F3,1)+1,(FIND("′",F3,1)-FIND("°",F3,1))-1)</f>
        <v>32</v>
      </c>
      <c r="O3" s="3" t="e">
        <f t="shared" ref="O3:O17" si="12">MID(F3,FIND("′",F3,1)+1,(FIND("″",F3,1)-FIND("′",F3,1))-1)</f>
        <v>#VALUE!</v>
      </c>
      <c r="P3" s="1" t="e">
        <f t="shared" ref="P3:P18" si="13">((((L3/60)+K3)/60)+J3)*IF(C3="S",-1, 1)</f>
        <v>#VALUE!</v>
      </c>
      <c r="Q3" s="1" t="e">
        <f t="shared" ref="Q3:Q18" si="14">((((O3/60)+N3)/60)+M3)*IF(D3="W",-1, 1)</f>
        <v>#VALUE!</v>
      </c>
      <c r="R3" s="14" t="s">
        <v>42</v>
      </c>
    </row>
    <row r="4" spans="1:18" ht="15.6" customHeight="1" x14ac:dyDescent="0.25">
      <c r="A4" s="3">
        <v>3</v>
      </c>
      <c r="B4" s="3" t="s">
        <v>20</v>
      </c>
      <c r="C4" s="3" t="s">
        <v>15</v>
      </c>
      <c r="D4" s="3" t="s">
        <v>16</v>
      </c>
      <c r="E4" s="10" t="s">
        <v>31</v>
      </c>
      <c r="F4" s="10" t="s">
        <v>32</v>
      </c>
      <c r="G4" s="8" t="s">
        <v>43</v>
      </c>
      <c r="H4" s="3" t="s">
        <v>12</v>
      </c>
      <c r="I4" s="23" t="s">
        <v>27</v>
      </c>
      <c r="J4" s="3" t="str">
        <f t="shared" si="8"/>
        <v>29</v>
      </c>
      <c r="K4" s="3" t="str">
        <f t="shared" si="9"/>
        <v>46</v>
      </c>
      <c r="L4" s="3" t="e">
        <f t="shared" ref="L4:L17" si="15">MID(E4,FIND("′",E4,1)+1,(FIND("″",E4,1)-FIND("′",E4,1))-1)</f>
        <v>#VALUE!</v>
      </c>
      <c r="M4" s="3" t="str">
        <f t="shared" si="10"/>
        <v>53</v>
      </c>
      <c r="N4" s="3" t="str">
        <f t="shared" si="11"/>
        <v>10</v>
      </c>
      <c r="O4" s="3" t="e">
        <f t="shared" si="12"/>
        <v>#VALUE!</v>
      </c>
      <c r="P4" s="1" t="e">
        <f t="shared" si="13"/>
        <v>#VALUE!</v>
      </c>
      <c r="Q4" s="1" t="e">
        <f t="shared" si="14"/>
        <v>#VALUE!</v>
      </c>
      <c r="R4" s="14" t="s">
        <v>42</v>
      </c>
    </row>
    <row r="5" spans="1:18" ht="17.25" customHeight="1" x14ac:dyDescent="0.3">
      <c r="A5" s="3">
        <v>4</v>
      </c>
      <c r="B5" s="3" t="s">
        <v>20</v>
      </c>
      <c r="C5" s="3" t="s">
        <v>15</v>
      </c>
      <c r="D5" s="3" t="s">
        <v>16</v>
      </c>
      <c r="E5" s="10" t="s">
        <v>36</v>
      </c>
      <c r="F5" s="10" t="s">
        <v>37</v>
      </c>
      <c r="G5" s="8" t="s">
        <v>43</v>
      </c>
      <c r="H5" s="3" t="s">
        <v>12</v>
      </c>
      <c r="I5" s="12" t="s">
        <v>39</v>
      </c>
      <c r="J5" s="3" t="str">
        <f t="shared" si="8"/>
        <v>21</v>
      </c>
      <c r="K5" s="3" t="e">
        <f t="shared" si="9"/>
        <v>#VALUE!</v>
      </c>
      <c r="L5" s="3" t="e">
        <f t="shared" si="15"/>
        <v>#VALUE!</v>
      </c>
      <c r="M5" s="3" t="str">
        <f t="shared" si="10"/>
        <v>40</v>
      </c>
      <c r="N5" s="3" t="e">
        <f t="shared" si="11"/>
        <v>#VALUE!</v>
      </c>
      <c r="O5" s="3" t="e">
        <f t="shared" si="12"/>
        <v>#VALUE!</v>
      </c>
      <c r="P5" s="1" t="e">
        <f t="shared" si="13"/>
        <v>#VALUE!</v>
      </c>
      <c r="Q5" s="1" t="e">
        <f t="shared" si="14"/>
        <v>#VALUE!</v>
      </c>
      <c r="R5" s="14" t="s">
        <v>42</v>
      </c>
    </row>
    <row r="6" spans="1:18" ht="15.6" customHeight="1" x14ac:dyDescent="0.3">
      <c r="A6" s="3">
        <v>5</v>
      </c>
      <c r="B6" s="3" t="s">
        <v>20</v>
      </c>
      <c r="C6" s="3" t="s">
        <v>15</v>
      </c>
      <c r="D6" s="3" t="s">
        <v>16</v>
      </c>
      <c r="E6" s="12" t="s">
        <v>40</v>
      </c>
      <c r="F6" s="12" t="s">
        <v>41</v>
      </c>
      <c r="G6" s="8" t="s">
        <v>43</v>
      </c>
      <c r="H6" s="3" t="s">
        <v>12</v>
      </c>
      <c r="I6" s="12" t="s">
        <v>38</v>
      </c>
      <c r="J6" s="3" t="str">
        <f t="shared" si="8"/>
        <v>2</v>
      </c>
      <c r="K6" s="3" t="e">
        <f t="shared" si="9"/>
        <v>#VALUE!</v>
      </c>
      <c r="L6" s="3" t="e">
        <f t="shared" si="15"/>
        <v>#VALUE!</v>
      </c>
      <c r="M6" s="3" t="str">
        <f t="shared" si="10"/>
        <v>4</v>
      </c>
      <c r="N6" s="3" t="e">
        <f t="shared" si="11"/>
        <v>#VALUE!</v>
      </c>
      <c r="O6" s="3" t="e">
        <f t="shared" si="12"/>
        <v>#VALUE!</v>
      </c>
      <c r="P6" s="1" t="e">
        <f t="shared" si="13"/>
        <v>#VALUE!</v>
      </c>
      <c r="Q6" s="1" t="e">
        <f t="shared" si="14"/>
        <v>#VALUE!</v>
      </c>
      <c r="R6" s="14" t="s">
        <v>42</v>
      </c>
    </row>
    <row r="7" spans="1:18" ht="16.5" x14ac:dyDescent="0.3">
      <c r="A7" s="3">
        <v>6</v>
      </c>
      <c r="B7" s="3" t="s">
        <v>20</v>
      </c>
      <c r="C7" s="3" t="s">
        <v>15</v>
      </c>
      <c r="D7" s="3" t="s">
        <v>16</v>
      </c>
      <c r="E7" s="10" t="s">
        <v>34</v>
      </c>
      <c r="F7" s="10" t="s">
        <v>35</v>
      </c>
      <c r="G7" s="8" t="s">
        <v>43</v>
      </c>
      <c r="H7" s="3" t="s">
        <v>12</v>
      </c>
      <c r="I7" s="12" t="s">
        <v>39</v>
      </c>
      <c r="J7" s="3" t="str">
        <f t="shared" si="8"/>
        <v>9</v>
      </c>
      <c r="K7" s="3" t="e">
        <f t="shared" si="9"/>
        <v>#VALUE!</v>
      </c>
      <c r="L7" s="3" t="e">
        <f t="shared" si="15"/>
        <v>#VALUE!</v>
      </c>
      <c r="M7" s="3" t="str">
        <f t="shared" si="10"/>
        <v>35</v>
      </c>
      <c r="N7" s="3" t="e">
        <f t="shared" si="11"/>
        <v>#VALUE!</v>
      </c>
      <c r="O7" s="3" t="e">
        <f t="shared" si="12"/>
        <v>#VALUE!</v>
      </c>
      <c r="P7" s="1" t="e">
        <f t="shared" si="13"/>
        <v>#VALUE!</v>
      </c>
      <c r="Q7" s="1" t="e">
        <f t="shared" si="14"/>
        <v>#VALUE!</v>
      </c>
      <c r="R7" s="14" t="s">
        <v>42</v>
      </c>
    </row>
    <row r="8" spans="1:18" ht="16.5" x14ac:dyDescent="0.3">
      <c r="A8" s="3">
        <v>7</v>
      </c>
      <c r="B8" s="3" t="s">
        <v>20</v>
      </c>
      <c r="C8" s="3" t="s">
        <v>15</v>
      </c>
      <c r="D8" s="3" t="s">
        <v>16</v>
      </c>
      <c r="E8" s="8" t="s">
        <v>203</v>
      </c>
      <c r="F8" s="8" t="s">
        <v>204</v>
      </c>
      <c r="G8" s="8" t="s">
        <v>43</v>
      </c>
      <c r="H8" s="3" t="s">
        <v>12</v>
      </c>
      <c r="I8" s="12" t="s">
        <v>188</v>
      </c>
      <c r="J8" s="3" t="str">
        <f t="shared" si="8"/>
        <v>2</v>
      </c>
      <c r="K8" s="3" t="str">
        <f t="shared" si="9"/>
        <v>53</v>
      </c>
      <c r="L8" s="3" t="str">
        <f t="shared" si="15"/>
        <v>22</v>
      </c>
      <c r="M8" s="3" t="str">
        <f t="shared" si="10"/>
        <v>41</v>
      </c>
      <c r="N8" s="3" t="str">
        <f t="shared" si="11"/>
        <v>13</v>
      </c>
      <c r="O8" s="3" t="str">
        <f t="shared" si="12"/>
        <v>46</v>
      </c>
      <c r="P8" s="1">
        <f t="shared" si="13"/>
        <v>-2.8894444444444445</v>
      </c>
      <c r="Q8" s="1">
        <f t="shared" si="14"/>
        <v>-41.229444444444447</v>
      </c>
      <c r="R8" s="14" t="s">
        <v>42</v>
      </c>
    </row>
    <row r="9" spans="1:18" ht="16.5" x14ac:dyDescent="0.3">
      <c r="A9" s="3">
        <v>8</v>
      </c>
      <c r="B9" s="3" t="s">
        <v>20</v>
      </c>
      <c r="C9" s="3" t="s">
        <v>15</v>
      </c>
      <c r="D9" s="3" t="s">
        <v>16</v>
      </c>
      <c r="E9" s="8" t="s">
        <v>205</v>
      </c>
      <c r="F9" s="1" t="s">
        <v>206</v>
      </c>
      <c r="G9" s="8" t="s">
        <v>43</v>
      </c>
      <c r="H9" s="3" t="s">
        <v>12</v>
      </c>
      <c r="I9" s="12" t="s">
        <v>188</v>
      </c>
      <c r="J9" s="3" t="str">
        <f t="shared" si="8"/>
        <v>4</v>
      </c>
      <c r="K9" s="3" t="str">
        <f t="shared" si="9"/>
        <v>06</v>
      </c>
      <c r="L9" s="3" t="str">
        <f t="shared" si="15"/>
        <v>06</v>
      </c>
      <c r="M9" s="3" t="str">
        <f t="shared" si="10"/>
        <v>38</v>
      </c>
      <c r="N9" s="3" t="str">
        <f t="shared" si="11"/>
        <v>08</v>
      </c>
      <c r="O9" s="3" t="str">
        <f t="shared" si="12"/>
        <v>56</v>
      </c>
      <c r="P9" s="1">
        <f t="shared" si="13"/>
        <v>-4.1016666666666666</v>
      </c>
      <c r="Q9" s="1">
        <f t="shared" si="14"/>
        <v>-38.148888888888891</v>
      </c>
      <c r="R9" s="14" t="s">
        <v>42</v>
      </c>
    </row>
    <row r="10" spans="1:18" ht="15.75" x14ac:dyDescent="0.25">
      <c r="A10" s="3">
        <v>9</v>
      </c>
      <c r="B10" s="3" t="s">
        <v>21</v>
      </c>
      <c r="C10" s="3" t="s">
        <v>29</v>
      </c>
      <c r="D10" s="3" t="s">
        <v>16</v>
      </c>
      <c r="E10" s="8" t="s">
        <v>28</v>
      </c>
      <c r="F10" s="8" t="s">
        <v>30</v>
      </c>
      <c r="G10" s="8" t="s">
        <v>43</v>
      </c>
      <c r="H10" s="3" t="s">
        <v>12</v>
      </c>
      <c r="I10" s="18" t="s">
        <v>33</v>
      </c>
      <c r="J10" s="3" t="str">
        <f t="shared" si="8"/>
        <v>04</v>
      </c>
      <c r="K10" s="3" t="str">
        <f t="shared" si="9"/>
        <v>26</v>
      </c>
      <c r="L10" s="3" t="e">
        <f t="shared" si="15"/>
        <v>#VALUE!</v>
      </c>
      <c r="M10" s="3" t="str">
        <f t="shared" si="10"/>
        <v>51</v>
      </c>
      <c r="N10" s="3" t="str">
        <f t="shared" si="11"/>
        <v>32</v>
      </c>
      <c r="O10" s="3" t="e">
        <f t="shared" si="12"/>
        <v>#VALUE!</v>
      </c>
      <c r="P10" s="1" t="e">
        <f t="shared" si="13"/>
        <v>#VALUE!</v>
      </c>
      <c r="Q10" s="1" t="e">
        <f t="shared" si="14"/>
        <v>#VALUE!</v>
      </c>
      <c r="R10" s="14" t="s">
        <v>42</v>
      </c>
    </row>
    <row r="11" spans="1:18" ht="15.75" x14ac:dyDescent="0.25">
      <c r="A11" s="3">
        <v>10</v>
      </c>
      <c r="B11" s="3" t="s">
        <v>21</v>
      </c>
      <c r="C11" s="3" t="s">
        <v>15</v>
      </c>
      <c r="D11" s="3" t="s">
        <v>16</v>
      </c>
      <c r="E11" s="10" t="s">
        <v>31</v>
      </c>
      <c r="F11" s="10" t="s">
        <v>32</v>
      </c>
      <c r="G11" s="8" t="s">
        <v>43</v>
      </c>
      <c r="H11" s="3" t="s">
        <v>12</v>
      </c>
      <c r="I11" s="18" t="s">
        <v>27</v>
      </c>
      <c r="J11" s="3" t="str">
        <f>MID(E11,1,FIND("°",E11,1)-1)</f>
        <v>29</v>
      </c>
      <c r="K11" s="3" t="str">
        <f t="shared" si="9"/>
        <v>46</v>
      </c>
      <c r="L11" s="3" t="e">
        <f t="shared" si="15"/>
        <v>#VALUE!</v>
      </c>
      <c r="M11" s="3" t="str">
        <f t="shared" si="10"/>
        <v>53</v>
      </c>
      <c r="N11" s="3" t="str">
        <f t="shared" si="11"/>
        <v>10</v>
      </c>
      <c r="O11" s="3" t="e">
        <f t="shared" si="12"/>
        <v>#VALUE!</v>
      </c>
      <c r="P11" s="1" t="e">
        <f t="shared" si="13"/>
        <v>#VALUE!</v>
      </c>
      <c r="Q11" s="1" t="e">
        <f t="shared" si="14"/>
        <v>#VALUE!</v>
      </c>
      <c r="R11" s="14" t="s">
        <v>42</v>
      </c>
    </row>
    <row r="12" spans="1:18" ht="16.5" x14ac:dyDescent="0.3">
      <c r="A12" s="3">
        <v>11</v>
      </c>
      <c r="B12" s="3" t="s">
        <v>21</v>
      </c>
      <c r="C12" s="3" t="s">
        <v>15</v>
      </c>
      <c r="D12" s="3" t="s">
        <v>16</v>
      </c>
      <c r="E12" s="10" t="s">
        <v>36</v>
      </c>
      <c r="F12" s="10" t="s">
        <v>37</v>
      </c>
      <c r="G12" s="8" t="s">
        <v>43</v>
      </c>
      <c r="H12" s="3" t="s">
        <v>12</v>
      </c>
      <c r="I12" s="12" t="s">
        <v>39</v>
      </c>
      <c r="J12" s="3" t="str">
        <f t="shared" si="8"/>
        <v>21</v>
      </c>
      <c r="K12" s="3" t="e">
        <f t="shared" si="9"/>
        <v>#VALUE!</v>
      </c>
      <c r="L12" s="3" t="e">
        <f t="shared" si="15"/>
        <v>#VALUE!</v>
      </c>
      <c r="M12" s="3" t="str">
        <f>MID(F12,1,FIND("°",F12,1)-1)</f>
        <v>40</v>
      </c>
      <c r="N12" s="3" t="e">
        <f>MID(F12,FIND("°",F12,1)+1,(FIND("′",F12,1)-FIND("°",F12,1))-1)</f>
        <v>#VALUE!</v>
      </c>
      <c r="O12" s="3" t="e">
        <f t="shared" si="12"/>
        <v>#VALUE!</v>
      </c>
      <c r="P12" s="1" t="e">
        <f t="shared" si="13"/>
        <v>#VALUE!</v>
      </c>
      <c r="Q12" s="1" t="e">
        <f t="shared" si="14"/>
        <v>#VALUE!</v>
      </c>
      <c r="R12" s="14" t="s">
        <v>42</v>
      </c>
    </row>
    <row r="13" spans="1:18" ht="16.5" x14ac:dyDescent="0.3">
      <c r="A13" s="3">
        <v>12</v>
      </c>
      <c r="B13" s="3" t="s">
        <v>21</v>
      </c>
      <c r="C13" s="3" t="s">
        <v>15</v>
      </c>
      <c r="D13" s="3" t="s">
        <v>16</v>
      </c>
      <c r="E13" s="12" t="s">
        <v>40</v>
      </c>
      <c r="F13" s="12" t="s">
        <v>41</v>
      </c>
      <c r="G13" s="8" t="s">
        <v>43</v>
      </c>
      <c r="H13" s="3" t="s">
        <v>12</v>
      </c>
      <c r="I13" s="12" t="s">
        <v>38</v>
      </c>
      <c r="J13" s="3" t="str">
        <f t="shared" si="8"/>
        <v>2</v>
      </c>
      <c r="K13" s="3" t="e">
        <f>MID(E13,FIND("°",E13,1)+1,(FIND("′",E13,1)-FIND("°",E13,1))-1)</f>
        <v>#VALUE!</v>
      </c>
      <c r="L13" s="3" t="e">
        <f t="shared" si="15"/>
        <v>#VALUE!</v>
      </c>
      <c r="M13" s="3" t="str">
        <f t="shared" si="10"/>
        <v>4</v>
      </c>
      <c r="N13" s="3" t="e">
        <f t="shared" si="11"/>
        <v>#VALUE!</v>
      </c>
      <c r="O13" s="3" t="e">
        <f t="shared" si="12"/>
        <v>#VALUE!</v>
      </c>
      <c r="P13" s="1" t="e">
        <f t="shared" si="13"/>
        <v>#VALUE!</v>
      </c>
      <c r="Q13" s="1" t="e">
        <f t="shared" si="14"/>
        <v>#VALUE!</v>
      </c>
      <c r="R13" s="14" t="s">
        <v>42</v>
      </c>
    </row>
    <row r="14" spans="1:18" ht="16.5" x14ac:dyDescent="0.3">
      <c r="A14" s="3">
        <v>13</v>
      </c>
      <c r="B14" s="3" t="s">
        <v>21</v>
      </c>
      <c r="C14" s="3" t="s">
        <v>15</v>
      </c>
      <c r="D14" s="3" t="s">
        <v>16</v>
      </c>
      <c r="E14" s="10" t="s">
        <v>34</v>
      </c>
      <c r="F14" s="10" t="s">
        <v>35</v>
      </c>
      <c r="G14" s="8" t="s">
        <v>43</v>
      </c>
      <c r="H14" s="3" t="s">
        <v>12</v>
      </c>
      <c r="I14" s="12" t="s">
        <v>39</v>
      </c>
      <c r="J14" s="3" t="str">
        <f t="shared" si="8"/>
        <v>9</v>
      </c>
      <c r="K14" s="3" t="e">
        <f t="shared" si="9"/>
        <v>#VALUE!</v>
      </c>
      <c r="L14" s="3" t="e">
        <f t="shared" si="15"/>
        <v>#VALUE!</v>
      </c>
      <c r="M14" s="3" t="str">
        <f t="shared" si="10"/>
        <v>35</v>
      </c>
      <c r="N14" s="3" t="e">
        <f t="shared" si="11"/>
        <v>#VALUE!</v>
      </c>
      <c r="O14" s="3" t="e">
        <f t="shared" si="12"/>
        <v>#VALUE!</v>
      </c>
      <c r="P14" s="1" t="e">
        <f t="shared" si="13"/>
        <v>#VALUE!</v>
      </c>
      <c r="Q14" s="1" t="e">
        <f t="shared" si="14"/>
        <v>#VALUE!</v>
      </c>
      <c r="R14" s="14" t="s">
        <v>42</v>
      </c>
    </row>
    <row r="15" spans="1:18" ht="16.5" x14ac:dyDescent="0.3">
      <c r="A15" s="3">
        <v>14</v>
      </c>
      <c r="B15" s="3" t="s">
        <v>21</v>
      </c>
      <c r="C15" s="3" t="s">
        <v>15</v>
      </c>
      <c r="D15" s="3" t="s">
        <v>16</v>
      </c>
      <c r="E15" s="8" t="s">
        <v>203</v>
      </c>
      <c r="F15" s="8" t="s">
        <v>204</v>
      </c>
      <c r="G15" s="8" t="s">
        <v>43</v>
      </c>
      <c r="H15" s="3" t="s">
        <v>12</v>
      </c>
      <c r="I15" s="12" t="s">
        <v>188</v>
      </c>
      <c r="J15" s="3" t="str">
        <f t="shared" si="8"/>
        <v>2</v>
      </c>
      <c r="K15" s="3" t="str">
        <f t="shared" si="9"/>
        <v>53</v>
      </c>
      <c r="L15" s="3" t="str">
        <f t="shared" si="15"/>
        <v>22</v>
      </c>
      <c r="M15" s="3" t="str">
        <f t="shared" si="10"/>
        <v>41</v>
      </c>
      <c r="N15" s="3" t="str">
        <f t="shared" si="11"/>
        <v>13</v>
      </c>
      <c r="O15" s="3" t="str">
        <f t="shared" si="12"/>
        <v>46</v>
      </c>
      <c r="P15" s="1">
        <f t="shared" si="13"/>
        <v>-2.8894444444444445</v>
      </c>
      <c r="Q15" s="1">
        <f t="shared" si="14"/>
        <v>-41.229444444444447</v>
      </c>
      <c r="R15" s="14" t="s">
        <v>42</v>
      </c>
    </row>
    <row r="16" spans="1:18" ht="16.5" x14ac:dyDescent="0.3">
      <c r="A16" s="3">
        <v>15</v>
      </c>
      <c r="B16" s="3" t="s">
        <v>21</v>
      </c>
      <c r="C16" s="3" t="s">
        <v>15</v>
      </c>
      <c r="D16" s="3" t="s">
        <v>16</v>
      </c>
      <c r="E16" s="8" t="s">
        <v>205</v>
      </c>
      <c r="F16" s="1" t="s">
        <v>206</v>
      </c>
      <c r="G16" s="8" t="s">
        <v>43</v>
      </c>
      <c r="H16" s="3" t="s">
        <v>12</v>
      </c>
      <c r="I16" s="12" t="s">
        <v>188</v>
      </c>
      <c r="J16" s="3" t="str">
        <f t="shared" si="8"/>
        <v>4</v>
      </c>
      <c r="K16" s="3" t="str">
        <f t="shared" si="9"/>
        <v>06</v>
      </c>
      <c r="L16" s="3" t="str">
        <f t="shared" si="15"/>
        <v>06</v>
      </c>
      <c r="M16" s="3" t="str">
        <f t="shared" si="10"/>
        <v>38</v>
      </c>
      <c r="N16" s="3" t="str">
        <f t="shared" si="11"/>
        <v>08</v>
      </c>
      <c r="O16" s="3" t="str">
        <f t="shared" si="12"/>
        <v>56</v>
      </c>
      <c r="P16" s="1">
        <f t="shared" si="13"/>
        <v>-4.1016666666666666</v>
      </c>
      <c r="Q16" s="1">
        <f t="shared" si="14"/>
        <v>-38.148888888888891</v>
      </c>
      <c r="R16" s="14" t="s">
        <v>42</v>
      </c>
    </row>
    <row r="17" spans="1:18" ht="15.75" x14ac:dyDescent="0.25">
      <c r="A17" s="3">
        <v>16</v>
      </c>
      <c r="B17" s="3" t="s">
        <v>45</v>
      </c>
      <c r="C17" s="3" t="s">
        <v>15</v>
      </c>
      <c r="D17" s="3" t="s">
        <v>16</v>
      </c>
      <c r="E17" s="8" t="s">
        <v>46</v>
      </c>
      <c r="F17" s="8" t="s">
        <v>47</v>
      </c>
      <c r="G17" s="8" t="s">
        <v>48</v>
      </c>
      <c r="H17" s="3" t="s">
        <v>12</v>
      </c>
      <c r="I17" s="3" t="s">
        <v>44</v>
      </c>
      <c r="J17" s="3" t="str">
        <f t="shared" si="8"/>
        <v>7</v>
      </c>
      <c r="K17" s="3" t="str">
        <f t="shared" si="9"/>
        <v>54</v>
      </c>
      <c r="L17" s="3" t="str">
        <f t="shared" si="15"/>
        <v>15,6</v>
      </c>
      <c r="M17" s="3" t="str">
        <f t="shared" si="10"/>
        <v>34</v>
      </c>
      <c r="N17" s="3" t="str">
        <f t="shared" si="11"/>
        <v>49</v>
      </c>
      <c r="O17" s="3" t="str">
        <f t="shared" si="12"/>
        <v>14,3</v>
      </c>
      <c r="P17" s="1">
        <f t="shared" si="13"/>
        <v>-7.9043333333333337</v>
      </c>
      <c r="Q17" s="1">
        <f t="shared" si="14"/>
        <v>-34.820638888888887</v>
      </c>
      <c r="R17" s="14" t="s">
        <v>49</v>
      </c>
    </row>
    <row r="18" spans="1:18" ht="15.75" x14ac:dyDescent="0.25">
      <c r="A18" s="3">
        <v>17</v>
      </c>
      <c r="B18" s="3" t="s">
        <v>45</v>
      </c>
      <c r="C18" s="3" t="s">
        <v>15</v>
      </c>
      <c r="D18" s="3" t="s">
        <v>16</v>
      </c>
      <c r="E18" s="1" t="s">
        <v>51</v>
      </c>
      <c r="F18" s="1" t="s">
        <v>52</v>
      </c>
      <c r="G18" s="15" t="s">
        <v>50</v>
      </c>
      <c r="H18" s="3" t="s">
        <v>12</v>
      </c>
      <c r="I18" s="3" t="s">
        <v>53</v>
      </c>
      <c r="J18" s="3" t="str">
        <f t="shared" ref="J18:J23" si="16">MID(E18,1,FIND("°",E18,1)-1)</f>
        <v>5</v>
      </c>
      <c r="K18" s="3" t="e">
        <f>MID(E18,FIND("°",E18,1)+1,(FIND("′",E18,1)-FIND("°",E18,1))-1)</f>
        <v>#VALUE!</v>
      </c>
      <c r="L18" s="3" t="e">
        <f t="shared" ref="L18:L23" si="17">MID(E18,FIND("′",E18,1)+1,(FIND("″",E18,1)-FIND("′",E18,1))-1)</f>
        <v>#VALUE!</v>
      </c>
      <c r="M18" s="3" t="str">
        <f t="shared" ref="M18:M23" si="18">MID(F18,1,FIND("°",F18,1)-1)</f>
        <v>35</v>
      </c>
      <c r="N18" s="3" t="e">
        <f t="shared" ref="N18:N23" si="19">MID(F18,FIND("°",F18,1)+1,(FIND("′",F18,1)-FIND("°",F18,1))-1)</f>
        <v>#VALUE!</v>
      </c>
      <c r="O18" s="3" t="e">
        <f t="shared" ref="O18:O23" si="20">MID(F18,FIND("′",F18,1)+1,(FIND("″",F18,1)-FIND("′",F18,1))-1)</f>
        <v>#VALUE!</v>
      </c>
      <c r="P18" s="1" t="e">
        <f t="shared" si="13"/>
        <v>#VALUE!</v>
      </c>
      <c r="Q18" s="1" t="e">
        <f t="shared" si="14"/>
        <v>#VALUE!</v>
      </c>
      <c r="R18" s="14" t="s">
        <v>54</v>
      </c>
    </row>
    <row r="19" spans="1:18" ht="15.75" x14ac:dyDescent="0.25">
      <c r="A19" s="3">
        <v>18</v>
      </c>
      <c r="B19" s="3" t="s">
        <v>21</v>
      </c>
      <c r="C19" s="3" t="s">
        <v>15</v>
      </c>
      <c r="D19" s="3" t="s">
        <v>16</v>
      </c>
      <c r="E19" s="1" t="s">
        <v>51</v>
      </c>
      <c r="F19" s="1" t="s">
        <v>52</v>
      </c>
      <c r="G19" s="15" t="s">
        <v>50</v>
      </c>
      <c r="H19" s="3" t="s">
        <v>12</v>
      </c>
      <c r="I19" s="3" t="s">
        <v>53</v>
      </c>
      <c r="J19" s="3" t="str">
        <f t="shared" si="16"/>
        <v>5</v>
      </c>
      <c r="K19" s="3" t="e">
        <f t="shared" ref="K19:K23" si="21">MID(E19,FIND("°",E19,1)+1,(FIND("′",E19,1)-FIND("°",E19,1))-1)</f>
        <v>#VALUE!</v>
      </c>
      <c r="L19" s="3" t="e">
        <f t="shared" si="17"/>
        <v>#VALUE!</v>
      </c>
      <c r="M19" s="3" t="str">
        <f t="shared" si="18"/>
        <v>35</v>
      </c>
      <c r="N19" s="3" t="e">
        <f t="shared" si="19"/>
        <v>#VALUE!</v>
      </c>
      <c r="O19" s="3" t="e">
        <f t="shared" si="20"/>
        <v>#VALUE!</v>
      </c>
      <c r="P19" s="1" t="e">
        <f t="shared" ref="P19:P23" si="22">((((L19/60)+K19)/60)+J19)*IF(C19="S",-1, 1)</f>
        <v>#VALUE!</v>
      </c>
      <c r="Q19" s="1" t="e">
        <f t="shared" ref="Q19:Q23" si="23">((((O19/60)+N19)/60)+M19)*IF(D19="W",-1, 1)</f>
        <v>#VALUE!</v>
      </c>
      <c r="R19" s="14" t="s">
        <v>54</v>
      </c>
    </row>
    <row r="20" spans="1:18" ht="15.75" x14ac:dyDescent="0.25">
      <c r="A20" s="3">
        <v>19</v>
      </c>
      <c r="B20" s="3" t="s">
        <v>56</v>
      </c>
      <c r="C20" s="3" t="s">
        <v>15</v>
      </c>
      <c r="D20" s="3" t="s">
        <v>16</v>
      </c>
      <c r="E20" s="8" t="s">
        <v>59</v>
      </c>
      <c r="F20" s="8" t="s">
        <v>60</v>
      </c>
      <c r="G20" s="8" t="s">
        <v>67</v>
      </c>
      <c r="H20" s="3" t="s">
        <v>12</v>
      </c>
      <c r="I20" s="3" t="s">
        <v>57</v>
      </c>
      <c r="J20" s="3" t="str">
        <f t="shared" si="16"/>
        <v>08</v>
      </c>
      <c r="K20" s="3" t="str">
        <f>MID(E20,FIND("°",E20,1)+1,(FIND("′",E20,1)-FIND("°",E20,1))-1)</f>
        <v>45</v>
      </c>
      <c r="L20" s="3" t="str">
        <f t="shared" si="17"/>
        <v>31,2</v>
      </c>
      <c r="M20" s="3" t="str">
        <f t="shared" si="18"/>
        <v>35</v>
      </c>
      <c r="N20" s="3" t="str">
        <f t="shared" si="19"/>
        <v>05</v>
      </c>
      <c r="O20" s="3" t="str">
        <f t="shared" si="20"/>
        <v>07,7</v>
      </c>
      <c r="P20" s="1">
        <f t="shared" si="22"/>
        <v>-8.7586666666666666</v>
      </c>
      <c r="Q20" s="1">
        <f t="shared" si="23"/>
        <v>-35.085472222222222</v>
      </c>
      <c r="R20" s="14" t="s">
        <v>69</v>
      </c>
    </row>
    <row r="21" spans="1:18" ht="15.75" x14ac:dyDescent="0.25">
      <c r="A21" s="3">
        <v>20</v>
      </c>
      <c r="B21" s="3" t="s">
        <v>56</v>
      </c>
      <c r="C21" s="3" t="s">
        <v>15</v>
      </c>
      <c r="D21" s="3" t="s">
        <v>16</v>
      </c>
      <c r="E21" s="8" t="s">
        <v>62</v>
      </c>
      <c r="F21" s="16" t="s">
        <v>61</v>
      </c>
      <c r="G21" s="8" t="s">
        <v>67</v>
      </c>
      <c r="H21" s="3" t="s">
        <v>12</v>
      </c>
      <c r="I21" s="3" t="s">
        <v>57</v>
      </c>
      <c r="J21" s="3" t="str">
        <f t="shared" si="16"/>
        <v>08</v>
      </c>
      <c r="K21" s="3" t="str">
        <f t="shared" si="21"/>
        <v>46</v>
      </c>
      <c r="L21" s="3" t="str">
        <f t="shared" si="17"/>
        <v>57,2</v>
      </c>
      <c r="M21" s="3" t="str">
        <f t="shared" si="18"/>
        <v>35</v>
      </c>
      <c r="N21" s="3" t="str">
        <f t="shared" si="19"/>
        <v>05</v>
      </c>
      <c r="O21" s="3" t="str">
        <f t="shared" si="20"/>
        <v>48,9</v>
      </c>
      <c r="P21" s="1">
        <f t="shared" si="22"/>
        <v>-8.7825555555555557</v>
      </c>
      <c r="Q21" s="1">
        <f t="shared" si="23"/>
        <v>-35.096916666666665</v>
      </c>
      <c r="R21" s="14" t="s">
        <v>69</v>
      </c>
    </row>
    <row r="22" spans="1:18" ht="15.75" x14ac:dyDescent="0.25">
      <c r="A22" s="3">
        <v>21</v>
      </c>
      <c r="B22" s="3" t="s">
        <v>56</v>
      </c>
      <c r="C22" s="3" t="s">
        <v>15</v>
      </c>
      <c r="D22" s="3" t="s">
        <v>16</v>
      </c>
      <c r="E22" s="8" t="s">
        <v>63</v>
      </c>
      <c r="F22" s="1" t="s">
        <v>64</v>
      </c>
      <c r="G22" s="8" t="s">
        <v>67</v>
      </c>
      <c r="H22" s="3" t="s">
        <v>12</v>
      </c>
      <c r="I22" s="3" t="s">
        <v>58</v>
      </c>
      <c r="J22" s="3" t="str">
        <f t="shared" si="16"/>
        <v>08</v>
      </c>
      <c r="K22" s="3" t="str">
        <f t="shared" si="21"/>
        <v>45</v>
      </c>
      <c r="L22" s="3" t="str">
        <f t="shared" si="17"/>
        <v>35,0</v>
      </c>
      <c r="M22" s="3" t="str">
        <f t="shared" si="18"/>
        <v xml:space="preserve"> 35</v>
      </c>
      <c r="N22" s="3" t="str">
        <f t="shared" si="19"/>
        <v>04</v>
      </c>
      <c r="O22" s="3" t="str">
        <f t="shared" si="20"/>
        <v>57,5</v>
      </c>
      <c r="P22" s="1">
        <f t="shared" si="22"/>
        <v>-8.7597222222222229</v>
      </c>
      <c r="Q22" s="1">
        <f t="shared" si="23"/>
        <v>-35.082638888888887</v>
      </c>
      <c r="R22" s="14" t="s">
        <v>69</v>
      </c>
    </row>
    <row r="23" spans="1:18" ht="15.75" x14ac:dyDescent="0.25">
      <c r="A23" s="3">
        <v>22</v>
      </c>
      <c r="B23" s="3" t="s">
        <v>56</v>
      </c>
      <c r="C23" s="3" t="s">
        <v>15</v>
      </c>
      <c r="D23" s="3" t="s">
        <v>16</v>
      </c>
      <c r="E23" s="8" t="s">
        <v>65</v>
      </c>
      <c r="F23" s="1" t="s">
        <v>66</v>
      </c>
      <c r="G23" s="8" t="s">
        <v>67</v>
      </c>
      <c r="H23" s="3" t="s">
        <v>12</v>
      </c>
      <c r="I23" s="3" t="s">
        <v>58</v>
      </c>
      <c r="J23" s="3" t="str">
        <f t="shared" si="16"/>
        <v>08</v>
      </c>
      <c r="K23" s="3" t="str">
        <f t="shared" si="21"/>
        <v>47</v>
      </c>
      <c r="L23" s="3" t="str">
        <f t="shared" si="17"/>
        <v>01,2</v>
      </c>
      <c r="M23" s="3" t="str">
        <f t="shared" si="18"/>
        <v>35</v>
      </c>
      <c r="N23" s="3" t="str">
        <f t="shared" si="19"/>
        <v>05</v>
      </c>
      <c r="O23" s="3" t="str">
        <f t="shared" si="20"/>
        <v>42,0</v>
      </c>
      <c r="P23" s="1">
        <f t="shared" si="22"/>
        <v>-8.783666666666667</v>
      </c>
      <c r="Q23" s="1">
        <f t="shared" si="23"/>
        <v>-35.094999999999999</v>
      </c>
      <c r="R23" s="14" t="s">
        <v>69</v>
      </c>
    </row>
    <row r="24" spans="1:18" ht="15.75" x14ac:dyDescent="0.25">
      <c r="A24" s="3">
        <v>23</v>
      </c>
      <c r="B24" s="3" t="s">
        <v>20</v>
      </c>
      <c r="C24" s="3" t="s">
        <v>15</v>
      </c>
      <c r="D24" s="3" t="s">
        <v>16</v>
      </c>
      <c r="E24" s="8" t="s">
        <v>70</v>
      </c>
      <c r="F24" s="8" t="s">
        <v>71</v>
      </c>
      <c r="G24" s="8" t="s">
        <v>78</v>
      </c>
      <c r="H24" s="3" t="s">
        <v>12</v>
      </c>
      <c r="I24" s="3" t="s">
        <v>72</v>
      </c>
      <c r="J24" s="3" t="str">
        <f t="shared" ref="J24:J83" si="24">MID(E24,1,FIND("°",E24,1)-1)</f>
        <v>2</v>
      </c>
      <c r="K24" s="3" t="str">
        <f t="shared" ref="K24:K83" si="25">MID(E24,FIND("°",E24,1)+1,(FIND("′",E24,1)-FIND("°",E24,1))-1)</f>
        <v>46</v>
      </c>
      <c r="L24" s="3" t="e">
        <f t="shared" ref="L24:L83" si="26">MID(E24,FIND("′",E24,1)+1,(FIND("″",E24,1)-FIND("′",E24,1))-1)</f>
        <v>#VALUE!</v>
      </c>
      <c r="M24" s="3" t="str">
        <f t="shared" ref="M24:M83" si="27">MID(F24,1,FIND("°",F24,1)-1)</f>
        <v>40</v>
      </c>
      <c r="N24" s="3" t="str">
        <f t="shared" ref="N24:N83" si="28">MID(F24,FIND("°",F24,1)+1,(FIND("′",F24,1)-FIND("°",F24,1))-1)</f>
        <v>05</v>
      </c>
      <c r="O24" s="3" t="e">
        <f t="shared" ref="O24:O83" si="29">MID(F24,FIND("′",F24,1)+1,(FIND("″",F24,1)-FIND("′",F24,1))-1)</f>
        <v>#VALUE!</v>
      </c>
      <c r="P24" s="1" t="e">
        <f t="shared" ref="P24:P83" si="30">((((L24/60)+K24)/60)+J24)*IF(C24="S",-1, 1)</f>
        <v>#VALUE!</v>
      </c>
      <c r="Q24" s="1" t="e">
        <f t="shared" ref="Q24:Q83" si="31">((((O24/60)+N24)/60)+M24)*IF(D24="W",-1, 1)</f>
        <v>#VALUE!</v>
      </c>
      <c r="R24" s="13" t="s">
        <v>23</v>
      </c>
    </row>
    <row r="25" spans="1:18" ht="15.75" x14ac:dyDescent="0.25">
      <c r="A25" s="3">
        <v>24</v>
      </c>
      <c r="B25" s="3" t="s">
        <v>20</v>
      </c>
      <c r="C25" s="3" t="s">
        <v>15</v>
      </c>
      <c r="D25" s="3" t="s">
        <v>16</v>
      </c>
      <c r="E25" s="8" t="s">
        <v>74</v>
      </c>
      <c r="F25" s="8" t="s">
        <v>75</v>
      </c>
      <c r="G25" s="8" t="s">
        <v>78</v>
      </c>
      <c r="H25" s="3" t="s">
        <v>12</v>
      </c>
      <c r="I25" s="3" t="s">
        <v>73</v>
      </c>
      <c r="J25" s="3" t="str">
        <f t="shared" si="24"/>
        <v>21</v>
      </c>
      <c r="K25" s="3" t="str">
        <f t="shared" si="25"/>
        <v>34</v>
      </c>
      <c r="L25" s="3" t="e">
        <f t="shared" si="26"/>
        <v>#VALUE!</v>
      </c>
      <c r="M25" s="3" t="str">
        <f t="shared" si="27"/>
        <v>83</v>
      </c>
      <c r="N25" s="3" t="str">
        <f t="shared" si="28"/>
        <v>31</v>
      </c>
      <c r="O25" s="3" t="e">
        <f t="shared" si="29"/>
        <v>#VALUE!</v>
      </c>
      <c r="P25" s="1" t="e">
        <f t="shared" si="30"/>
        <v>#VALUE!</v>
      </c>
      <c r="Q25" s="1" t="e">
        <f t="shared" si="31"/>
        <v>#VALUE!</v>
      </c>
      <c r="R25" s="13" t="s">
        <v>23</v>
      </c>
    </row>
    <row r="26" spans="1:18" ht="15.75" x14ac:dyDescent="0.25">
      <c r="A26" s="3">
        <v>25</v>
      </c>
      <c r="B26" s="3" t="s">
        <v>21</v>
      </c>
      <c r="C26" s="3" t="s">
        <v>15</v>
      </c>
      <c r="D26" s="3" t="s">
        <v>16</v>
      </c>
      <c r="E26" s="8" t="s">
        <v>76</v>
      </c>
      <c r="F26" s="8" t="s">
        <v>77</v>
      </c>
      <c r="G26" s="8" t="s">
        <v>78</v>
      </c>
      <c r="H26" s="3" t="s">
        <v>12</v>
      </c>
      <c r="I26" s="3" t="s">
        <v>73</v>
      </c>
      <c r="J26" s="3" t="str">
        <f t="shared" si="24"/>
        <v>3</v>
      </c>
      <c r="K26" s="3" t="str">
        <f t="shared" si="25"/>
        <v>32,981</v>
      </c>
      <c r="L26" s="3" t="e">
        <f t="shared" si="26"/>
        <v>#VALUE!</v>
      </c>
      <c r="M26" s="3" t="str">
        <f t="shared" si="27"/>
        <v>38</v>
      </c>
      <c r="N26" s="3" t="str">
        <f t="shared" si="28"/>
        <v>48.669</v>
      </c>
      <c r="O26" s="3" t="e">
        <f t="shared" si="29"/>
        <v>#VALUE!</v>
      </c>
      <c r="P26" s="1" t="e">
        <f t="shared" si="30"/>
        <v>#VALUE!</v>
      </c>
      <c r="Q26" s="1" t="e">
        <f t="shared" si="31"/>
        <v>#VALUE!</v>
      </c>
      <c r="R26" s="13" t="s">
        <v>23</v>
      </c>
    </row>
    <row r="27" spans="1:18" ht="15.75" x14ac:dyDescent="0.25">
      <c r="A27" s="3">
        <v>26</v>
      </c>
      <c r="B27" s="3" t="s">
        <v>21</v>
      </c>
      <c r="C27" s="3" t="s">
        <v>15</v>
      </c>
      <c r="D27" s="3" t="s">
        <v>16</v>
      </c>
      <c r="E27" s="8" t="s">
        <v>79</v>
      </c>
      <c r="F27" s="8" t="s">
        <v>80</v>
      </c>
      <c r="G27" s="3" t="s">
        <v>332</v>
      </c>
      <c r="H27" s="3" t="s">
        <v>12</v>
      </c>
      <c r="I27" s="5" t="s">
        <v>81</v>
      </c>
      <c r="J27" s="3" t="str">
        <f t="shared" si="24"/>
        <v>8</v>
      </c>
      <c r="K27" s="3" t="str">
        <f t="shared" si="25"/>
        <v>30</v>
      </c>
      <c r="L27" s="3" t="str">
        <f t="shared" si="26"/>
        <v>07</v>
      </c>
      <c r="M27" s="3" t="str">
        <f t="shared" si="27"/>
        <v>35</v>
      </c>
      <c r="N27" s="3" t="str">
        <f t="shared" si="28"/>
        <v>00</v>
      </c>
      <c r="O27" s="3" t="str">
        <f t="shared" si="29"/>
        <v>08</v>
      </c>
      <c r="P27" s="1">
        <f t="shared" si="30"/>
        <v>-8.5019444444444439</v>
      </c>
      <c r="Q27" s="1">
        <f t="shared" si="31"/>
        <v>-35.002222222222223</v>
      </c>
      <c r="R27" s="13" t="s">
        <v>85</v>
      </c>
    </row>
    <row r="28" spans="1:18" ht="15.75" x14ac:dyDescent="0.25">
      <c r="A28" s="3">
        <v>27</v>
      </c>
      <c r="B28" s="3" t="s">
        <v>56</v>
      </c>
      <c r="C28" s="3" t="s">
        <v>15</v>
      </c>
      <c r="D28" s="3" t="s">
        <v>16</v>
      </c>
      <c r="E28" s="8" t="s">
        <v>79</v>
      </c>
      <c r="F28" s="8" t="s">
        <v>80</v>
      </c>
      <c r="G28" s="3" t="s">
        <v>332</v>
      </c>
      <c r="H28" s="3" t="s">
        <v>12</v>
      </c>
      <c r="I28" s="5" t="s">
        <v>81</v>
      </c>
      <c r="J28" s="3" t="str">
        <f t="shared" si="24"/>
        <v>8</v>
      </c>
      <c r="K28" s="3" t="str">
        <f t="shared" si="25"/>
        <v>30</v>
      </c>
      <c r="L28" s="3" t="str">
        <f t="shared" si="26"/>
        <v>07</v>
      </c>
      <c r="M28" s="3" t="str">
        <f t="shared" si="27"/>
        <v>35</v>
      </c>
      <c r="N28" s="3" t="str">
        <f t="shared" si="28"/>
        <v>00</v>
      </c>
      <c r="O28" s="3" t="str">
        <f t="shared" si="29"/>
        <v>08</v>
      </c>
      <c r="P28" s="1">
        <f t="shared" si="30"/>
        <v>-8.5019444444444439</v>
      </c>
      <c r="Q28" s="1">
        <f t="shared" si="31"/>
        <v>-35.002222222222223</v>
      </c>
      <c r="R28" s="13" t="s">
        <v>85</v>
      </c>
    </row>
    <row r="29" spans="1:18" ht="15.75" x14ac:dyDescent="0.25">
      <c r="A29" s="3">
        <v>28</v>
      </c>
      <c r="B29" s="3" t="s">
        <v>45</v>
      </c>
      <c r="C29" s="3" t="s">
        <v>15</v>
      </c>
      <c r="D29" s="3" t="s">
        <v>16</v>
      </c>
      <c r="E29" s="8" t="s">
        <v>79</v>
      </c>
      <c r="F29" s="8" t="s">
        <v>80</v>
      </c>
      <c r="G29" s="3" t="s">
        <v>332</v>
      </c>
      <c r="H29" s="3" t="s">
        <v>12</v>
      </c>
      <c r="I29" s="5" t="s">
        <v>81</v>
      </c>
      <c r="J29" s="3" t="str">
        <f t="shared" si="24"/>
        <v>8</v>
      </c>
      <c r="K29" s="3" t="str">
        <f t="shared" si="25"/>
        <v>30</v>
      </c>
      <c r="L29" s="3" t="str">
        <f t="shared" si="26"/>
        <v>07</v>
      </c>
      <c r="M29" s="3" t="str">
        <f t="shared" si="27"/>
        <v>35</v>
      </c>
      <c r="N29" s="3" t="str">
        <f t="shared" si="28"/>
        <v>00</v>
      </c>
      <c r="O29" s="3" t="str">
        <f t="shared" si="29"/>
        <v>08</v>
      </c>
      <c r="P29" s="1">
        <f t="shared" si="30"/>
        <v>-8.5019444444444439</v>
      </c>
      <c r="Q29" s="1">
        <f t="shared" si="31"/>
        <v>-35.002222222222223</v>
      </c>
      <c r="R29" s="13" t="s">
        <v>85</v>
      </c>
    </row>
    <row r="30" spans="1:18" ht="15.75" x14ac:dyDescent="0.25">
      <c r="A30" s="3">
        <v>29</v>
      </c>
      <c r="B30" s="3" t="s">
        <v>21</v>
      </c>
      <c r="C30" s="3" t="s">
        <v>15</v>
      </c>
      <c r="D30" s="3" t="s">
        <v>16</v>
      </c>
      <c r="E30" s="8" t="s">
        <v>82</v>
      </c>
      <c r="F30" s="8" t="s">
        <v>83</v>
      </c>
      <c r="G30" s="3" t="s">
        <v>332</v>
      </c>
      <c r="H30" s="3" t="s">
        <v>12</v>
      </c>
      <c r="I30" s="3" t="s">
        <v>84</v>
      </c>
      <c r="J30" s="3" t="str">
        <f t="shared" si="24"/>
        <v>08</v>
      </c>
      <c r="K30" s="3" t="str">
        <f t="shared" si="25"/>
        <v>44</v>
      </c>
      <c r="L30" s="3" t="str">
        <f t="shared" si="26"/>
        <v>23</v>
      </c>
      <c r="M30" s="3" t="str">
        <f t="shared" si="27"/>
        <v>35</v>
      </c>
      <c r="N30" s="3" t="str">
        <f t="shared" si="28"/>
        <v>02</v>
      </c>
      <c r="O30" s="3" t="str">
        <f t="shared" si="29"/>
        <v>28</v>
      </c>
      <c r="P30" s="1">
        <f t="shared" si="30"/>
        <v>-8.7397222222222215</v>
      </c>
      <c r="Q30" s="1">
        <f t="shared" si="31"/>
        <v>-35.041111111111114</v>
      </c>
      <c r="R30" s="13" t="s">
        <v>85</v>
      </c>
    </row>
    <row r="31" spans="1:18" ht="15.75" x14ac:dyDescent="0.25">
      <c r="A31" s="3">
        <v>30</v>
      </c>
      <c r="B31" s="3" t="s">
        <v>21</v>
      </c>
      <c r="C31" s="3" t="s">
        <v>15</v>
      </c>
      <c r="D31" s="3" t="s">
        <v>16</v>
      </c>
      <c r="E31" s="8" t="s">
        <v>87</v>
      </c>
      <c r="F31" s="8" t="s">
        <v>88</v>
      </c>
      <c r="G31" s="8" t="s">
        <v>95</v>
      </c>
      <c r="H31" s="3" t="s">
        <v>12</v>
      </c>
      <c r="I31" s="8" t="s">
        <v>86</v>
      </c>
      <c r="J31" s="3" t="str">
        <f t="shared" si="24"/>
        <v>20</v>
      </c>
      <c r="K31" s="3" t="str">
        <f t="shared" si="25"/>
        <v>39</v>
      </c>
      <c r="L31" s="3" t="e">
        <f t="shared" si="26"/>
        <v>#VALUE!</v>
      </c>
      <c r="M31" s="3" t="str">
        <f t="shared" si="27"/>
        <v>40</v>
      </c>
      <c r="N31" s="3" t="str">
        <f t="shared" si="28"/>
        <v>30</v>
      </c>
      <c r="O31" s="3" t="e">
        <f t="shared" si="29"/>
        <v>#VALUE!</v>
      </c>
      <c r="P31" s="1" t="e">
        <f t="shared" si="30"/>
        <v>#VALUE!</v>
      </c>
      <c r="Q31" s="1" t="e">
        <f t="shared" si="31"/>
        <v>#VALUE!</v>
      </c>
      <c r="R31" s="13" t="s">
        <v>96</v>
      </c>
    </row>
    <row r="32" spans="1:18" ht="15.75" x14ac:dyDescent="0.25">
      <c r="A32" s="3">
        <v>31</v>
      </c>
      <c r="B32" s="3" t="s">
        <v>21</v>
      </c>
      <c r="C32" s="3" t="s">
        <v>15</v>
      </c>
      <c r="D32" s="3" t="s">
        <v>16</v>
      </c>
      <c r="E32" s="8" t="s">
        <v>89</v>
      </c>
      <c r="F32" s="8" t="s">
        <v>90</v>
      </c>
      <c r="G32" s="8" t="s">
        <v>95</v>
      </c>
      <c r="H32" s="3" t="s">
        <v>12</v>
      </c>
      <c r="I32" s="8" t="s">
        <v>93</v>
      </c>
      <c r="J32" s="3" t="str">
        <f t="shared" si="24"/>
        <v>20</v>
      </c>
      <c r="K32" s="3" t="str">
        <f t="shared" si="25"/>
        <v>43</v>
      </c>
      <c r="L32" s="3" t="e">
        <f t="shared" si="26"/>
        <v>#VALUE!</v>
      </c>
      <c r="M32" s="3" t="str">
        <f t="shared" si="27"/>
        <v>40</v>
      </c>
      <c r="N32" s="3" t="str">
        <f t="shared" si="28"/>
        <v>46</v>
      </c>
      <c r="O32" s="3" t="e">
        <f t="shared" si="29"/>
        <v>#VALUE!</v>
      </c>
      <c r="P32" s="1" t="e">
        <f t="shared" si="30"/>
        <v>#VALUE!</v>
      </c>
      <c r="Q32" s="1" t="e">
        <f t="shared" si="31"/>
        <v>#VALUE!</v>
      </c>
      <c r="R32" s="13" t="s">
        <v>96</v>
      </c>
    </row>
    <row r="33" spans="1:18" ht="15.75" x14ac:dyDescent="0.25">
      <c r="A33" s="3">
        <v>32</v>
      </c>
      <c r="B33" s="3" t="s">
        <v>21</v>
      </c>
      <c r="C33" s="3" t="s">
        <v>15</v>
      </c>
      <c r="D33" s="3" t="s">
        <v>16</v>
      </c>
      <c r="E33" s="8" t="s">
        <v>91</v>
      </c>
      <c r="F33" s="8" t="s">
        <v>92</v>
      </c>
      <c r="G33" s="8" t="s">
        <v>95</v>
      </c>
      <c r="H33" s="3" t="s">
        <v>12</v>
      </c>
      <c r="I33" s="8" t="s">
        <v>94</v>
      </c>
      <c r="J33" s="3" t="str">
        <f t="shared" si="24"/>
        <v>21</v>
      </c>
      <c r="K33" s="3" t="str">
        <f t="shared" si="25"/>
        <v>02</v>
      </c>
      <c r="L33" s="3" t="e">
        <f t="shared" si="26"/>
        <v>#VALUE!</v>
      </c>
      <c r="M33" s="3" t="str">
        <f t="shared" si="27"/>
        <v>40</v>
      </c>
      <c r="N33" s="3" t="str">
        <f t="shared" si="28"/>
        <v>49</v>
      </c>
      <c r="O33" s="3" t="e">
        <f t="shared" si="29"/>
        <v>#VALUE!</v>
      </c>
      <c r="P33" s="1" t="e">
        <f t="shared" si="30"/>
        <v>#VALUE!</v>
      </c>
      <c r="Q33" s="1" t="e">
        <f t="shared" si="31"/>
        <v>#VALUE!</v>
      </c>
      <c r="R33" s="13" t="s">
        <v>96</v>
      </c>
    </row>
    <row r="34" spans="1:18" ht="15.75" x14ac:dyDescent="0.25">
      <c r="A34" s="3">
        <v>33</v>
      </c>
      <c r="B34" s="3" t="s">
        <v>56</v>
      </c>
      <c r="C34" s="3" t="s">
        <v>29</v>
      </c>
      <c r="D34" s="3" t="s">
        <v>16</v>
      </c>
      <c r="E34" s="8" t="s">
        <v>98</v>
      </c>
      <c r="F34" s="8" t="s">
        <v>99</v>
      </c>
      <c r="G34" s="8" t="s">
        <v>105</v>
      </c>
      <c r="H34" s="3" t="s">
        <v>12</v>
      </c>
      <c r="I34" s="5" t="s">
        <v>97</v>
      </c>
      <c r="J34" s="3" t="str">
        <f t="shared" si="24"/>
        <v>0</v>
      </c>
      <c r="K34" s="3" t="str">
        <f t="shared" si="25"/>
        <v>55</v>
      </c>
      <c r="L34" s="3" t="str">
        <f t="shared" si="26"/>
        <v>10</v>
      </c>
      <c r="M34" s="3" t="str">
        <f t="shared" si="27"/>
        <v>29</v>
      </c>
      <c r="N34" s="3" t="str">
        <f t="shared" si="28"/>
        <v>20</v>
      </c>
      <c r="O34" s="3" t="str">
        <f t="shared" si="29"/>
        <v>33</v>
      </c>
      <c r="P34" s="1">
        <f t="shared" si="30"/>
        <v>0.9194444444444444</v>
      </c>
      <c r="Q34" s="1">
        <f t="shared" si="31"/>
        <v>-29.342500000000001</v>
      </c>
      <c r="R34" s="13" t="s">
        <v>104</v>
      </c>
    </row>
    <row r="35" spans="1:18" ht="15.75" x14ac:dyDescent="0.25">
      <c r="A35" s="3">
        <v>34</v>
      </c>
      <c r="B35" s="3" t="s">
        <v>56</v>
      </c>
      <c r="C35" s="3" t="s">
        <v>29</v>
      </c>
      <c r="D35" s="3" t="s">
        <v>16</v>
      </c>
      <c r="E35" s="8" t="s">
        <v>100</v>
      </c>
      <c r="F35" s="8" t="s">
        <v>101</v>
      </c>
      <c r="G35" s="8" t="s">
        <v>105</v>
      </c>
      <c r="H35" s="3" t="s">
        <v>12</v>
      </c>
      <c r="I35" s="5" t="s">
        <v>97</v>
      </c>
      <c r="J35" s="3" t="str">
        <f t="shared" si="24"/>
        <v>0</v>
      </c>
      <c r="K35" s="3" t="str">
        <f t="shared" si="25"/>
        <v>54.787</v>
      </c>
      <c r="L35" s="3" t="e">
        <f t="shared" si="26"/>
        <v>#VALUE!</v>
      </c>
      <c r="M35" s="3" t="str">
        <f t="shared" si="27"/>
        <v>29</v>
      </c>
      <c r="N35" s="3" t="str">
        <f t="shared" si="28"/>
        <v>21.451</v>
      </c>
      <c r="O35" s="3" t="e">
        <f t="shared" si="29"/>
        <v>#VALUE!</v>
      </c>
      <c r="P35" s="1" t="e">
        <f t="shared" si="30"/>
        <v>#VALUE!</v>
      </c>
      <c r="Q35" s="1" t="e">
        <f t="shared" si="31"/>
        <v>#VALUE!</v>
      </c>
      <c r="R35" s="13" t="s">
        <v>104</v>
      </c>
    </row>
    <row r="36" spans="1:18" ht="15.75" x14ac:dyDescent="0.25">
      <c r="A36" s="3">
        <v>35</v>
      </c>
      <c r="B36" s="3" t="s">
        <v>56</v>
      </c>
      <c r="C36" s="3" t="s">
        <v>29</v>
      </c>
      <c r="D36" s="3" t="s">
        <v>16</v>
      </c>
      <c r="E36" s="8" t="s">
        <v>102</v>
      </c>
      <c r="F36" s="1" t="s">
        <v>103</v>
      </c>
      <c r="G36" s="8" t="s">
        <v>105</v>
      </c>
      <c r="H36" s="3" t="s">
        <v>12</v>
      </c>
      <c r="I36" s="5" t="s">
        <v>97</v>
      </c>
      <c r="J36" s="3" t="str">
        <f t="shared" si="24"/>
        <v>0</v>
      </c>
      <c r="K36" s="3" t="str">
        <f t="shared" si="25"/>
        <v>55.681</v>
      </c>
      <c r="L36" s="3" t="e">
        <f t="shared" si="26"/>
        <v>#VALUE!</v>
      </c>
      <c r="M36" s="3" t="str">
        <f t="shared" si="27"/>
        <v>29</v>
      </c>
      <c r="N36" s="3" t="str">
        <f t="shared" si="28"/>
        <v>19.804</v>
      </c>
      <c r="O36" s="3" t="e">
        <f t="shared" si="29"/>
        <v>#VALUE!</v>
      </c>
      <c r="P36" s="1" t="e">
        <f t="shared" si="30"/>
        <v>#VALUE!</v>
      </c>
      <c r="Q36" s="1" t="e">
        <f t="shared" si="31"/>
        <v>#VALUE!</v>
      </c>
      <c r="R36" s="13" t="s">
        <v>104</v>
      </c>
    </row>
    <row r="37" spans="1:18" ht="15.75" x14ac:dyDescent="0.25">
      <c r="A37" s="3">
        <v>36</v>
      </c>
      <c r="B37" s="3" t="s">
        <v>20</v>
      </c>
      <c r="C37" s="3" t="s">
        <v>29</v>
      </c>
      <c r="D37" s="3" t="s">
        <v>16</v>
      </c>
      <c r="E37" s="8" t="s">
        <v>98</v>
      </c>
      <c r="F37" s="8" t="s">
        <v>99</v>
      </c>
      <c r="G37" s="8" t="s">
        <v>105</v>
      </c>
      <c r="H37" s="3" t="s">
        <v>12</v>
      </c>
      <c r="I37" s="5" t="s">
        <v>97</v>
      </c>
      <c r="J37" s="3" t="str">
        <f t="shared" si="24"/>
        <v>0</v>
      </c>
      <c r="K37" s="3" t="str">
        <f t="shared" si="25"/>
        <v>55</v>
      </c>
      <c r="L37" s="3" t="str">
        <f t="shared" si="26"/>
        <v>10</v>
      </c>
      <c r="M37" s="3" t="str">
        <f t="shared" si="27"/>
        <v>29</v>
      </c>
      <c r="N37" s="3" t="str">
        <f t="shared" si="28"/>
        <v>20</v>
      </c>
      <c r="O37" s="3" t="str">
        <f t="shared" si="29"/>
        <v>33</v>
      </c>
      <c r="P37" s="1">
        <f t="shared" si="30"/>
        <v>0.9194444444444444</v>
      </c>
      <c r="Q37" s="1">
        <f t="shared" si="31"/>
        <v>-29.342500000000001</v>
      </c>
      <c r="R37" s="13" t="s">
        <v>104</v>
      </c>
    </row>
    <row r="38" spans="1:18" ht="15.75" x14ac:dyDescent="0.25">
      <c r="A38" s="3">
        <v>37</v>
      </c>
      <c r="B38" s="3" t="s">
        <v>20</v>
      </c>
      <c r="C38" s="3" t="s">
        <v>29</v>
      </c>
      <c r="D38" s="3" t="s">
        <v>16</v>
      </c>
      <c r="E38" s="8" t="s">
        <v>100</v>
      </c>
      <c r="F38" s="8" t="s">
        <v>101</v>
      </c>
      <c r="G38" s="8" t="s">
        <v>105</v>
      </c>
      <c r="H38" s="3" t="s">
        <v>12</v>
      </c>
      <c r="I38" s="5" t="s">
        <v>97</v>
      </c>
      <c r="J38" s="3" t="str">
        <f t="shared" si="24"/>
        <v>0</v>
      </c>
      <c r="K38" s="3" t="str">
        <f t="shared" si="25"/>
        <v>54.787</v>
      </c>
      <c r="L38" s="3" t="e">
        <f t="shared" si="26"/>
        <v>#VALUE!</v>
      </c>
      <c r="M38" s="3" t="str">
        <f t="shared" si="27"/>
        <v>29</v>
      </c>
      <c r="N38" s="3" t="str">
        <f t="shared" si="28"/>
        <v>21.451</v>
      </c>
      <c r="O38" s="3" t="e">
        <f t="shared" si="29"/>
        <v>#VALUE!</v>
      </c>
      <c r="P38" s="1" t="e">
        <f t="shared" si="30"/>
        <v>#VALUE!</v>
      </c>
      <c r="Q38" s="1" t="e">
        <f t="shared" si="31"/>
        <v>#VALUE!</v>
      </c>
      <c r="R38" s="13" t="s">
        <v>104</v>
      </c>
    </row>
    <row r="39" spans="1:18" ht="15.75" x14ac:dyDescent="0.25">
      <c r="A39" s="3">
        <v>38</v>
      </c>
      <c r="B39" s="3" t="s">
        <v>20</v>
      </c>
      <c r="C39" s="3" t="s">
        <v>29</v>
      </c>
      <c r="D39" s="3" t="s">
        <v>16</v>
      </c>
      <c r="E39" s="8" t="s">
        <v>102</v>
      </c>
      <c r="F39" s="1" t="s">
        <v>103</v>
      </c>
      <c r="G39" s="8" t="s">
        <v>105</v>
      </c>
      <c r="H39" s="3" t="s">
        <v>12</v>
      </c>
      <c r="I39" s="5" t="s">
        <v>97</v>
      </c>
      <c r="J39" s="3" t="str">
        <f t="shared" si="24"/>
        <v>0</v>
      </c>
      <c r="K39" s="3" t="str">
        <f t="shared" si="25"/>
        <v>55.681</v>
      </c>
      <c r="L39" s="3" t="e">
        <f t="shared" si="26"/>
        <v>#VALUE!</v>
      </c>
      <c r="M39" s="3" t="str">
        <f t="shared" si="27"/>
        <v>29</v>
      </c>
      <c r="N39" s="3" t="str">
        <f t="shared" si="28"/>
        <v>19.804</v>
      </c>
      <c r="O39" s="3" t="e">
        <f t="shared" si="29"/>
        <v>#VALUE!</v>
      </c>
      <c r="P39" s="1" t="e">
        <f t="shared" si="30"/>
        <v>#VALUE!</v>
      </c>
      <c r="Q39" s="1" t="e">
        <f t="shared" si="31"/>
        <v>#VALUE!</v>
      </c>
      <c r="R39" s="13" t="s">
        <v>104</v>
      </c>
    </row>
    <row r="40" spans="1:18" ht="15.75" x14ac:dyDescent="0.25">
      <c r="A40" s="3">
        <v>39</v>
      </c>
      <c r="B40" s="3" t="s">
        <v>56</v>
      </c>
      <c r="C40" s="3" t="s">
        <v>15</v>
      </c>
      <c r="D40" s="3" t="s">
        <v>16</v>
      </c>
      <c r="E40" s="8" t="s">
        <v>106</v>
      </c>
      <c r="F40" s="1" t="s">
        <v>107</v>
      </c>
      <c r="G40" s="8" t="s">
        <v>114</v>
      </c>
      <c r="H40" s="3" t="s">
        <v>12</v>
      </c>
      <c r="I40" s="3" t="s">
        <v>108</v>
      </c>
      <c r="J40" s="3" t="str">
        <f t="shared" si="24"/>
        <v>8</v>
      </c>
      <c r="K40" s="3" t="str">
        <f t="shared" si="25"/>
        <v>59</v>
      </c>
      <c r="L40" s="3" t="str">
        <f t="shared" si="26"/>
        <v>57</v>
      </c>
      <c r="M40" s="3" t="str">
        <f t="shared" si="27"/>
        <v>35</v>
      </c>
      <c r="N40" s="3" t="str">
        <f t="shared" si="28"/>
        <v>10</v>
      </c>
      <c r="O40" s="3" t="str">
        <f t="shared" si="29"/>
        <v>49</v>
      </c>
      <c r="P40" s="1">
        <f t="shared" si="30"/>
        <v>-8.9991666666666674</v>
      </c>
      <c r="Q40" s="1">
        <f t="shared" si="31"/>
        <v>-35.180277777777775</v>
      </c>
      <c r="R40" s="13" t="s">
        <v>112</v>
      </c>
    </row>
    <row r="41" spans="1:18" ht="15.75" x14ac:dyDescent="0.25">
      <c r="A41" s="3">
        <v>40</v>
      </c>
      <c r="B41" s="3" t="s">
        <v>45</v>
      </c>
      <c r="C41" s="3" t="s">
        <v>15</v>
      </c>
      <c r="D41" s="3" t="s">
        <v>16</v>
      </c>
      <c r="E41" s="8" t="s">
        <v>110</v>
      </c>
      <c r="F41" s="1" t="s">
        <v>111</v>
      </c>
      <c r="G41" s="8" t="s">
        <v>115</v>
      </c>
      <c r="H41" s="3" t="s">
        <v>12</v>
      </c>
      <c r="I41" s="3" t="s">
        <v>109</v>
      </c>
      <c r="J41" s="3" t="str">
        <f t="shared" si="24"/>
        <v>1</v>
      </c>
      <c r="K41" s="3" t="str">
        <f t="shared" si="25"/>
        <v>03</v>
      </c>
      <c r="L41" s="3" t="str">
        <f t="shared" si="26"/>
        <v>57</v>
      </c>
      <c r="M41" s="3" t="str">
        <f t="shared" si="27"/>
        <v>46</v>
      </c>
      <c r="N41" s="3" t="str">
        <f t="shared" si="28"/>
        <v>47</v>
      </c>
      <c r="O41" s="3" t="str">
        <f t="shared" si="29"/>
        <v>22</v>
      </c>
      <c r="P41" s="1">
        <f t="shared" si="30"/>
        <v>-1.0658333333333334</v>
      </c>
      <c r="Q41" s="1">
        <f t="shared" si="31"/>
        <v>-46.789444444444442</v>
      </c>
      <c r="R41" s="13" t="s">
        <v>113</v>
      </c>
    </row>
    <row r="42" spans="1:18" ht="15.75" x14ac:dyDescent="0.25">
      <c r="A42" s="3">
        <v>41</v>
      </c>
      <c r="B42" s="3" t="s">
        <v>21</v>
      </c>
      <c r="C42" s="3" t="s">
        <v>15</v>
      </c>
      <c r="D42" s="3" t="s">
        <v>16</v>
      </c>
      <c r="E42" s="8" t="s">
        <v>110</v>
      </c>
      <c r="F42" s="1" t="s">
        <v>111</v>
      </c>
      <c r="G42" s="8" t="s">
        <v>115</v>
      </c>
      <c r="H42" s="3" t="s">
        <v>12</v>
      </c>
      <c r="I42" s="3" t="s">
        <v>109</v>
      </c>
      <c r="J42" s="3" t="str">
        <f t="shared" si="24"/>
        <v>1</v>
      </c>
      <c r="K42" s="3" t="str">
        <f t="shared" si="25"/>
        <v>03</v>
      </c>
      <c r="L42" s="3" t="str">
        <f t="shared" si="26"/>
        <v>57</v>
      </c>
      <c r="M42" s="3" t="str">
        <f t="shared" si="27"/>
        <v>46</v>
      </c>
      <c r="N42" s="3" t="str">
        <f t="shared" si="28"/>
        <v>47</v>
      </c>
      <c r="O42" s="3" t="str">
        <f t="shared" si="29"/>
        <v>22</v>
      </c>
      <c r="P42" s="1">
        <f t="shared" si="30"/>
        <v>-1.0658333333333334</v>
      </c>
      <c r="Q42" s="1">
        <f t="shared" si="31"/>
        <v>-46.789444444444442</v>
      </c>
      <c r="R42" s="13" t="s">
        <v>113</v>
      </c>
    </row>
    <row r="43" spans="1:18" ht="15.75" x14ac:dyDescent="0.25">
      <c r="A43" s="3">
        <v>42</v>
      </c>
      <c r="B43" s="3" t="s">
        <v>21</v>
      </c>
      <c r="C43" s="3" t="s">
        <v>15</v>
      </c>
      <c r="D43" s="3" t="s">
        <v>16</v>
      </c>
      <c r="E43" s="8" t="s">
        <v>117</v>
      </c>
      <c r="F43" s="1" t="s">
        <v>118</v>
      </c>
      <c r="G43" s="8" t="s">
        <v>120</v>
      </c>
      <c r="H43" s="3" t="s">
        <v>12</v>
      </c>
      <c r="I43" s="5" t="s">
        <v>116</v>
      </c>
      <c r="J43" s="3" t="str">
        <f t="shared" si="24"/>
        <v>08</v>
      </c>
      <c r="K43" s="3" t="str">
        <f t="shared" si="25"/>
        <v>10</v>
      </c>
      <c r="L43" s="3" t="e">
        <f t="shared" si="26"/>
        <v>#VALUE!</v>
      </c>
      <c r="M43" s="3" t="str">
        <f t="shared" si="27"/>
        <v>34</v>
      </c>
      <c r="N43" s="3" t="str">
        <f t="shared" si="28"/>
        <v>49</v>
      </c>
      <c r="O43" s="3" t="e">
        <f t="shared" si="29"/>
        <v>#VALUE!</v>
      </c>
      <c r="P43" s="1" t="e">
        <f t="shared" si="30"/>
        <v>#VALUE!</v>
      </c>
      <c r="Q43" s="1" t="e">
        <f t="shared" si="31"/>
        <v>#VALUE!</v>
      </c>
      <c r="R43" s="13" t="s">
        <v>119</v>
      </c>
    </row>
    <row r="44" spans="1:18" ht="15.75" x14ac:dyDescent="0.25">
      <c r="A44" s="3">
        <v>43</v>
      </c>
      <c r="B44" s="3" t="s">
        <v>45</v>
      </c>
      <c r="C44" s="3" t="s">
        <v>15</v>
      </c>
      <c r="D44" s="3" t="s">
        <v>16</v>
      </c>
      <c r="E44" s="8" t="s">
        <v>117</v>
      </c>
      <c r="F44" s="1" t="s">
        <v>118</v>
      </c>
      <c r="G44" s="8" t="s">
        <v>120</v>
      </c>
      <c r="H44" s="3" t="s">
        <v>12</v>
      </c>
      <c r="I44" s="5" t="s">
        <v>116</v>
      </c>
      <c r="J44" s="3" t="str">
        <f t="shared" si="24"/>
        <v>08</v>
      </c>
      <c r="K44" s="3" t="str">
        <f t="shared" si="25"/>
        <v>10</v>
      </c>
      <c r="L44" s="3" t="e">
        <f t="shared" si="26"/>
        <v>#VALUE!</v>
      </c>
      <c r="M44" s="3" t="str">
        <f t="shared" si="27"/>
        <v>34</v>
      </c>
      <c r="N44" s="3" t="str">
        <f t="shared" si="28"/>
        <v>49</v>
      </c>
      <c r="O44" s="3" t="e">
        <f t="shared" si="29"/>
        <v>#VALUE!</v>
      </c>
      <c r="P44" s="1" t="e">
        <f t="shared" si="30"/>
        <v>#VALUE!</v>
      </c>
      <c r="Q44" s="1" t="e">
        <f t="shared" si="31"/>
        <v>#VALUE!</v>
      </c>
      <c r="R44" s="13" t="s">
        <v>119</v>
      </c>
    </row>
    <row r="45" spans="1:18" ht="15.75" x14ac:dyDescent="0.25">
      <c r="A45" s="3">
        <v>44</v>
      </c>
      <c r="B45" s="3" t="s">
        <v>56</v>
      </c>
      <c r="C45" s="3" t="s">
        <v>15</v>
      </c>
      <c r="D45" s="3" t="s">
        <v>16</v>
      </c>
      <c r="E45" s="8" t="s">
        <v>121</v>
      </c>
      <c r="F45" s="1" t="s">
        <v>122</v>
      </c>
      <c r="G45" s="3" t="s">
        <v>330</v>
      </c>
      <c r="H45" s="3" t="s">
        <v>12</v>
      </c>
      <c r="I45" s="5" t="s">
        <v>81</v>
      </c>
      <c r="J45" s="3" t="str">
        <f t="shared" si="24"/>
        <v>8</v>
      </c>
      <c r="K45" s="3" t="str">
        <f t="shared" si="25"/>
        <v>30</v>
      </c>
      <c r="L45" s="3" t="str">
        <f t="shared" si="26"/>
        <v>54</v>
      </c>
      <c r="M45" s="3" t="str">
        <f t="shared" si="27"/>
        <v>34</v>
      </c>
      <c r="N45" s="3" t="str">
        <f t="shared" si="28"/>
        <v>59</v>
      </c>
      <c r="O45" s="3" t="str">
        <f t="shared" si="29"/>
        <v>47</v>
      </c>
      <c r="P45" s="1">
        <f t="shared" si="30"/>
        <v>-8.5150000000000006</v>
      </c>
      <c r="Q45" s="1">
        <f t="shared" si="31"/>
        <v>-34.996388888888887</v>
      </c>
      <c r="R45" s="13" t="s">
        <v>123</v>
      </c>
    </row>
    <row r="46" spans="1:18" ht="15.75" x14ac:dyDescent="0.25">
      <c r="A46" s="3">
        <v>45</v>
      </c>
      <c r="B46" s="3" t="s">
        <v>21</v>
      </c>
      <c r="C46" s="3" t="s">
        <v>15</v>
      </c>
      <c r="D46" s="3" t="s">
        <v>16</v>
      </c>
      <c r="E46" s="8" t="s">
        <v>121</v>
      </c>
      <c r="F46" s="1" t="s">
        <v>122</v>
      </c>
      <c r="G46" s="3" t="s">
        <v>330</v>
      </c>
      <c r="H46" s="3" t="s">
        <v>12</v>
      </c>
      <c r="I46" s="5" t="s">
        <v>81</v>
      </c>
      <c r="J46" s="3" t="str">
        <f t="shared" si="24"/>
        <v>8</v>
      </c>
      <c r="K46" s="3" t="str">
        <f t="shared" si="25"/>
        <v>30</v>
      </c>
      <c r="L46" s="3" t="str">
        <f t="shared" si="26"/>
        <v>54</v>
      </c>
      <c r="M46" s="3" t="str">
        <f t="shared" si="27"/>
        <v>34</v>
      </c>
      <c r="N46" s="3" t="str">
        <f t="shared" si="28"/>
        <v>59</v>
      </c>
      <c r="O46" s="3" t="str">
        <f t="shared" si="29"/>
        <v>47</v>
      </c>
      <c r="P46" s="1">
        <f t="shared" si="30"/>
        <v>-8.5150000000000006</v>
      </c>
      <c r="Q46" s="1">
        <f t="shared" si="31"/>
        <v>-34.996388888888887</v>
      </c>
      <c r="R46" s="13" t="s">
        <v>123</v>
      </c>
    </row>
    <row r="47" spans="1:18" ht="15.75" x14ac:dyDescent="0.25">
      <c r="A47" s="3">
        <v>46</v>
      </c>
      <c r="B47" s="3" t="s">
        <v>20</v>
      </c>
      <c r="C47" s="3" t="s">
        <v>15</v>
      </c>
      <c r="D47" s="3" t="s">
        <v>16</v>
      </c>
      <c r="E47" s="8" t="s">
        <v>121</v>
      </c>
      <c r="F47" s="1" t="s">
        <v>122</v>
      </c>
      <c r="G47" s="3" t="s">
        <v>330</v>
      </c>
      <c r="H47" s="3" t="s">
        <v>12</v>
      </c>
      <c r="I47" s="5" t="s">
        <v>81</v>
      </c>
      <c r="J47" s="3" t="str">
        <f t="shared" si="24"/>
        <v>8</v>
      </c>
      <c r="K47" s="3" t="str">
        <f t="shared" si="25"/>
        <v>30</v>
      </c>
      <c r="L47" s="3" t="str">
        <f t="shared" si="26"/>
        <v>54</v>
      </c>
      <c r="M47" s="3" t="str">
        <f t="shared" si="27"/>
        <v>34</v>
      </c>
      <c r="N47" s="3" t="str">
        <f t="shared" si="28"/>
        <v>59</v>
      </c>
      <c r="O47" s="3" t="str">
        <f t="shared" si="29"/>
        <v>47</v>
      </c>
      <c r="P47" s="1">
        <f t="shared" si="30"/>
        <v>-8.5150000000000006</v>
      </c>
      <c r="Q47" s="1">
        <f t="shared" si="31"/>
        <v>-34.996388888888887</v>
      </c>
      <c r="R47" s="13" t="s">
        <v>123</v>
      </c>
    </row>
    <row r="48" spans="1:18" ht="15.75" x14ac:dyDescent="0.25">
      <c r="A48" s="3">
        <v>47</v>
      </c>
      <c r="B48" s="3" t="s">
        <v>56</v>
      </c>
      <c r="C48" s="3" t="s">
        <v>15</v>
      </c>
      <c r="D48" s="3" t="s">
        <v>16</v>
      </c>
      <c r="E48" s="8" t="s">
        <v>124</v>
      </c>
      <c r="F48" s="8" t="s">
        <v>125</v>
      </c>
      <c r="G48" s="8" t="s">
        <v>145</v>
      </c>
      <c r="H48" s="3" t="s">
        <v>12</v>
      </c>
      <c r="I48" s="3" t="s">
        <v>126</v>
      </c>
      <c r="J48" s="3" t="str">
        <f t="shared" si="24"/>
        <v>18</v>
      </c>
      <c r="K48" s="3" t="str">
        <f t="shared" si="25"/>
        <v>01</v>
      </c>
      <c r="L48" s="3" t="str">
        <f t="shared" si="26"/>
        <v>15</v>
      </c>
      <c r="M48" s="3" t="str">
        <f t="shared" si="27"/>
        <v>38</v>
      </c>
      <c r="N48" s="3" t="str">
        <f t="shared" si="28"/>
        <v>43</v>
      </c>
      <c r="O48" s="3" t="str">
        <f t="shared" si="29"/>
        <v>16</v>
      </c>
      <c r="P48" s="1">
        <f t="shared" si="30"/>
        <v>-18.020833333333332</v>
      </c>
      <c r="Q48" s="1">
        <f t="shared" si="31"/>
        <v>-38.721111111111114</v>
      </c>
      <c r="R48" s="13" t="s">
        <v>146</v>
      </c>
    </row>
    <row r="49" spans="1:18" ht="15.75" x14ac:dyDescent="0.25">
      <c r="A49" s="3">
        <v>48</v>
      </c>
      <c r="B49" s="3" t="s">
        <v>21</v>
      </c>
      <c r="C49" s="3" t="s">
        <v>15</v>
      </c>
      <c r="D49" s="3" t="s">
        <v>16</v>
      </c>
      <c r="E49" s="8" t="s">
        <v>124</v>
      </c>
      <c r="F49" s="8" t="s">
        <v>125</v>
      </c>
      <c r="G49" s="8" t="s">
        <v>145</v>
      </c>
      <c r="H49" s="3" t="s">
        <v>12</v>
      </c>
      <c r="I49" s="3" t="s">
        <v>126</v>
      </c>
      <c r="J49" s="3" t="str">
        <f t="shared" si="24"/>
        <v>18</v>
      </c>
      <c r="K49" s="3" t="str">
        <f t="shared" si="25"/>
        <v>01</v>
      </c>
      <c r="L49" s="3" t="str">
        <f t="shared" si="26"/>
        <v>15</v>
      </c>
      <c r="M49" s="3" t="str">
        <f t="shared" si="27"/>
        <v>38</v>
      </c>
      <c r="N49" s="3" t="str">
        <f t="shared" si="28"/>
        <v>43</v>
      </c>
      <c r="O49" s="3" t="str">
        <f t="shared" si="29"/>
        <v>16</v>
      </c>
      <c r="P49" s="1">
        <f t="shared" si="30"/>
        <v>-18.020833333333332</v>
      </c>
      <c r="Q49" s="1">
        <f t="shared" si="31"/>
        <v>-38.721111111111114</v>
      </c>
      <c r="R49" s="13" t="s">
        <v>146</v>
      </c>
    </row>
    <row r="50" spans="1:18" ht="15.75" x14ac:dyDescent="0.25">
      <c r="A50" s="3">
        <v>49</v>
      </c>
      <c r="B50" s="3" t="s">
        <v>20</v>
      </c>
      <c r="C50" s="3" t="s">
        <v>15</v>
      </c>
      <c r="D50" s="3" t="s">
        <v>16</v>
      </c>
      <c r="E50" s="8" t="s">
        <v>124</v>
      </c>
      <c r="F50" s="8" t="s">
        <v>125</v>
      </c>
      <c r="G50" s="8" t="s">
        <v>145</v>
      </c>
      <c r="H50" s="3" t="s">
        <v>12</v>
      </c>
      <c r="I50" s="3" t="s">
        <v>126</v>
      </c>
      <c r="J50" s="3" t="str">
        <f t="shared" si="24"/>
        <v>18</v>
      </c>
      <c r="K50" s="3" t="str">
        <f t="shared" si="25"/>
        <v>01</v>
      </c>
      <c r="L50" s="3" t="str">
        <f t="shared" si="26"/>
        <v>15</v>
      </c>
      <c r="M50" s="3" t="str">
        <f t="shared" si="27"/>
        <v>38</v>
      </c>
      <c r="N50" s="3" t="str">
        <f t="shared" si="28"/>
        <v>43</v>
      </c>
      <c r="O50" s="3" t="str">
        <f t="shared" si="29"/>
        <v>16</v>
      </c>
      <c r="P50" s="1">
        <f t="shared" si="30"/>
        <v>-18.020833333333332</v>
      </c>
      <c r="Q50" s="1">
        <f t="shared" si="31"/>
        <v>-38.721111111111114</v>
      </c>
      <c r="R50" s="13" t="s">
        <v>146</v>
      </c>
    </row>
    <row r="51" spans="1:18" ht="15.75" x14ac:dyDescent="0.25">
      <c r="A51" s="3">
        <v>50</v>
      </c>
      <c r="B51" s="3" t="s">
        <v>20</v>
      </c>
      <c r="C51" s="3" t="s">
        <v>15</v>
      </c>
      <c r="D51" s="3" t="s">
        <v>16</v>
      </c>
      <c r="E51" s="8" t="s">
        <v>129</v>
      </c>
      <c r="F51" s="8" t="s">
        <v>130</v>
      </c>
      <c r="G51" s="8" t="s">
        <v>145</v>
      </c>
      <c r="H51" s="3" t="s">
        <v>12</v>
      </c>
      <c r="I51" s="3" t="s">
        <v>127</v>
      </c>
      <c r="J51" s="3" t="str">
        <f t="shared" si="24"/>
        <v>01</v>
      </c>
      <c r="K51" s="3" t="str">
        <f t="shared" si="25"/>
        <v>27</v>
      </c>
      <c r="L51" s="3" t="e">
        <f t="shared" si="26"/>
        <v>#VALUE!</v>
      </c>
      <c r="M51" s="3" t="str">
        <f t="shared" si="27"/>
        <v>48</v>
      </c>
      <c r="N51" s="3" t="str">
        <f t="shared" si="28"/>
        <v>30</v>
      </c>
      <c r="O51" s="3" t="e">
        <f t="shared" si="29"/>
        <v>#VALUE!</v>
      </c>
      <c r="P51" s="1" t="e">
        <f t="shared" si="30"/>
        <v>#VALUE!</v>
      </c>
      <c r="Q51" s="1" t="e">
        <f t="shared" si="31"/>
        <v>#VALUE!</v>
      </c>
      <c r="R51" s="13" t="s">
        <v>146</v>
      </c>
    </row>
    <row r="52" spans="1:18" ht="15.75" x14ac:dyDescent="0.25">
      <c r="A52" s="3">
        <v>51</v>
      </c>
      <c r="B52" s="3" t="s">
        <v>20</v>
      </c>
      <c r="C52" s="3" t="s">
        <v>15</v>
      </c>
      <c r="D52" s="3" t="s">
        <v>16</v>
      </c>
      <c r="E52" s="8" t="s">
        <v>131</v>
      </c>
      <c r="F52" s="8" t="s">
        <v>132</v>
      </c>
      <c r="G52" s="8" t="s">
        <v>145</v>
      </c>
      <c r="H52" s="3" t="s">
        <v>12</v>
      </c>
      <c r="I52" s="3" t="s">
        <v>128</v>
      </c>
      <c r="J52" s="3" t="str">
        <f t="shared" si="24"/>
        <v>23</v>
      </c>
      <c r="K52" s="3" t="str">
        <f t="shared" si="25"/>
        <v>32</v>
      </c>
      <c r="L52" s="3" t="e">
        <f t="shared" si="26"/>
        <v>#VALUE!</v>
      </c>
      <c r="M52" s="3" t="str">
        <f t="shared" si="27"/>
        <v>46</v>
      </c>
      <c r="N52" s="3" t="str">
        <f t="shared" si="28"/>
        <v>38</v>
      </c>
      <c r="O52" s="3" t="e">
        <f t="shared" si="29"/>
        <v>#VALUE!</v>
      </c>
      <c r="P52" s="1" t="e">
        <f t="shared" si="30"/>
        <v>#VALUE!</v>
      </c>
      <c r="Q52" s="1" t="e">
        <f t="shared" si="31"/>
        <v>#VALUE!</v>
      </c>
      <c r="R52" s="13" t="s">
        <v>146</v>
      </c>
    </row>
    <row r="53" spans="1:18" ht="15.75" x14ac:dyDescent="0.25">
      <c r="A53" s="3">
        <v>52</v>
      </c>
      <c r="B53" s="3" t="s">
        <v>21</v>
      </c>
      <c r="C53" s="3" t="s">
        <v>15</v>
      </c>
      <c r="D53" s="3" t="s">
        <v>16</v>
      </c>
      <c r="E53" s="8" t="s">
        <v>133</v>
      </c>
      <c r="F53" s="8" t="s">
        <v>134</v>
      </c>
      <c r="G53" s="8" t="s">
        <v>145</v>
      </c>
      <c r="H53" s="3" t="s">
        <v>12</v>
      </c>
      <c r="I53" s="24" t="s">
        <v>138</v>
      </c>
      <c r="J53" s="3" t="str">
        <f t="shared" si="24"/>
        <v>03</v>
      </c>
      <c r="K53" s="3" t="str">
        <f t="shared" si="25"/>
        <v>50</v>
      </c>
      <c r="L53" s="3" t="e">
        <f t="shared" si="26"/>
        <v>#VALUE!</v>
      </c>
      <c r="M53" s="3" t="str">
        <f t="shared" si="27"/>
        <v>38</v>
      </c>
      <c r="N53" s="3" t="str">
        <f t="shared" si="28"/>
        <v>20</v>
      </c>
      <c r="O53" s="3" t="e">
        <f t="shared" si="29"/>
        <v>#VALUE!</v>
      </c>
      <c r="P53" s="1" t="e">
        <f t="shared" si="30"/>
        <v>#VALUE!</v>
      </c>
      <c r="Q53" s="1" t="e">
        <f t="shared" si="31"/>
        <v>#VALUE!</v>
      </c>
      <c r="R53" s="13" t="s">
        <v>146</v>
      </c>
    </row>
    <row r="54" spans="1:18" ht="15.75" x14ac:dyDescent="0.25">
      <c r="A54" s="3">
        <v>53</v>
      </c>
      <c r="B54" s="3" t="s">
        <v>21</v>
      </c>
      <c r="C54" s="3" t="s">
        <v>15</v>
      </c>
      <c r="D54" s="3" t="s">
        <v>16</v>
      </c>
      <c r="E54" s="8" t="s">
        <v>135</v>
      </c>
      <c r="F54" s="8" t="s">
        <v>136</v>
      </c>
      <c r="G54" s="8" t="s">
        <v>145</v>
      </c>
      <c r="H54" s="3" t="s">
        <v>12</v>
      </c>
      <c r="I54" s="24" t="s">
        <v>137</v>
      </c>
      <c r="J54" s="3" t="str">
        <f t="shared" si="24"/>
        <v>23</v>
      </c>
      <c r="K54" s="3" t="str">
        <f t="shared" si="25"/>
        <v>17</v>
      </c>
      <c r="L54" s="3" t="e">
        <f t="shared" si="26"/>
        <v>#VALUE!</v>
      </c>
      <c r="M54" s="3" t="str">
        <f t="shared" si="27"/>
        <v>44</v>
      </c>
      <c r="N54" s="3" t="str">
        <f t="shared" si="28"/>
        <v>10</v>
      </c>
      <c r="O54" s="3" t="e">
        <f t="shared" si="29"/>
        <v>#VALUE!</v>
      </c>
      <c r="P54" s="1" t="e">
        <f t="shared" si="30"/>
        <v>#VALUE!</v>
      </c>
      <c r="Q54" s="1" t="e">
        <f t="shared" si="31"/>
        <v>#VALUE!</v>
      </c>
      <c r="R54" s="13" t="s">
        <v>146</v>
      </c>
    </row>
    <row r="55" spans="1:18" ht="15.75" x14ac:dyDescent="0.25">
      <c r="A55" s="3">
        <v>54</v>
      </c>
      <c r="B55" s="3" t="s">
        <v>56</v>
      </c>
      <c r="C55" s="3" t="s">
        <v>15</v>
      </c>
      <c r="D55" s="3" t="s">
        <v>16</v>
      </c>
      <c r="E55" s="8" t="s">
        <v>139</v>
      </c>
      <c r="F55" s="8" t="s">
        <v>140</v>
      </c>
      <c r="G55" s="8" t="s">
        <v>145</v>
      </c>
      <c r="H55" s="3" t="s">
        <v>12</v>
      </c>
      <c r="I55" s="8" t="s">
        <v>141</v>
      </c>
      <c r="J55" s="3" t="str">
        <f t="shared" si="24"/>
        <v>4</v>
      </c>
      <c r="K55" s="3" t="str">
        <f t="shared" si="25"/>
        <v>25</v>
      </c>
      <c r="L55" s="3" t="e">
        <f t="shared" si="26"/>
        <v>#VALUE!</v>
      </c>
      <c r="M55" s="3" t="str">
        <f t="shared" si="27"/>
        <v>37</v>
      </c>
      <c r="N55" s="3" t="str">
        <f t="shared" si="28"/>
        <v>16</v>
      </c>
      <c r="O55" s="3" t="e">
        <f t="shared" si="29"/>
        <v>#VALUE!</v>
      </c>
      <c r="P55" s="1" t="e">
        <f t="shared" si="30"/>
        <v>#VALUE!</v>
      </c>
      <c r="Q55" s="1" t="e">
        <f t="shared" si="31"/>
        <v>#VALUE!</v>
      </c>
      <c r="R55" s="13" t="s">
        <v>146</v>
      </c>
    </row>
    <row r="56" spans="1:18" ht="15.75" x14ac:dyDescent="0.25">
      <c r="A56" s="3">
        <v>55</v>
      </c>
      <c r="B56" s="3" t="s">
        <v>56</v>
      </c>
      <c r="C56" s="3" t="s">
        <v>15</v>
      </c>
      <c r="D56" s="3" t="s">
        <v>16</v>
      </c>
      <c r="E56" s="8" t="s">
        <v>147</v>
      </c>
      <c r="F56" s="8" t="s">
        <v>148</v>
      </c>
      <c r="G56" s="8" t="s">
        <v>145</v>
      </c>
      <c r="H56" s="3" t="s">
        <v>12</v>
      </c>
      <c r="I56" s="3" t="s">
        <v>142</v>
      </c>
      <c r="J56" s="3" t="str">
        <f t="shared" si="24"/>
        <v>17</v>
      </c>
      <c r="K56" s="3" t="str">
        <f t="shared" si="25"/>
        <v>57</v>
      </c>
      <c r="L56" s="3" t="str">
        <f t="shared" si="26"/>
        <v>29</v>
      </c>
      <c r="M56" s="3" t="str">
        <f t="shared" si="27"/>
        <v>38</v>
      </c>
      <c r="N56" s="3" t="str">
        <f t="shared" si="28"/>
        <v>42</v>
      </c>
      <c r="O56" s="3" t="str">
        <f t="shared" si="29"/>
        <v>09</v>
      </c>
      <c r="P56" s="1">
        <f t="shared" si="30"/>
        <v>-17.958055555555557</v>
      </c>
      <c r="Q56" s="1">
        <f t="shared" si="31"/>
        <v>-38.702500000000001</v>
      </c>
      <c r="R56" s="13" t="s">
        <v>146</v>
      </c>
    </row>
    <row r="57" spans="1:18" ht="15.75" x14ac:dyDescent="0.25">
      <c r="A57" s="3">
        <v>56</v>
      </c>
      <c r="B57" s="3" t="s">
        <v>56</v>
      </c>
      <c r="C57" s="3" t="s">
        <v>15</v>
      </c>
      <c r="D57" s="3" t="s">
        <v>16</v>
      </c>
      <c r="E57" s="8" t="s">
        <v>149</v>
      </c>
      <c r="F57" s="8" t="s">
        <v>150</v>
      </c>
      <c r="G57" s="8" t="s">
        <v>145</v>
      </c>
      <c r="H57" s="3" t="s">
        <v>12</v>
      </c>
      <c r="I57" s="3" t="s">
        <v>143</v>
      </c>
      <c r="J57" s="3" t="str">
        <f t="shared" si="24"/>
        <v>17</v>
      </c>
      <c r="K57" s="3" t="str">
        <f t="shared" si="25"/>
        <v>57</v>
      </c>
      <c r="L57" s="3" t="str">
        <f t="shared" si="26"/>
        <v>38</v>
      </c>
      <c r="M57" s="3" t="str">
        <f t="shared" si="27"/>
        <v>38</v>
      </c>
      <c r="N57" s="3" t="str">
        <f t="shared" si="28"/>
        <v>42</v>
      </c>
      <c r="O57" s="3" t="str">
        <f t="shared" si="29"/>
        <v>55</v>
      </c>
      <c r="P57" s="1">
        <f t="shared" si="30"/>
        <v>-17.960555555555555</v>
      </c>
      <c r="Q57" s="1">
        <f t="shared" si="31"/>
        <v>-38.715277777777779</v>
      </c>
      <c r="R57" s="13" t="s">
        <v>146</v>
      </c>
    </row>
    <row r="58" spans="1:18" ht="15.75" x14ac:dyDescent="0.25">
      <c r="A58" s="3">
        <v>57</v>
      </c>
      <c r="B58" s="3" t="s">
        <v>56</v>
      </c>
      <c r="C58" s="3" t="s">
        <v>15</v>
      </c>
      <c r="D58" s="3" t="s">
        <v>16</v>
      </c>
      <c r="E58" s="8" t="s">
        <v>151</v>
      </c>
      <c r="F58" s="8" t="s">
        <v>152</v>
      </c>
      <c r="G58" s="8" t="s">
        <v>145</v>
      </c>
      <c r="H58" s="3" t="s">
        <v>12</v>
      </c>
      <c r="I58" s="3" t="s">
        <v>144</v>
      </c>
      <c r="J58" s="3" t="str">
        <f t="shared" si="24"/>
        <v>17</v>
      </c>
      <c r="K58" s="3" t="str">
        <f t="shared" si="25"/>
        <v>57</v>
      </c>
      <c r="L58" s="3" t="str">
        <f t="shared" si="26"/>
        <v>59</v>
      </c>
      <c r="M58" s="3" t="str">
        <f t="shared" si="27"/>
        <v>38</v>
      </c>
      <c r="N58" s="3" t="str">
        <f t="shared" si="28"/>
        <v>42</v>
      </c>
      <c r="O58" s="3" t="str">
        <f t="shared" si="29"/>
        <v>52</v>
      </c>
      <c r="P58" s="1">
        <f t="shared" si="30"/>
        <v>-17.96638888888889</v>
      </c>
      <c r="Q58" s="1">
        <f t="shared" si="31"/>
        <v>-38.714444444444446</v>
      </c>
      <c r="R58" s="13" t="s">
        <v>146</v>
      </c>
    </row>
    <row r="59" spans="1:18" ht="15.75" x14ac:dyDescent="0.25">
      <c r="A59" s="3">
        <v>58</v>
      </c>
      <c r="B59" s="3" t="s">
        <v>20</v>
      </c>
      <c r="C59" s="3" t="s">
        <v>15</v>
      </c>
      <c r="D59" s="3" t="s">
        <v>16</v>
      </c>
      <c r="E59" s="8" t="s">
        <v>133</v>
      </c>
      <c r="F59" s="8" t="s">
        <v>153</v>
      </c>
      <c r="G59" s="8" t="s">
        <v>145</v>
      </c>
      <c r="H59" s="3" t="s">
        <v>12</v>
      </c>
      <c r="I59" s="8" t="s">
        <v>154</v>
      </c>
      <c r="J59" s="3" t="str">
        <f t="shared" si="24"/>
        <v>03</v>
      </c>
      <c r="K59" s="3" t="str">
        <f t="shared" si="25"/>
        <v>50</v>
      </c>
      <c r="L59" s="3" t="e">
        <f t="shared" si="26"/>
        <v>#VALUE!</v>
      </c>
      <c r="M59" s="3" t="str">
        <f t="shared" si="27"/>
        <v>32</v>
      </c>
      <c r="N59" s="3" t="str">
        <f t="shared" si="28"/>
        <v>24</v>
      </c>
      <c r="O59" s="3" t="e">
        <f t="shared" si="29"/>
        <v>#VALUE!</v>
      </c>
      <c r="P59" s="1" t="e">
        <f t="shared" si="30"/>
        <v>#VALUE!</v>
      </c>
      <c r="Q59" s="1" t="e">
        <f t="shared" si="31"/>
        <v>#VALUE!</v>
      </c>
      <c r="R59" s="13" t="s">
        <v>146</v>
      </c>
    </row>
    <row r="60" spans="1:18" ht="15.75" x14ac:dyDescent="0.25">
      <c r="A60" s="3">
        <v>59</v>
      </c>
      <c r="B60" s="3" t="s">
        <v>20</v>
      </c>
      <c r="C60" s="3" t="s">
        <v>15</v>
      </c>
      <c r="D60" s="3" t="s">
        <v>16</v>
      </c>
      <c r="E60" s="2" t="s">
        <v>155</v>
      </c>
      <c r="F60" s="2" t="s">
        <v>156</v>
      </c>
      <c r="G60" s="8" t="s">
        <v>145</v>
      </c>
      <c r="H60" s="3" t="s">
        <v>12</v>
      </c>
      <c r="I60" s="24" t="s">
        <v>157</v>
      </c>
      <c r="J60" s="3" t="str">
        <f t="shared" si="24"/>
        <v>03</v>
      </c>
      <c r="K60" s="3" t="str">
        <f t="shared" si="25"/>
        <v>45</v>
      </c>
      <c r="L60" s="3" t="e">
        <f t="shared" si="26"/>
        <v>#VALUE!</v>
      </c>
      <c r="M60" s="3" t="str">
        <f t="shared" si="27"/>
        <v>32</v>
      </c>
      <c r="N60" s="3" t="str">
        <f t="shared" si="28"/>
        <v>19</v>
      </c>
      <c r="O60" s="3" t="e">
        <f t="shared" si="29"/>
        <v>#VALUE!</v>
      </c>
      <c r="P60" s="1" t="e">
        <f t="shared" si="30"/>
        <v>#VALUE!</v>
      </c>
      <c r="Q60" s="1" t="e">
        <f t="shared" si="31"/>
        <v>#VALUE!</v>
      </c>
      <c r="R60" s="13" t="s">
        <v>146</v>
      </c>
    </row>
    <row r="61" spans="1:18" ht="15.75" x14ac:dyDescent="0.25">
      <c r="A61" s="3">
        <v>60</v>
      </c>
      <c r="B61" s="3" t="s">
        <v>21</v>
      </c>
      <c r="C61" s="3" t="s">
        <v>15</v>
      </c>
      <c r="D61" s="3" t="s">
        <v>16</v>
      </c>
      <c r="E61" s="8" t="s">
        <v>133</v>
      </c>
      <c r="F61" s="8" t="s">
        <v>153</v>
      </c>
      <c r="G61" s="8" t="s">
        <v>145</v>
      </c>
      <c r="H61" s="3" t="s">
        <v>12</v>
      </c>
      <c r="I61" s="8" t="s">
        <v>154</v>
      </c>
      <c r="J61" s="3" t="str">
        <f t="shared" si="24"/>
        <v>03</v>
      </c>
      <c r="K61" s="3" t="str">
        <f t="shared" si="25"/>
        <v>50</v>
      </c>
      <c r="L61" s="3" t="e">
        <f t="shared" si="26"/>
        <v>#VALUE!</v>
      </c>
      <c r="M61" s="3" t="str">
        <f t="shared" si="27"/>
        <v>32</v>
      </c>
      <c r="N61" s="3" t="str">
        <f t="shared" si="28"/>
        <v>24</v>
      </c>
      <c r="O61" s="3" t="e">
        <f t="shared" si="29"/>
        <v>#VALUE!</v>
      </c>
      <c r="P61" s="1" t="e">
        <f t="shared" si="30"/>
        <v>#VALUE!</v>
      </c>
      <c r="Q61" s="1" t="e">
        <f t="shared" si="31"/>
        <v>#VALUE!</v>
      </c>
      <c r="R61" s="13" t="s">
        <v>146</v>
      </c>
    </row>
    <row r="62" spans="1:18" ht="15.75" x14ac:dyDescent="0.25">
      <c r="A62" s="3">
        <v>61</v>
      </c>
      <c r="B62" s="3" t="s">
        <v>56</v>
      </c>
      <c r="C62" s="3" t="s">
        <v>15</v>
      </c>
      <c r="D62" s="3" t="s">
        <v>16</v>
      </c>
      <c r="E62" s="8" t="s">
        <v>121</v>
      </c>
      <c r="F62" s="8" t="s">
        <v>122</v>
      </c>
      <c r="G62" s="3" t="s">
        <v>331</v>
      </c>
      <c r="H62" s="3" t="s">
        <v>12</v>
      </c>
      <c r="I62" s="5" t="s">
        <v>81</v>
      </c>
      <c r="J62" s="3" t="str">
        <f t="shared" si="24"/>
        <v>8</v>
      </c>
      <c r="K62" s="3" t="str">
        <f t="shared" si="25"/>
        <v>30</v>
      </c>
      <c r="L62" s="3" t="str">
        <f t="shared" si="26"/>
        <v>54</v>
      </c>
      <c r="M62" s="3" t="str">
        <f t="shared" si="27"/>
        <v>34</v>
      </c>
      <c r="N62" s="3" t="str">
        <f t="shared" si="28"/>
        <v>59</v>
      </c>
      <c r="O62" s="3" t="str">
        <f t="shared" si="29"/>
        <v>47</v>
      </c>
      <c r="P62" s="1">
        <f t="shared" si="30"/>
        <v>-8.5150000000000006</v>
      </c>
      <c r="Q62" s="1">
        <f t="shared" si="31"/>
        <v>-34.996388888888887</v>
      </c>
      <c r="R62" s="13" t="s">
        <v>158</v>
      </c>
    </row>
    <row r="63" spans="1:18" ht="15.75" x14ac:dyDescent="0.25">
      <c r="A63" s="3">
        <v>62</v>
      </c>
      <c r="B63" s="3" t="s">
        <v>56</v>
      </c>
      <c r="C63" s="3" t="s">
        <v>15</v>
      </c>
      <c r="D63" s="3" t="s">
        <v>16</v>
      </c>
      <c r="E63" s="8" t="s">
        <v>82</v>
      </c>
      <c r="F63" s="8" t="s">
        <v>160</v>
      </c>
      <c r="G63" s="3" t="s">
        <v>333</v>
      </c>
      <c r="H63" s="3" t="s">
        <v>12</v>
      </c>
      <c r="I63" s="24" t="s">
        <v>159</v>
      </c>
      <c r="J63" s="3" t="str">
        <f t="shared" si="24"/>
        <v>08</v>
      </c>
      <c r="K63" s="3" t="str">
        <f t="shared" si="25"/>
        <v>44</v>
      </c>
      <c r="L63" s="3" t="str">
        <f t="shared" si="26"/>
        <v>23</v>
      </c>
      <c r="M63" s="3" t="str">
        <f t="shared" si="27"/>
        <v>35</v>
      </c>
      <c r="N63" s="3" t="str">
        <f t="shared" si="28"/>
        <v>07</v>
      </c>
      <c r="O63" s="3" t="str">
        <f t="shared" si="29"/>
        <v>29</v>
      </c>
      <c r="P63" s="1">
        <f t="shared" si="30"/>
        <v>-8.7397222222222215</v>
      </c>
      <c r="Q63" s="1">
        <f t="shared" si="31"/>
        <v>-35.124722222222225</v>
      </c>
      <c r="R63" s="13" t="s">
        <v>158</v>
      </c>
    </row>
    <row r="64" spans="1:18" ht="15.75" x14ac:dyDescent="0.25">
      <c r="A64" s="3">
        <v>63</v>
      </c>
      <c r="B64" s="3" t="s">
        <v>56</v>
      </c>
      <c r="C64" s="3" t="s">
        <v>15</v>
      </c>
      <c r="D64" s="3" t="s">
        <v>16</v>
      </c>
      <c r="E64" s="8" t="s">
        <v>161</v>
      </c>
      <c r="F64" s="8" t="s">
        <v>83</v>
      </c>
      <c r="G64" s="3" t="s">
        <v>333</v>
      </c>
      <c r="H64" s="3" t="s">
        <v>12</v>
      </c>
      <c r="I64" s="24" t="s">
        <v>159</v>
      </c>
      <c r="J64" s="3" t="str">
        <f t="shared" si="24"/>
        <v>08</v>
      </c>
      <c r="K64" s="3" t="str">
        <f t="shared" si="25"/>
        <v>44</v>
      </c>
      <c r="L64" s="3" t="str">
        <f t="shared" si="26"/>
        <v>41</v>
      </c>
      <c r="M64" s="3" t="str">
        <f t="shared" si="27"/>
        <v>35</v>
      </c>
      <c r="N64" s="3" t="str">
        <f t="shared" si="28"/>
        <v>02</v>
      </c>
      <c r="O64" s="3" t="str">
        <f t="shared" si="29"/>
        <v>28</v>
      </c>
      <c r="P64" s="1">
        <f t="shared" si="30"/>
        <v>-8.7447222222222223</v>
      </c>
      <c r="Q64" s="1">
        <f t="shared" si="31"/>
        <v>-35.041111111111114</v>
      </c>
      <c r="R64" s="13" t="s">
        <v>158</v>
      </c>
    </row>
    <row r="65" spans="1:18" ht="15.75" x14ac:dyDescent="0.25">
      <c r="A65" s="3">
        <v>64</v>
      </c>
      <c r="B65" s="3" t="s">
        <v>20</v>
      </c>
      <c r="C65" s="3" t="s">
        <v>15</v>
      </c>
      <c r="D65" s="3" t="s">
        <v>16</v>
      </c>
      <c r="E65" s="8" t="s">
        <v>121</v>
      </c>
      <c r="F65" s="8" t="s">
        <v>122</v>
      </c>
      <c r="G65" s="3" t="s">
        <v>331</v>
      </c>
      <c r="H65" s="3" t="s">
        <v>12</v>
      </c>
      <c r="I65" s="5" t="s">
        <v>81</v>
      </c>
      <c r="J65" s="3" t="str">
        <f t="shared" si="24"/>
        <v>8</v>
      </c>
      <c r="K65" s="3" t="str">
        <f t="shared" si="25"/>
        <v>30</v>
      </c>
      <c r="L65" s="3" t="str">
        <f t="shared" si="26"/>
        <v>54</v>
      </c>
      <c r="M65" s="3" t="str">
        <f t="shared" si="27"/>
        <v>34</v>
      </c>
      <c r="N65" s="3" t="str">
        <f t="shared" si="28"/>
        <v>59</v>
      </c>
      <c r="O65" s="3" t="str">
        <f t="shared" si="29"/>
        <v>47</v>
      </c>
      <c r="P65" s="1">
        <f t="shared" si="30"/>
        <v>-8.5150000000000006</v>
      </c>
      <c r="Q65" s="1">
        <f t="shared" si="31"/>
        <v>-34.996388888888887</v>
      </c>
      <c r="R65" s="13" t="s">
        <v>158</v>
      </c>
    </row>
    <row r="66" spans="1:18" ht="15.75" x14ac:dyDescent="0.25">
      <c r="A66" s="3">
        <v>65</v>
      </c>
      <c r="B66" s="3" t="s">
        <v>20</v>
      </c>
      <c r="C66" s="3" t="s">
        <v>15</v>
      </c>
      <c r="D66" s="3" t="s">
        <v>16</v>
      </c>
      <c r="E66" s="8" t="s">
        <v>82</v>
      </c>
      <c r="F66" s="8" t="s">
        <v>160</v>
      </c>
      <c r="G66" s="3" t="s">
        <v>331</v>
      </c>
      <c r="H66" s="3" t="s">
        <v>12</v>
      </c>
      <c r="I66" s="24" t="s">
        <v>159</v>
      </c>
      <c r="J66" s="3" t="str">
        <f t="shared" si="24"/>
        <v>08</v>
      </c>
      <c r="K66" s="3" t="str">
        <f t="shared" si="25"/>
        <v>44</v>
      </c>
      <c r="L66" s="3" t="str">
        <f t="shared" si="26"/>
        <v>23</v>
      </c>
      <c r="M66" s="3" t="str">
        <f t="shared" si="27"/>
        <v>35</v>
      </c>
      <c r="N66" s="3" t="str">
        <f t="shared" si="28"/>
        <v>07</v>
      </c>
      <c r="O66" s="3" t="str">
        <f t="shared" si="29"/>
        <v>29</v>
      </c>
      <c r="P66" s="1">
        <f t="shared" si="30"/>
        <v>-8.7397222222222215</v>
      </c>
      <c r="Q66" s="1">
        <f t="shared" si="31"/>
        <v>-35.124722222222225</v>
      </c>
      <c r="R66" s="13" t="s">
        <v>158</v>
      </c>
    </row>
    <row r="67" spans="1:18" ht="15.75" x14ac:dyDescent="0.25">
      <c r="A67" s="3">
        <v>66</v>
      </c>
      <c r="B67" s="3" t="s">
        <v>20</v>
      </c>
      <c r="C67" s="3" t="s">
        <v>15</v>
      </c>
      <c r="D67" s="3" t="s">
        <v>16</v>
      </c>
      <c r="E67" s="8" t="s">
        <v>161</v>
      </c>
      <c r="F67" s="8" t="s">
        <v>83</v>
      </c>
      <c r="G67" s="3" t="s">
        <v>331</v>
      </c>
      <c r="H67" s="3" t="s">
        <v>12</v>
      </c>
      <c r="I67" s="24" t="s">
        <v>159</v>
      </c>
      <c r="J67" s="3" t="str">
        <f t="shared" si="24"/>
        <v>08</v>
      </c>
      <c r="K67" s="3" t="str">
        <f t="shared" si="25"/>
        <v>44</v>
      </c>
      <c r="L67" s="3" t="str">
        <f t="shared" si="26"/>
        <v>41</v>
      </c>
      <c r="M67" s="3" t="str">
        <f t="shared" si="27"/>
        <v>35</v>
      </c>
      <c r="N67" s="3" t="str">
        <f t="shared" si="28"/>
        <v>02</v>
      </c>
      <c r="O67" s="3" t="str">
        <f t="shared" si="29"/>
        <v>28</v>
      </c>
      <c r="P67" s="1">
        <f t="shared" si="30"/>
        <v>-8.7447222222222223</v>
      </c>
      <c r="Q67" s="1">
        <f t="shared" si="31"/>
        <v>-35.041111111111114</v>
      </c>
      <c r="R67" s="13" t="s">
        <v>158</v>
      </c>
    </row>
    <row r="68" spans="1:18" ht="15.75" x14ac:dyDescent="0.25">
      <c r="A68" s="3">
        <v>67</v>
      </c>
      <c r="B68" s="3" t="s">
        <v>21</v>
      </c>
      <c r="C68" s="3" t="s">
        <v>15</v>
      </c>
      <c r="D68" s="3" t="s">
        <v>16</v>
      </c>
      <c r="E68" s="8" t="s">
        <v>121</v>
      </c>
      <c r="F68" s="8" t="s">
        <v>122</v>
      </c>
      <c r="G68" s="3" t="s">
        <v>331</v>
      </c>
      <c r="H68" s="3" t="s">
        <v>12</v>
      </c>
      <c r="I68" s="5" t="s">
        <v>81</v>
      </c>
      <c r="J68" s="3" t="str">
        <f t="shared" si="24"/>
        <v>8</v>
      </c>
      <c r="K68" s="3" t="str">
        <f t="shared" si="25"/>
        <v>30</v>
      </c>
      <c r="L68" s="3" t="str">
        <f t="shared" si="26"/>
        <v>54</v>
      </c>
      <c r="M68" s="3" t="str">
        <f t="shared" si="27"/>
        <v>34</v>
      </c>
      <c r="N68" s="3" t="str">
        <f t="shared" si="28"/>
        <v>59</v>
      </c>
      <c r="O68" s="3" t="str">
        <f t="shared" si="29"/>
        <v>47</v>
      </c>
      <c r="P68" s="1">
        <f t="shared" si="30"/>
        <v>-8.5150000000000006</v>
      </c>
      <c r="Q68" s="1">
        <f t="shared" si="31"/>
        <v>-34.996388888888887</v>
      </c>
      <c r="R68" s="13" t="s">
        <v>158</v>
      </c>
    </row>
    <row r="69" spans="1:18" ht="15.75" x14ac:dyDescent="0.25">
      <c r="A69" s="3">
        <v>68</v>
      </c>
      <c r="B69" s="3" t="s">
        <v>21</v>
      </c>
      <c r="C69" s="3" t="s">
        <v>15</v>
      </c>
      <c r="D69" s="3" t="s">
        <v>16</v>
      </c>
      <c r="E69" s="8" t="s">
        <v>82</v>
      </c>
      <c r="F69" s="8" t="s">
        <v>160</v>
      </c>
      <c r="G69" s="3" t="s">
        <v>331</v>
      </c>
      <c r="H69" s="3" t="s">
        <v>12</v>
      </c>
      <c r="I69" s="24" t="s">
        <v>159</v>
      </c>
      <c r="J69" s="3" t="str">
        <f t="shared" si="24"/>
        <v>08</v>
      </c>
      <c r="K69" s="3" t="str">
        <f t="shared" si="25"/>
        <v>44</v>
      </c>
      <c r="L69" s="3" t="str">
        <f t="shared" si="26"/>
        <v>23</v>
      </c>
      <c r="M69" s="3" t="str">
        <f t="shared" si="27"/>
        <v>35</v>
      </c>
      <c r="N69" s="3" t="str">
        <f t="shared" si="28"/>
        <v>07</v>
      </c>
      <c r="O69" s="3" t="str">
        <f t="shared" si="29"/>
        <v>29</v>
      </c>
      <c r="P69" s="1">
        <f t="shared" si="30"/>
        <v>-8.7397222222222215</v>
      </c>
      <c r="Q69" s="1">
        <f t="shared" si="31"/>
        <v>-35.124722222222225</v>
      </c>
      <c r="R69" s="13" t="s">
        <v>158</v>
      </c>
    </row>
    <row r="70" spans="1:18" ht="15.75" x14ac:dyDescent="0.25">
      <c r="A70" s="3">
        <v>69</v>
      </c>
      <c r="B70" s="3" t="s">
        <v>21</v>
      </c>
      <c r="C70" s="3" t="s">
        <v>15</v>
      </c>
      <c r="D70" s="3" t="s">
        <v>16</v>
      </c>
      <c r="E70" s="8" t="s">
        <v>161</v>
      </c>
      <c r="F70" s="8" t="s">
        <v>83</v>
      </c>
      <c r="G70" s="3" t="s">
        <v>331</v>
      </c>
      <c r="H70" s="3" t="s">
        <v>12</v>
      </c>
      <c r="I70" s="24" t="s">
        <v>159</v>
      </c>
      <c r="J70" s="3" t="str">
        <f t="shared" si="24"/>
        <v>08</v>
      </c>
      <c r="K70" s="3" t="str">
        <f t="shared" si="25"/>
        <v>44</v>
      </c>
      <c r="L70" s="3" t="str">
        <f t="shared" si="26"/>
        <v>41</v>
      </c>
      <c r="M70" s="3" t="str">
        <f t="shared" si="27"/>
        <v>35</v>
      </c>
      <c r="N70" s="3" t="str">
        <f t="shared" si="28"/>
        <v>02</v>
      </c>
      <c r="O70" s="3" t="str">
        <f t="shared" si="29"/>
        <v>28</v>
      </c>
      <c r="P70" s="1">
        <f t="shared" si="30"/>
        <v>-8.7447222222222223</v>
      </c>
      <c r="Q70" s="1">
        <f t="shared" si="31"/>
        <v>-35.041111111111114</v>
      </c>
      <c r="R70" s="13" t="s">
        <v>158</v>
      </c>
    </row>
    <row r="71" spans="1:18" ht="15.75" x14ac:dyDescent="0.25">
      <c r="A71" s="3">
        <v>70</v>
      </c>
      <c r="B71" s="3" t="s">
        <v>56</v>
      </c>
      <c r="C71" s="3" t="s">
        <v>15</v>
      </c>
      <c r="D71" s="3" t="s">
        <v>16</v>
      </c>
      <c r="E71" s="8" t="s">
        <v>162</v>
      </c>
      <c r="F71" s="1" t="s">
        <v>163</v>
      </c>
      <c r="G71" s="3" t="s">
        <v>171</v>
      </c>
      <c r="H71" s="3" t="s">
        <v>12</v>
      </c>
      <c r="I71" s="8" t="s">
        <v>157</v>
      </c>
      <c r="J71" s="3" t="str">
        <f t="shared" si="24"/>
        <v>03</v>
      </c>
      <c r="K71" s="3" t="str">
        <f t="shared" si="25"/>
        <v>52</v>
      </c>
      <c r="L71" s="3" t="e">
        <f t="shared" si="26"/>
        <v>#VALUE!</v>
      </c>
      <c r="M71" s="3" t="str">
        <f t="shared" si="27"/>
        <v>33</v>
      </c>
      <c r="N71" s="3" t="str">
        <f t="shared" si="28"/>
        <v>48</v>
      </c>
      <c r="O71" s="3" t="e">
        <f t="shared" si="29"/>
        <v>#VALUE!</v>
      </c>
      <c r="P71" s="1" t="e">
        <f t="shared" si="30"/>
        <v>#VALUE!</v>
      </c>
      <c r="Q71" s="1" t="e">
        <f t="shared" si="31"/>
        <v>#VALUE!</v>
      </c>
      <c r="R71" s="13" t="s">
        <v>170</v>
      </c>
    </row>
    <row r="72" spans="1:18" ht="15.75" x14ac:dyDescent="0.25">
      <c r="A72" s="3">
        <v>71</v>
      </c>
      <c r="B72" s="3" t="s">
        <v>56</v>
      </c>
      <c r="C72" s="3" t="s">
        <v>15</v>
      </c>
      <c r="D72" s="3" t="s">
        <v>16</v>
      </c>
      <c r="E72" s="8" t="s">
        <v>166</v>
      </c>
      <c r="F72" s="1" t="s">
        <v>167</v>
      </c>
      <c r="G72" s="3" t="s">
        <v>171</v>
      </c>
      <c r="H72" s="3" t="s">
        <v>12</v>
      </c>
      <c r="I72" s="8" t="s">
        <v>164</v>
      </c>
      <c r="J72" s="3" t="str">
        <f t="shared" si="24"/>
        <v>03</v>
      </c>
      <c r="K72" s="3" t="str">
        <f t="shared" si="25"/>
        <v>51</v>
      </c>
      <c r="L72" s="3" t="e">
        <f t="shared" si="26"/>
        <v>#VALUE!</v>
      </c>
      <c r="M72" s="3" t="str">
        <f t="shared" si="27"/>
        <v>32</v>
      </c>
      <c r="N72" s="3" t="str">
        <f t="shared" si="28"/>
        <v>25</v>
      </c>
      <c r="O72" s="3" t="e">
        <f t="shared" si="29"/>
        <v>#VALUE!</v>
      </c>
      <c r="P72" s="1" t="e">
        <f t="shared" si="30"/>
        <v>#VALUE!</v>
      </c>
      <c r="Q72" s="1" t="e">
        <f t="shared" si="31"/>
        <v>#VALUE!</v>
      </c>
      <c r="R72" s="13" t="s">
        <v>170</v>
      </c>
    </row>
    <row r="73" spans="1:18" ht="15.75" x14ac:dyDescent="0.25">
      <c r="A73" s="3">
        <v>72</v>
      </c>
      <c r="B73" s="3" t="s">
        <v>56</v>
      </c>
      <c r="C73" s="3" t="s">
        <v>15</v>
      </c>
      <c r="D73" s="3" t="s">
        <v>16</v>
      </c>
      <c r="E73" s="8" t="s">
        <v>168</v>
      </c>
      <c r="F73" s="1" t="s">
        <v>169</v>
      </c>
      <c r="G73" s="3" t="s">
        <v>171</v>
      </c>
      <c r="H73" s="3" t="s">
        <v>12</v>
      </c>
      <c r="I73" s="8" t="s">
        <v>165</v>
      </c>
      <c r="J73" s="3" t="str">
        <f t="shared" si="24"/>
        <v>20</v>
      </c>
      <c r="K73" s="3" t="str">
        <f t="shared" si="25"/>
        <v>28</v>
      </c>
      <c r="L73" s="3" t="e">
        <f t="shared" si="26"/>
        <v>#VALUE!</v>
      </c>
      <c r="M73" s="3" t="str">
        <f t="shared" si="27"/>
        <v>29</v>
      </c>
      <c r="N73" s="3" t="str">
        <f t="shared" si="28"/>
        <v>21</v>
      </c>
      <c r="O73" s="3" t="e">
        <f t="shared" si="29"/>
        <v>#VALUE!</v>
      </c>
      <c r="P73" s="1" t="e">
        <f t="shared" si="30"/>
        <v>#VALUE!</v>
      </c>
      <c r="Q73" s="1" t="e">
        <f t="shared" si="31"/>
        <v>#VALUE!</v>
      </c>
      <c r="R73" s="13" t="s">
        <v>170</v>
      </c>
    </row>
    <row r="74" spans="1:18" ht="15.75" x14ac:dyDescent="0.25">
      <c r="A74" s="3">
        <v>73</v>
      </c>
      <c r="B74" s="3" t="s">
        <v>20</v>
      </c>
      <c r="C74" s="3" t="s">
        <v>15</v>
      </c>
      <c r="D74" s="3" t="s">
        <v>16</v>
      </c>
      <c r="E74" s="8" t="s">
        <v>166</v>
      </c>
      <c r="F74" s="1" t="s">
        <v>163</v>
      </c>
      <c r="G74" s="3" t="s">
        <v>175</v>
      </c>
      <c r="H74" s="3" t="s">
        <v>12</v>
      </c>
      <c r="I74" s="8" t="s">
        <v>157</v>
      </c>
      <c r="J74" s="3" t="str">
        <f t="shared" si="24"/>
        <v>03</v>
      </c>
      <c r="K74" s="3" t="str">
        <f t="shared" si="25"/>
        <v>51</v>
      </c>
      <c r="L74" s="3" t="e">
        <f t="shared" si="26"/>
        <v>#VALUE!</v>
      </c>
      <c r="M74" s="3" t="str">
        <f t="shared" si="27"/>
        <v>33</v>
      </c>
      <c r="N74" s="3" t="str">
        <f t="shared" si="28"/>
        <v>48</v>
      </c>
      <c r="O74" s="3" t="e">
        <f t="shared" si="29"/>
        <v>#VALUE!</v>
      </c>
      <c r="P74" s="1" t="e">
        <f t="shared" si="30"/>
        <v>#VALUE!</v>
      </c>
      <c r="Q74" s="1" t="e">
        <f t="shared" si="31"/>
        <v>#VALUE!</v>
      </c>
      <c r="R74" s="13" t="s">
        <v>174</v>
      </c>
    </row>
    <row r="75" spans="1:18" ht="15.75" x14ac:dyDescent="0.25">
      <c r="A75" s="3">
        <v>74</v>
      </c>
      <c r="B75" s="3" t="s">
        <v>21</v>
      </c>
      <c r="C75" s="3" t="s">
        <v>15</v>
      </c>
      <c r="D75" s="3" t="s">
        <v>16</v>
      </c>
      <c r="E75" s="8" t="s">
        <v>166</v>
      </c>
      <c r="F75" s="1" t="s">
        <v>163</v>
      </c>
      <c r="G75" s="3" t="s">
        <v>175</v>
      </c>
      <c r="H75" s="3" t="s">
        <v>12</v>
      </c>
      <c r="I75" s="8" t="s">
        <v>157</v>
      </c>
      <c r="J75" s="3" t="str">
        <f t="shared" si="24"/>
        <v>03</v>
      </c>
      <c r="K75" s="3" t="str">
        <f t="shared" si="25"/>
        <v>51</v>
      </c>
      <c r="L75" s="3" t="e">
        <f t="shared" si="26"/>
        <v>#VALUE!</v>
      </c>
      <c r="M75" s="3" t="str">
        <f t="shared" si="27"/>
        <v>33</v>
      </c>
      <c r="N75" s="3" t="str">
        <f t="shared" si="28"/>
        <v>48</v>
      </c>
      <c r="O75" s="3" t="e">
        <f t="shared" si="29"/>
        <v>#VALUE!</v>
      </c>
      <c r="P75" s="1" t="e">
        <f t="shared" si="30"/>
        <v>#VALUE!</v>
      </c>
      <c r="Q75" s="1" t="e">
        <f t="shared" si="31"/>
        <v>#VALUE!</v>
      </c>
      <c r="R75" s="13" t="s">
        <v>174</v>
      </c>
    </row>
    <row r="76" spans="1:18" ht="15.75" x14ac:dyDescent="0.25">
      <c r="A76" s="3">
        <v>75</v>
      </c>
      <c r="B76" s="3" t="s">
        <v>56</v>
      </c>
      <c r="C76" s="3" t="s">
        <v>15</v>
      </c>
      <c r="D76" s="3" t="s">
        <v>16</v>
      </c>
      <c r="E76" s="8" t="s">
        <v>166</v>
      </c>
      <c r="F76" s="1" t="s">
        <v>163</v>
      </c>
      <c r="G76" s="3" t="s">
        <v>175</v>
      </c>
      <c r="H76" s="3" t="s">
        <v>12</v>
      </c>
      <c r="I76" s="8" t="s">
        <v>157</v>
      </c>
      <c r="J76" s="3" t="str">
        <f t="shared" si="24"/>
        <v>03</v>
      </c>
      <c r="K76" s="3" t="str">
        <f t="shared" si="25"/>
        <v>51</v>
      </c>
      <c r="L76" s="3" t="e">
        <f t="shared" si="26"/>
        <v>#VALUE!</v>
      </c>
      <c r="M76" s="3" t="str">
        <f t="shared" si="27"/>
        <v>33</v>
      </c>
      <c r="N76" s="3" t="str">
        <f t="shared" si="28"/>
        <v>48</v>
      </c>
      <c r="O76" s="3" t="e">
        <f t="shared" si="29"/>
        <v>#VALUE!</v>
      </c>
      <c r="P76" s="1" t="e">
        <f t="shared" si="30"/>
        <v>#VALUE!</v>
      </c>
      <c r="Q76" s="1" t="e">
        <f t="shared" si="31"/>
        <v>#VALUE!</v>
      </c>
      <c r="R76" s="13" t="s">
        <v>174</v>
      </c>
    </row>
    <row r="77" spans="1:18" ht="15.75" x14ac:dyDescent="0.25">
      <c r="A77" s="3">
        <v>76</v>
      </c>
      <c r="B77" s="3" t="s">
        <v>56</v>
      </c>
      <c r="C77" s="3" t="s">
        <v>15</v>
      </c>
      <c r="D77" s="3" t="s">
        <v>16</v>
      </c>
      <c r="E77" s="8" t="s">
        <v>177</v>
      </c>
      <c r="F77" s="8" t="s">
        <v>178</v>
      </c>
      <c r="G77" s="8" t="s">
        <v>180</v>
      </c>
      <c r="H77" s="3" t="s">
        <v>12</v>
      </c>
      <c r="I77" s="25" t="s">
        <v>176</v>
      </c>
      <c r="J77" s="3" t="str">
        <f t="shared" si="24"/>
        <v>8</v>
      </c>
      <c r="K77" s="3" t="str">
        <f t="shared" si="25"/>
        <v>45</v>
      </c>
      <c r="L77" s="3" t="e">
        <f t="shared" si="26"/>
        <v>#VALUE!</v>
      </c>
      <c r="M77" s="3" t="str">
        <f t="shared" si="27"/>
        <v>24</v>
      </c>
      <c r="N77" s="3" t="str">
        <f t="shared" si="28"/>
        <v>57</v>
      </c>
      <c r="O77" s="3" t="e">
        <f t="shared" si="29"/>
        <v>#VALUE!</v>
      </c>
      <c r="P77" s="1" t="e">
        <f t="shared" si="30"/>
        <v>#VALUE!</v>
      </c>
      <c r="Q77" s="1" t="e">
        <f t="shared" si="31"/>
        <v>#VALUE!</v>
      </c>
      <c r="R77" s="13" t="s">
        <v>179</v>
      </c>
    </row>
    <row r="78" spans="1:18" ht="15.75" x14ac:dyDescent="0.25">
      <c r="A78" s="3">
        <v>77</v>
      </c>
      <c r="B78" s="3" t="s">
        <v>56</v>
      </c>
      <c r="C78" s="3" t="s">
        <v>29</v>
      </c>
      <c r="D78" s="3" t="s">
        <v>16</v>
      </c>
      <c r="E78" s="8" t="s">
        <v>181</v>
      </c>
      <c r="F78" s="8" t="s">
        <v>182</v>
      </c>
      <c r="G78" s="8" t="s">
        <v>183</v>
      </c>
      <c r="H78" s="3" t="s">
        <v>12</v>
      </c>
      <c r="I78" s="5" t="s">
        <v>97</v>
      </c>
      <c r="J78" s="3" t="str">
        <f t="shared" si="24"/>
        <v>00</v>
      </c>
      <c r="K78" s="3" t="str">
        <f t="shared" si="25"/>
        <v>55</v>
      </c>
      <c r="L78" s="3" t="str">
        <f t="shared" si="26"/>
        <v>01</v>
      </c>
      <c r="M78" s="3" t="str">
        <f t="shared" si="27"/>
        <v>29</v>
      </c>
      <c r="N78" s="3" t="str">
        <f t="shared" si="28"/>
        <v>20</v>
      </c>
      <c r="O78" s="3" t="str">
        <f t="shared" si="29"/>
        <v>44</v>
      </c>
      <c r="P78" s="1">
        <f t="shared" si="30"/>
        <v>0.91694444444444445</v>
      </c>
      <c r="Q78" s="1">
        <f t="shared" si="31"/>
        <v>-29.345555555555556</v>
      </c>
      <c r="R78" s="13" t="s">
        <v>184</v>
      </c>
    </row>
    <row r="79" spans="1:18" ht="15.75" x14ac:dyDescent="0.25">
      <c r="A79" s="3">
        <v>78</v>
      </c>
      <c r="B79" s="3" t="s">
        <v>56</v>
      </c>
      <c r="C79" s="3" t="s">
        <v>15</v>
      </c>
      <c r="D79" s="3" t="s">
        <v>16</v>
      </c>
      <c r="E79" s="8" t="s">
        <v>187</v>
      </c>
      <c r="F79" s="8" t="s">
        <v>186</v>
      </c>
      <c r="G79" s="8" t="s">
        <v>189</v>
      </c>
      <c r="H79" s="3" t="s">
        <v>12</v>
      </c>
      <c r="I79" s="3" t="s">
        <v>188</v>
      </c>
      <c r="J79" s="3" t="str">
        <f t="shared" si="24"/>
        <v>04</v>
      </c>
      <c r="K79" s="3" t="str">
        <f t="shared" si="25"/>
        <v>37</v>
      </c>
      <c r="L79" s="3" t="str">
        <f t="shared" si="26"/>
        <v>48,0</v>
      </c>
      <c r="M79" s="3" t="str">
        <f t="shared" si="27"/>
        <v>37</v>
      </c>
      <c r="N79" s="3" t="str">
        <f t="shared" si="28"/>
        <v>30</v>
      </c>
      <c r="O79" s="3" t="str">
        <f t="shared" si="29"/>
        <v>22,9</v>
      </c>
      <c r="P79" s="1">
        <f t="shared" si="30"/>
        <v>-4.63</v>
      </c>
      <c r="Q79" s="1">
        <f t="shared" si="31"/>
        <v>-37.506361111111111</v>
      </c>
      <c r="R79" s="13" t="s">
        <v>185</v>
      </c>
    </row>
    <row r="80" spans="1:18" ht="15.75" x14ac:dyDescent="0.25">
      <c r="A80" s="3">
        <v>79</v>
      </c>
      <c r="B80" s="3" t="s">
        <v>21</v>
      </c>
      <c r="C80" s="3" t="s">
        <v>15</v>
      </c>
      <c r="D80" s="3" t="s">
        <v>16</v>
      </c>
      <c r="E80" s="8" t="s">
        <v>181</v>
      </c>
      <c r="F80" s="8" t="s">
        <v>182</v>
      </c>
      <c r="G80" s="8" t="s">
        <v>190</v>
      </c>
      <c r="H80" s="3" t="s">
        <v>12</v>
      </c>
      <c r="I80" s="5" t="s">
        <v>97</v>
      </c>
      <c r="J80" s="3" t="str">
        <f t="shared" si="24"/>
        <v>00</v>
      </c>
      <c r="K80" s="3" t="str">
        <f t="shared" si="25"/>
        <v>55</v>
      </c>
      <c r="L80" s="3" t="str">
        <f t="shared" si="26"/>
        <v>01</v>
      </c>
      <c r="M80" s="3" t="str">
        <f t="shared" si="27"/>
        <v>29</v>
      </c>
      <c r="N80" s="3" t="str">
        <f t="shared" si="28"/>
        <v>20</v>
      </c>
      <c r="O80" s="3" t="str">
        <f t="shared" si="29"/>
        <v>44</v>
      </c>
      <c r="P80" s="1">
        <f t="shared" si="30"/>
        <v>-0.91694444444444445</v>
      </c>
      <c r="Q80" s="1">
        <f t="shared" si="31"/>
        <v>-29.345555555555556</v>
      </c>
      <c r="R80" s="13" t="s">
        <v>191</v>
      </c>
    </row>
    <row r="81" spans="1:18" ht="15.75" x14ac:dyDescent="0.25">
      <c r="A81" s="3">
        <v>80</v>
      </c>
      <c r="B81" s="3" t="s">
        <v>20</v>
      </c>
      <c r="C81" s="3" t="s">
        <v>15</v>
      </c>
      <c r="D81" s="3" t="s">
        <v>16</v>
      </c>
      <c r="E81" s="8" t="s">
        <v>181</v>
      </c>
      <c r="F81" s="8" t="s">
        <v>182</v>
      </c>
      <c r="G81" s="8" t="s">
        <v>190</v>
      </c>
      <c r="H81" s="3" t="s">
        <v>12</v>
      </c>
      <c r="I81" s="5" t="s">
        <v>97</v>
      </c>
      <c r="J81" s="3" t="str">
        <f t="shared" si="24"/>
        <v>00</v>
      </c>
      <c r="K81" s="3" t="str">
        <f t="shared" si="25"/>
        <v>55</v>
      </c>
      <c r="L81" s="3" t="str">
        <f t="shared" si="26"/>
        <v>01</v>
      </c>
      <c r="M81" s="3" t="str">
        <f t="shared" si="27"/>
        <v>29</v>
      </c>
      <c r="N81" s="3" t="str">
        <f t="shared" si="28"/>
        <v>20</v>
      </c>
      <c r="O81" s="3" t="str">
        <f t="shared" si="29"/>
        <v>44</v>
      </c>
      <c r="P81" s="1">
        <f t="shared" si="30"/>
        <v>-0.91694444444444445</v>
      </c>
      <c r="Q81" s="1">
        <f t="shared" si="31"/>
        <v>-29.345555555555556</v>
      </c>
      <c r="R81" s="13" t="s">
        <v>191</v>
      </c>
    </row>
    <row r="82" spans="1:18" ht="15.75" x14ac:dyDescent="0.25">
      <c r="A82" s="3">
        <v>81</v>
      </c>
      <c r="B82" s="3" t="s">
        <v>21</v>
      </c>
      <c r="C82" s="3" t="s">
        <v>15</v>
      </c>
      <c r="D82" s="3" t="s">
        <v>16</v>
      </c>
      <c r="E82" s="8" t="s">
        <v>155</v>
      </c>
      <c r="F82" s="1" t="s">
        <v>197</v>
      </c>
      <c r="G82" s="8" t="s">
        <v>196</v>
      </c>
      <c r="H82" s="3" t="s">
        <v>12</v>
      </c>
      <c r="I82" s="3" t="s">
        <v>194</v>
      </c>
      <c r="J82" s="3" t="str">
        <f t="shared" si="24"/>
        <v>03</v>
      </c>
      <c r="K82" s="3" t="str">
        <f t="shared" si="25"/>
        <v>45</v>
      </c>
      <c r="L82" s="3" t="e">
        <f t="shared" si="26"/>
        <v>#VALUE!</v>
      </c>
      <c r="M82" s="3" t="str">
        <f t="shared" si="27"/>
        <v xml:space="preserve"> 38</v>
      </c>
      <c r="N82" s="3" t="str">
        <f t="shared" si="28"/>
        <v>13</v>
      </c>
      <c r="O82" s="3" t="e">
        <f t="shared" si="29"/>
        <v>#VALUE!</v>
      </c>
      <c r="P82" s="1" t="e">
        <f t="shared" si="30"/>
        <v>#VALUE!</v>
      </c>
      <c r="Q82" s="1" t="e">
        <f t="shared" si="31"/>
        <v>#VALUE!</v>
      </c>
      <c r="R82" s="13" t="s">
        <v>192</v>
      </c>
    </row>
    <row r="83" spans="1:18" ht="15.75" x14ac:dyDescent="0.25">
      <c r="A83" s="3">
        <v>82</v>
      </c>
      <c r="B83" s="3" t="s">
        <v>21</v>
      </c>
      <c r="C83" s="3" t="s">
        <v>15</v>
      </c>
      <c r="D83" s="3" t="s">
        <v>16</v>
      </c>
      <c r="E83" s="8" t="s">
        <v>155</v>
      </c>
      <c r="F83" s="1" t="s">
        <v>197</v>
      </c>
      <c r="G83" s="8" t="s">
        <v>195</v>
      </c>
      <c r="H83" s="3" t="s">
        <v>12</v>
      </c>
      <c r="I83" s="3" t="s">
        <v>198</v>
      </c>
      <c r="J83" s="3" t="str">
        <f t="shared" si="24"/>
        <v>03</v>
      </c>
      <c r="K83" s="3" t="str">
        <f t="shared" si="25"/>
        <v>45</v>
      </c>
      <c r="L83" s="3" t="e">
        <f t="shared" si="26"/>
        <v>#VALUE!</v>
      </c>
      <c r="M83" s="3" t="str">
        <f t="shared" si="27"/>
        <v xml:space="preserve"> 38</v>
      </c>
      <c r="N83" s="3" t="str">
        <f t="shared" si="28"/>
        <v>13</v>
      </c>
      <c r="O83" s="3" t="e">
        <f t="shared" si="29"/>
        <v>#VALUE!</v>
      </c>
      <c r="P83" s="1" t="e">
        <f t="shared" si="30"/>
        <v>#VALUE!</v>
      </c>
      <c r="Q83" s="1" t="e">
        <f t="shared" si="31"/>
        <v>#VALUE!</v>
      </c>
      <c r="R83" s="13" t="s">
        <v>193</v>
      </c>
    </row>
    <row r="84" spans="1:18" ht="15.75" x14ac:dyDescent="0.25">
      <c r="A84" s="3">
        <v>83</v>
      </c>
      <c r="B84" s="3" t="s">
        <v>21</v>
      </c>
      <c r="C84" s="3" t="s">
        <v>15</v>
      </c>
      <c r="D84" s="3" t="s">
        <v>16</v>
      </c>
      <c r="E84" s="8" t="s">
        <v>199</v>
      </c>
      <c r="F84" s="1" t="s">
        <v>200</v>
      </c>
      <c r="G84" s="8" t="s">
        <v>195</v>
      </c>
      <c r="H84" s="3" t="s">
        <v>12</v>
      </c>
      <c r="I84" s="3" t="s">
        <v>198</v>
      </c>
      <c r="J84" s="3" t="str">
        <f t="shared" ref="J84:J129" si="32">MID(E84,1,FIND("°",E84,1)-1)</f>
        <v>03</v>
      </c>
      <c r="K84" s="3" t="str">
        <f t="shared" ref="K84:K129" si="33">MID(E84,FIND("°",E84,1)+1,(FIND("′",E84,1)-FIND("°",E84,1))-1)</f>
        <v>38</v>
      </c>
      <c r="L84" s="3" t="e">
        <f t="shared" ref="L84:L129" si="34">MID(E84,FIND("′",E84,1)+1,(FIND("″",E84,1)-FIND("′",E84,1))-1)</f>
        <v>#VALUE!</v>
      </c>
      <c r="M84" s="3" t="str">
        <f t="shared" ref="M84:M129" si="35">MID(F84,1,FIND("°",F84,1)-1)</f>
        <v>38</v>
      </c>
      <c r="N84" s="3" t="str">
        <f t="shared" ref="N84:N129" si="36">MID(F84,FIND("°",F84,1)+1,(FIND("′",F84,1)-FIND("°",F84,1))-1)</f>
        <v>13</v>
      </c>
      <c r="O84" s="3" t="e">
        <f t="shared" ref="O84:O129" si="37">MID(F84,FIND("′",F84,1)+1,(FIND("″",F84,1)-FIND("′",F84,1))-1)</f>
        <v>#VALUE!</v>
      </c>
      <c r="P84" s="1" t="e">
        <f t="shared" ref="P84:P129" si="38">((((L84/60)+K84)/60)+J84)*IF(C84="S",-1, 1)</f>
        <v>#VALUE!</v>
      </c>
      <c r="Q84" s="1" t="e">
        <f t="shared" ref="Q84:Q129" si="39">((((O84/60)+N84)/60)+M84)*IF(D84="W",-1, 1)</f>
        <v>#VALUE!</v>
      </c>
      <c r="R84" s="13" t="s">
        <v>193</v>
      </c>
    </row>
    <row r="85" spans="1:18" ht="15.75" x14ac:dyDescent="0.25">
      <c r="A85" s="3">
        <v>84</v>
      </c>
      <c r="B85" s="3" t="s">
        <v>21</v>
      </c>
      <c r="C85" s="3" t="s">
        <v>15</v>
      </c>
      <c r="D85" s="3" t="s">
        <v>16</v>
      </c>
      <c r="E85" s="8" t="s">
        <v>201</v>
      </c>
      <c r="F85" s="1" t="s">
        <v>202</v>
      </c>
      <c r="G85" s="8" t="s">
        <v>195</v>
      </c>
      <c r="H85" s="3" t="s">
        <v>12</v>
      </c>
      <c r="I85" s="3" t="s">
        <v>198</v>
      </c>
      <c r="J85" s="3" t="str">
        <f t="shared" si="32"/>
        <v>03</v>
      </c>
      <c r="K85" s="3" t="str">
        <f t="shared" si="33"/>
        <v>31</v>
      </c>
      <c r="L85" s="3" t="e">
        <f t="shared" si="34"/>
        <v>#VALUE!</v>
      </c>
      <c r="M85" s="3" t="str">
        <f t="shared" si="35"/>
        <v xml:space="preserve"> 38</v>
      </c>
      <c r="N85" s="3" t="str">
        <f t="shared" si="36"/>
        <v>12</v>
      </c>
      <c r="O85" s="3" t="e">
        <f t="shared" si="37"/>
        <v>#VALUE!</v>
      </c>
      <c r="P85" s="1" t="e">
        <f t="shared" si="38"/>
        <v>#VALUE!</v>
      </c>
      <c r="Q85" s="1" t="e">
        <f t="shared" si="39"/>
        <v>#VALUE!</v>
      </c>
      <c r="R85" s="13" t="s">
        <v>193</v>
      </c>
    </row>
    <row r="86" spans="1:18" ht="15.75" x14ac:dyDescent="0.25">
      <c r="A86" s="3">
        <v>85</v>
      </c>
      <c r="B86" s="3" t="s">
        <v>20</v>
      </c>
      <c r="C86" s="3" t="s">
        <v>15</v>
      </c>
      <c r="D86" s="3" t="s">
        <v>16</v>
      </c>
      <c r="E86" s="8" t="s">
        <v>155</v>
      </c>
      <c r="F86" s="1" t="s">
        <v>197</v>
      </c>
      <c r="G86" s="8" t="s">
        <v>195</v>
      </c>
      <c r="H86" s="3" t="s">
        <v>12</v>
      </c>
      <c r="I86" s="3" t="s">
        <v>198</v>
      </c>
      <c r="J86" s="3" t="str">
        <f t="shared" si="32"/>
        <v>03</v>
      </c>
      <c r="K86" s="3" t="str">
        <f t="shared" si="33"/>
        <v>45</v>
      </c>
      <c r="L86" s="3" t="e">
        <f t="shared" si="34"/>
        <v>#VALUE!</v>
      </c>
      <c r="M86" s="3" t="str">
        <f t="shared" si="35"/>
        <v xml:space="preserve"> 38</v>
      </c>
      <c r="N86" s="3" t="str">
        <f t="shared" si="36"/>
        <v>13</v>
      </c>
      <c r="O86" s="3" t="e">
        <f t="shared" si="37"/>
        <v>#VALUE!</v>
      </c>
      <c r="P86" s="1" t="e">
        <f t="shared" si="38"/>
        <v>#VALUE!</v>
      </c>
      <c r="Q86" s="1" t="e">
        <f t="shared" si="39"/>
        <v>#VALUE!</v>
      </c>
      <c r="R86" s="13" t="s">
        <v>193</v>
      </c>
    </row>
    <row r="87" spans="1:18" ht="15.75" x14ac:dyDescent="0.25">
      <c r="A87" s="3">
        <v>86</v>
      </c>
      <c r="B87" s="3" t="s">
        <v>20</v>
      </c>
      <c r="C87" s="3" t="s">
        <v>15</v>
      </c>
      <c r="D87" s="3" t="s">
        <v>16</v>
      </c>
      <c r="E87" s="8" t="s">
        <v>199</v>
      </c>
      <c r="F87" s="1" t="s">
        <v>200</v>
      </c>
      <c r="G87" s="8" t="s">
        <v>195</v>
      </c>
      <c r="H87" s="3" t="s">
        <v>12</v>
      </c>
      <c r="I87" s="3" t="s">
        <v>198</v>
      </c>
      <c r="J87" s="3" t="str">
        <f t="shared" si="32"/>
        <v>03</v>
      </c>
      <c r="K87" s="3" t="str">
        <f t="shared" si="33"/>
        <v>38</v>
      </c>
      <c r="L87" s="3" t="e">
        <f t="shared" si="34"/>
        <v>#VALUE!</v>
      </c>
      <c r="M87" s="3" t="str">
        <f t="shared" si="35"/>
        <v>38</v>
      </c>
      <c r="N87" s="3" t="str">
        <f t="shared" si="36"/>
        <v>13</v>
      </c>
      <c r="O87" s="3" t="e">
        <f t="shared" si="37"/>
        <v>#VALUE!</v>
      </c>
      <c r="P87" s="1" t="e">
        <f t="shared" si="38"/>
        <v>#VALUE!</v>
      </c>
      <c r="Q87" s="1" t="e">
        <f t="shared" si="39"/>
        <v>#VALUE!</v>
      </c>
      <c r="R87" s="13" t="s">
        <v>193</v>
      </c>
    </row>
    <row r="88" spans="1:18" ht="15.75" x14ac:dyDescent="0.25">
      <c r="A88" s="3">
        <v>87</v>
      </c>
      <c r="B88" s="3" t="s">
        <v>20</v>
      </c>
      <c r="C88" s="3" t="s">
        <v>15</v>
      </c>
      <c r="D88" s="3" t="s">
        <v>16</v>
      </c>
      <c r="E88" s="8" t="s">
        <v>201</v>
      </c>
      <c r="F88" s="1" t="s">
        <v>202</v>
      </c>
      <c r="G88" s="8" t="s">
        <v>195</v>
      </c>
      <c r="H88" s="3" t="s">
        <v>12</v>
      </c>
      <c r="I88" s="3" t="s">
        <v>198</v>
      </c>
      <c r="J88" s="3" t="str">
        <f t="shared" si="32"/>
        <v>03</v>
      </c>
      <c r="K88" s="3" t="str">
        <f t="shared" si="33"/>
        <v>31</v>
      </c>
      <c r="L88" s="3" t="e">
        <f t="shared" si="34"/>
        <v>#VALUE!</v>
      </c>
      <c r="M88" s="3" t="str">
        <f t="shared" si="35"/>
        <v xml:space="preserve"> 38</v>
      </c>
      <c r="N88" s="3" t="str">
        <f t="shared" si="36"/>
        <v>12</v>
      </c>
      <c r="O88" s="3" t="e">
        <f t="shared" si="37"/>
        <v>#VALUE!</v>
      </c>
      <c r="P88" s="1" t="e">
        <f t="shared" si="38"/>
        <v>#VALUE!</v>
      </c>
      <c r="Q88" s="1" t="e">
        <f t="shared" si="39"/>
        <v>#VALUE!</v>
      </c>
      <c r="R88" s="13" t="s">
        <v>193</v>
      </c>
    </row>
    <row r="89" spans="1:18" ht="15.75" x14ac:dyDescent="0.25">
      <c r="A89" s="3">
        <v>88</v>
      </c>
      <c r="B89" s="3" t="s">
        <v>20</v>
      </c>
      <c r="C89" s="3" t="s">
        <v>29</v>
      </c>
      <c r="D89" s="3" t="s">
        <v>16</v>
      </c>
      <c r="E89" s="8" t="s">
        <v>207</v>
      </c>
      <c r="F89" s="8" t="s">
        <v>209</v>
      </c>
      <c r="G89" s="8" t="s">
        <v>214</v>
      </c>
      <c r="H89" s="3" t="s">
        <v>12</v>
      </c>
      <c r="I89" s="8" t="s">
        <v>211</v>
      </c>
      <c r="J89" s="3" t="str">
        <f t="shared" si="32"/>
        <v>24</v>
      </c>
      <c r="K89" s="3" t="str">
        <f t="shared" si="33"/>
        <v>49</v>
      </c>
      <c r="L89" s="3" t="str">
        <f t="shared" si="34"/>
        <v>13</v>
      </c>
      <c r="M89" s="3" t="str">
        <f t="shared" si="35"/>
        <v>80</v>
      </c>
      <c r="N89" s="3" t="str">
        <f t="shared" si="36"/>
        <v>48</v>
      </c>
      <c r="O89" s="3" t="str">
        <f t="shared" si="37"/>
        <v>48</v>
      </c>
      <c r="P89" s="1">
        <f t="shared" si="38"/>
        <v>24.820277777777779</v>
      </c>
      <c r="Q89" s="1">
        <f t="shared" si="39"/>
        <v>-80.813333333333333</v>
      </c>
      <c r="R89" s="14" t="s">
        <v>213</v>
      </c>
    </row>
    <row r="90" spans="1:18" ht="15.75" x14ac:dyDescent="0.25">
      <c r="A90" s="3">
        <v>89</v>
      </c>
      <c r="B90" s="3" t="s">
        <v>20</v>
      </c>
      <c r="C90" s="3" t="s">
        <v>29</v>
      </c>
      <c r="D90" s="3" t="s">
        <v>16</v>
      </c>
      <c r="E90" s="8" t="s">
        <v>210</v>
      </c>
      <c r="F90" s="8" t="s">
        <v>208</v>
      </c>
      <c r="G90" s="8" t="s">
        <v>214</v>
      </c>
      <c r="H90" s="3" t="s">
        <v>12</v>
      </c>
      <c r="I90" s="8" t="s">
        <v>212</v>
      </c>
      <c r="J90" s="3" t="str">
        <f t="shared" si="32"/>
        <v>24</v>
      </c>
      <c r="K90" s="3" t="str">
        <f t="shared" si="33"/>
        <v>50</v>
      </c>
      <c r="L90" s="3" t="str">
        <f t="shared" si="34"/>
        <v>55</v>
      </c>
      <c r="M90" s="3" t="str">
        <f t="shared" si="35"/>
        <v>80</v>
      </c>
      <c r="N90" s="3" t="str">
        <f t="shared" si="36"/>
        <v>48</v>
      </c>
      <c r="O90" s="3" t="str">
        <f t="shared" si="37"/>
        <v>03</v>
      </c>
      <c r="P90" s="1">
        <f t="shared" si="38"/>
        <v>24.848611111111111</v>
      </c>
      <c r="Q90" s="1">
        <f t="shared" si="39"/>
        <v>-80.80083333333333</v>
      </c>
      <c r="R90" s="14" t="s">
        <v>213</v>
      </c>
    </row>
    <row r="91" spans="1:18" ht="15.75" x14ac:dyDescent="0.25">
      <c r="A91" s="3">
        <v>90</v>
      </c>
      <c r="B91" s="3" t="s">
        <v>20</v>
      </c>
      <c r="C91" s="3" t="s">
        <v>15</v>
      </c>
      <c r="D91" s="3" t="s">
        <v>16</v>
      </c>
      <c r="E91" s="8" t="s">
        <v>216</v>
      </c>
      <c r="F91" s="1" t="s">
        <v>217</v>
      </c>
      <c r="G91" s="8" t="s">
        <v>218</v>
      </c>
      <c r="H91" s="3" t="s">
        <v>12</v>
      </c>
      <c r="I91" s="3" t="s">
        <v>215</v>
      </c>
      <c r="J91" s="3" t="str">
        <f t="shared" si="32"/>
        <v>05</v>
      </c>
      <c r="K91" s="3" t="str">
        <f t="shared" si="33"/>
        <v>13</v>
      </c>
      <c r="L91" s="3" t="e">
        <f t="shared" si="34"/>
        <v>#VALUE!</v>
      </c>
      <c r="M91" s="3" t="str">
        <f t="shared" si="35"/>
        <v>35</v>
      </c>
      <c r="N91" s="3" t="str">
        <f t="shared" si="36"/>
        <v>10</v>
      </c>
      <c r="O91" s="3" t="e">
        <f t="shared" si="37"/>
        <v>#VALUE!</v>
      </c>
      <c r="P91" s="1" t="e">
        <f t="shared" si="38"/>
        <v>#VALUE!</v>
      </c>
      <c r="Q91" s="1" t="e">
        <f t="shared" si="39"/>
        <v>#VALUE!</v>
      </c>
      <c r="R91" s="13" t="s">
        <v>223</v>
      </c>
    </row>
    <row r="92" spans="1:18" ht="15.75" x14ac:dyDescent="0.25">
      <c r="A92" s="3">
        <v>91</v>
      </c>
      <c r="B92" s="3" t="s">
        <v>20</v>
      </c>
      <c r="C92" s="3" t="s">
        <v>29</v>
      </c>
      <c r="D92" s="3" t="s">
        <v>16</v>
      </c>
      <c r="E92" s="8" t="s">
        <v>221</v>
      </c>
      <c r="F92" s="1" t="s">
        <v>220</v>
      </c>
      <c r="G92" s="8" t="s">
        <v>219</v>
      </c>
      <c r="H92" s="3" t="s">
        <v>12</v>
      </c>
      <c r="I92" s="8" t="s">
        <v>222</v>
      </c>
      <c r="J92" s="3" t="str">
        <f t="shared" si="32"/>
        <v>24</v>
      </c>
      <c r="K92" s="3" t="e">
        <f t="shared" si="33"/>
        <v>#VALUE!</v>
      </c>
      <c r="L92" s="3" t="e">
        <f t="shared" si="34"/>
        <v>#VALUE!</v>
      </c>
      <c r="M92" s="3" t="str">
        <f t="shared" si="35"/>
        <v>80</v>
      </c>
      <c r="N92" s="3" t="e">
        <f t="shared" si="36"/>
        <v>#VALUE!</v>
      </c>
      <c r="O92" s="3" t="e">
        <f t="shared" si="37"/>
        <v>#VALUE!</v>
      </c>
      <c r="P92" s="1" t="e">
        <f t="shared" si="38"/>
        <v>#VALUE!</v>
      </c>
      <c r="Q92" s="1" t="e">
        <f t="shared" si="39"/>
        <v>#VALUE!</v>
      </c>
      <c r="R92" s="13" t="s">
        <v>224</v>
      </c>
    </row>
    <row r="93" spans="1:18" ht="15.75" x14ac:dyDescent="0.25">
      <c r="A93" s="3">
        <v>92</v>
      </c>
      <c r="B93" s="3" t="s">
        <v>20</v>
      </c>
      <c r="C93" s="3" t="s">
        <v>29</v>
      </c>
      <c r="D93" s="3" t="s">
        <v>16</v>
      </c>
      <c r="E93" s="8" t="s">
        <v>226</v>
      </c>
      <c r="F93" s="1" t="s">
        <v>225</v>
      </c>
      <c r="G93" s="8" t="s">
        <v>228</v>
      </c>
      <c r="H93" s="3" t="s">
        <v>12</v>
      </c>
      <c r="I93" s="8" t="s">
        <v>222</v>
      </c>
      <c r="J93" s="3" t="str">
        <f t="shared" si="32"/>
        <v>24</v>
      </c>
      <c r="K93" s="3" t="str">
        <f t="shared" si="33"/>
        <v>78</v>
      </c>
      <c r="L93" s="3" t="e">
        <f t="shared" si="34"/>
        <v>#VALUE!</v>
      </c>
      <c r="M93" s="3" t="str">
        <f t="shared" si="35"/>
        <v xml:space="preserve"> 80</v>
      </c>
      <c r="N93" s="3" t="str">
        <f t="shared" si="36"/>
        <v>92</v>
      </c>
      <c r="O93" s="3" t="e">
        <f t="shared" si="37"/>
        <v>#VALUE!</v>
      </c>
      <c r="P93" s="1" t="e">
        <f t="shared" si="38"/>
        <v>#VALUE!</v>
      </c>
      <c r="Q93" s="1" t="e">
        <f t="shared" si="39"/>
        <v>#VALUE!</v>
      </c>
      <c r="R93" s="13" t="s">
        <v>227</v>
      </c>
    </row>
    <row r="94" spans="1:18" ht="15.75" x14ac:dyDescent="0.25">
      <c r="A94" s="3">
        <v>93</v>
      </c>
      <c r="B94" s="3" t="s">
        <v>20</v>
      </c>
      <c r="C94" s="3" t="s">
        <v>29</v>
      </c>
      <c r="D94" s="3" t="s">
        <v>16</v>
      </c>
      <c r="E94" s="8" t="s">
        <v>229</v>
      </c>
      <c r="F94" s="1" t="s">
        <v>230</v>
      </c>
      <c r="G94" s="8" t="s">
        <v>232</v>
      </c>
      <c r="H94" s="3" t="s">
        <v>12</v>
      </c>
      <c r="I94" s="24" t="s">
        <v>231</v>
      </c>
      <c r="J94" s="3" t="str">
        <f t="shared" si="32"/>
        <v>19</v>
      </c>
      <c r="K94" s="3" t="str">
        <f t="shared" si="33"/>
        <v>27</v>
      </c>
      <c r="L94" s="3" t="str">
        <f t="shared" si="34"/>
        <v>00</v>
      </c>
      <c r="M94" s="3" t="str">
        <f t="shared" si="35"/>
        <v xml:space="preserve"> 87</v>
      </c>
      <c r="N94" s="3" t="str">
        <f t="shared" si="36"/>
        <v>17</v>
      </c>
      <c r="O94" s="3" t="str">
        <f t="shared" si="37"/>
        <v>24</v>
      </c>
      <c r="P94" s="1">
        <f t="shared" si="38"/>
        <v>19.45</v>
      </c>
      <c r="Q94" s="1">
        <f t="shared" si="39"/>
        <v>-87.29</v>
      </c>
      <c r="R94" s="13" t="s">
        <v>233</v>
      </c>
    </row>
    <row r="95" spans="1:18" ht="15.75" x14ac:dyDescent="0.25">
      <c r="A95" s="3">
        <v>94</v>
      </c>
      <c r="B95" s="3" t="s">
        <v>20</v>
      </c>
      <c r="C95" s="3" t="s">
        <v>29</v>
      </c>
      <c r="D95" s="3" t="s">
        <v>16</v>
      </c>
      <c r="E95" s="8" t="s">
        <v>234</v>
      </c>
      <c r="F95" s="1" t="s">
        <v>235</v>
      </c>
      <c r="G95" s="8" t="s">
        <v>236</v>
      </c>
      <c r="H95" s="3" t="s">
        <v>12</v>
      </c>
      <c r="I95" s="24" t="s">
        <v>237</v>
      </c>
      <c r="J95" s="3" t="str">
        <f t="shared" si="32"/>
        <v>25</v>
      </c>
      <c r="K95" s="3" t="str">
        <f t="shared" si="33"/>
        <v>01</v>
      </c>
      <c r="L95" s="3" t="str">
        <f t="shared" si="34"/>
        <v>46</v>
      </c>
      <c r="M95" s="3" t="str">
        <f t="shared" si="35"/>
        <v xml:space="preserve"> 80</v>
      </c>
      <c r="N95" s="3" t="str">
        <f t="shared" si="36"/>
        <v>23</v>
      </c>
      <c r="O95" s="3" t="str">
        <f t="shared" si="37"/>
        <v>53</v>
      </c>
      <c r="P95" s="1">
        <f t="shared" si="38"/>
        <v>25.029444444444444</v>
      </c>
      <c r="Q95" s="1">
        <f t="shared" si="39"/>
        <v>-80.398055555555558</v>
      </c>
      <c r="R95" s="13" t="s">
        <v>238</v>
      </c>
    </row>
    <row r="96" spans="1:18" ht="15.75" x14ac:dyDescent="0.25">
      <c r="A96" s="3">
        <v>95</v>
      </c>
      <c r="B96" s="3" t="s">
        <v>20</v>
      </c>
      <c r="C96" s="3" t="s">
        <v>29</v>
      </c>
      <c r="D96" s="3" t="s">
        <v>16</v>
      </c>
      <c r="E96" s="8" t="s">
        <v>240</v>
      </c>
      <c r="F96" s="1" t="s">
        <v>241</v>
      </c>
      <c r="G96" s="3" t="s">
        <v>242</v>
      </c>
      <c r="H96" s="3" t="s">
        <v>12</v>
      </c>
      <c r="I96" s="8" t="s">
        <v>239</v>
      </c>
      <c r="J96" s="3" t="str">
        <f t="shared" si="32"/>
        <v>25</v>
      </c>
      <c r="K96" s="3" t="str">
        <f t="shared" si="33"/>
        <v>35</v>
      </c>
      <c r="L96" s="3" t="str">
        <f t="shared" si="34"/>
        <v>28</v>
      </c>
      <c r="M96" s="3" t="str">
        <f t="shared" si="35"/>
        <v>80</v>
      </c>
      <c r="N96" s="3" t="str">
        <f t="shared" si="36"/>
        <v>05</v>
      </c>
      <c r="O96" s="3" t="str">
        <f t="shared" si="37"/>
        <v>49</v>
      </c>
      <c r="P96" s="1">
        <f t="shared" si="38"/>
        <v>25.591111111111111</v>
      </c>
      <c r="Q96" s="1">
        <f t="shared" si="39"/>
        <v>-80.096944444444446</v>
      </c>
      <c r="R96" s="13" t="s">
        <v>243</v>
      </c>
    </row>
    <row r="97" spans="1:18" ht="15.75" x14ac:dyDescent="0.25">
      <c r="A97" s="3">
        <v>96</v>
      </c>
      <c r="B97" s="3" t="s">
        <v>20</v>
      </c>
      <c r="C97" s="3" t="s">
        <v>29</v>
      </c>
      <c r="D97" s="3" t="s">
        <v>16</v>
      </c>
      <c r="E97" s="8" t="s">
        <v>245</v>
      </c>
      <c r="F97" s="1" t="s">
        <v>249</v>
      </c>
      <c r="G97" s="8" t="s">
        <v>247</v>
      </c>
      <c r="H97" s="3" t="s">
        <v>12</v>
      </c>
      <c r="I97" s="3" t="s">
        <v>246</v>
      </c>
      <c r="J97" s="3" t="str">
        <f t="shared" si="32"/>
        <v>24</v>
      </c>
      <c r="K97" s="3" t="str">
        <f t="shared" si="33"/>
        <v>50</v>
      </c>
      <c r="L97" s="3" t="str">
        <f t="shared" si="34"/>
        <v>30</v>
      </c>
      <c r="M97" s="3" t="str">
        <f t="shared" si="35"/>
        <v>80</v>
      </c>
      <c r="N97" s="3" t="str">
        <f t="shared" si="36"/>
        <v>47</v>
      </c>
      <c r="O97" s="3" t="str">
        <f t="shared" si="37"/>
        <v>48</v>
      </c>
      <c r="P97" s="1">
        <f t="shared" si="38"/>
        <v>24.841666666666665</v>
      </c>
      <c r="Q97" s="1">
        <f t="shared" si="39"/>
        <v>-80.796666666666667</v>
      </c>
      <c r="R97" s="13" t="s">
        <v>244</v>
      </c>
    </row>
    <row r="98" spans="1:18" ht="15.75" x14ac:dyDescent="0.25">
      <c r="A98" s="3">
        <v>97</v>
      </c>
      <c r="B98" s="3" t="s">
        <v>20</v>
      </c>
      <c r="C98" s="3" t="s">
        <v>29</v>
      </c>
      <c r="D98" s="3" t="s">
        <v>16</v>
      </c>
      <c r="E98" s="8" t="s">
        <v>251</v>
      </c>
      <c r="F98" s="1" t="s">
        <v>252</v>
      </c>
      <c r="G98" s="8" t="s">
        <v>248</v>
      </c>
      <c r="H98" s="3" t="s">
        <v>12</v>
      </c>
      <c r="I98" s="24" t="s">
        <v>253</v>
      </c>
      <c r="J98" s="3" t="str">
        <f t="shared" si="32"/>
        <v>20</v>
      </c>
      <c r="K98" s="3" t="str">
        <f t="shared" si="33"/>
        <v>51</v>
      </c>
      <c r="L98" s="3" t="str">
        <f t="shared" si="34"/>
        <v>00</v>
      </c>
      <c r="M98" s="3" t="str">
        <f t="shared" si="35"/>
        <v>86</v>
      </c>
      <c r="N98" s="3" t="str">
        <f t="shared" si="36"/>
        <v>55</v>
      </c>
      <c r="O98" s="3" t="str">
        <f t="shared" si="37"/>
        <v>00</v>
      </c>
      <c r="P98" s="1">
        <f t="shared" si="38"/>
        <v>20.85</v>
      </c>
      <c r="Q98" s="1">
        <f t="shared" si="39"/>
        <v>-86.916666666666671</v>
      </c>
      <c r="R98" s="13" t="s">
        <v>250</v>
      </c>
    </row>
    <row r="99" spans="1:18" ht="15.75" x14ac:dyDescent="0.25">
      <c r="A99" s="3">
        <v>98</v>
      </c>
      <c r="B99" s="3" t="s">
        <v>20</v>
      </c>
      <c r="C99" s="3" t="s">
        <v>15</v>
      </c>
      <c r="D99" s="3" t="s">
        <v>16</v>
      </c>
      <c r="E99" s="8" t="s">
        <v>257</v>
      </c>
      <c r="F99" s="1" t="s">
        <v>258</v>
      </c>
      <c r="G99" s="8" t="s">
        <v>255</v>
      </c>
      <c r="H99" s="3" t="s">
        <v>12</v>
      </c>
      <c r="I99" s="24" t="s">
        <v>256</v>
      </c>
      <c r="J99" s="3" t="str">
        <f t="shared" si="32"/>
        <v>25</v>
      </c>
      <c r="K99" s="3" t="str">
        <f t="shared" si="33"/>
        <v>36</v>
      </c>
      <c r="L99" s="3" t="str">
        <f t="shared" si="34"/>
        <v>11</v>
      </c>
      <c r="M99" s="3" t="str">
        <f t="shared" si="35"/>
        <v>81</v>
      </c>
      <c r="N99" s="3" t="str">
        <f t="shared" si="36"/>
        <v>24</v>
      </c>
      <c r="O99" s="3" t="str">
        <f t="shared" si="37"/>
        <v>10</v>
      </c>
      <c r="P99" s="1">
        <f t="shared" si="38"/>
        <v>-25.603055555555557</v>
      </c>
      <c r="Q99" s="1">
        <f t="shared" si="39"/>
        <v>-81.402777777777771</v>
      </c>
      <c r="R99" s="13" t="s">
        <v>254</v>
      </c>
    </row>
    <row r="100" spans="1:18" ht="15.75" x14ac:dyDescent="0.25">
      <c r="A100" s="3">
        <v>99</v>
      </c>
      <c r="B100" s="3" t="s">
        <v>20</v>
      </c>
      <c r="C100" s="3" t="s">
        <v>29</v>
      </c>
      <c r="D100" s="3" t="s">
        <v>16</v>
      </c>
      <c r="E100" s="8" t="s">
        <v>28</v>
      </c>
      <c r="F100" s="1" t="s">
        <v>261</v>
      </c>
      <c r="G100" s="8" t="s">
        <v>264</v>
      </c>
      <c r="H100" s="3" t="s">
        <v>12</v>
      </c>
      <c r="I100" s="8" t="s">
        <v>259</v>
      </c>
      <c r="J100" s="3" t="str">
        <f t="shared" si="32"/>
        <v>04</v>
      </c>
      <c r="K100" s="3" t="str">
        <f t="shared" si="33"/>
        <v>26</v>
      </c>
      <c r="L100" s="3" t="e">
        <f t="shared" si="34"/>
        <v>#VALUE!</v>
      </c>
      <c r="M100" s="3" t="str">
        <f t="shared" si="35"/>
        <v xml:space="preserve"> 51</v>
      </c>
      <c r="N100" s="3" t="str">
        <f t="shared" si="36"/>
        <v>32</v>
      </c>
      <c r="O100" s="3" t="e">
        <f t="shared" si="37"/>
        <v>#VALUE!</v>
      </c>
      <c r="P100" s="1" t="e">
        <f t="shared" si="38"/>
        <v>#VALUE!</v>
      </c>
      <c r="Q100" s="1" t="e">
        <f t="shared" si="39"/>
        <v>#VALUE!</v>
      </c>
      <c r="R100" s="13" t="s">
        <v>263</v>
      </c>
    </row>
    <row r="101" spans="1:18" ht="15.75" x14ac:dyDescent="0.25">
      <c r="A101" s="3">
        <v>100</v>
      </c>
      <c r="B101" s="3" t="s">
        <v>20</v>
      </c>
      <c r="C101" s="3" t="s">
        <v>15</v>
      </c>
      <c r="D101" s="3" t="s">
        <v>16</v>
      </c>
      <c r="E101" s="8" t="s">
        <v>172</v>
      </c>
      <c r="F101" s="1" t="s">
        <v>262</v>
      </c>
      <c r="G101" s="8" t="s">
        <v>264</v>
      </c>
      <c r="H101" s="3" t="s">
        <v>12</v>
      </c>
      <c r="I101" s="8" t="s">
        <v>260</v>
      </c>
      <c r="J101" s="3" t="str">
        <f t="shared" si="32"/>
        <v>21</v>
      </c>
      <c r="K101" s="3" t="str">
        <f t="shared" si="33"/>
        <v>17</v>
      </c>
      <c r="L101" s="3" t="e">
        <f t="shared" si="34"/>
        <v>#VALUE!</v>
      </c>
      <c r="M101" s="3" t="str">
        <f t="shared" si="35"/>
        <v>40</v>
      </c>
      <c r="N101" s="3" t="str">
        <f t="shared" si="36"/>
        <v>56</v>
      </c>
      <c r="O101" s="3" t="e">
        <f t="shared" si="37"/>
        <v>#VALUE!</v>
      </c>
      <c r="P101" s="1" t="e">
        <f t="shared" si="38"/>
        <v>#VALUE!</v>
      </c>
      <c r="Q101" s="1" t="e">
        <f t="shared" si="39"/>
        <v>#VALUE!</v>
      </c>
      <c r="R101" s="13" t="s">
        <v>263</v>
      </c>
    </row>
    <row r="102" spans="1:18" ht="15.75" x14ac:dyDescent="0.25">
      <c r="A102" s="3">
        <v>101</v>
      </c>
      <c r="B102" s="3" t="s">
        <v>21</v>
      </c>
      <c r="C102" s="3" t="s">
        <v>29</v>
      </c>
      <c r="D102" s="3" t="s">
        <v>16</v>
      </c>
      <c r="E102" s="8" t="s">
        <v>28</v>
      </c>
      <c r="F102" s="1" t="s">
        <v>261</v>
      </c>
      <c r="G102" s="8" t="s">
        <v>264</v>
      </c>
      <c r="H102" s="3" t="s">
        <v>12</v>
      </c>
      <c r="I102" s="8" t="s">
        <v>259</v>
      </c>
      <c r="J102" s="3" t="str">
        <f t="shared" si="32"/>
        <v>04</v>
      </c>
      <c r="K102" s="3" t="str">
        <f t="shared" si="33"/>
        <v>26</v>
      </c>
      <c r="L102" s="3" t="e">
        <f t="shared" si="34"/>
        <v>#VALUE!</v>
      </c>
      <c r="M102" s="3" t="str">
        <f t="shared" si="35"/>
        <v xml:space="preserve"> 51</v>
      </c>
      <c r="N102" s="3" t="str">
        <f t="shared" si="36"/>
        <v>32</v>
      </c>
      <c r="O102" s="3" t="e">
        <f t="shared" si="37"/>
        <v>#VALUE!</v>
      </c>
      <c r="P102" s="1" t="e">
        <f t="shared" si="38"/>
        <v>#VALUE!</v>
      </c>
      <c r="Q102" s="1" t="e">
        <f t="shared" si="39"/>
        <v>#VALUE!</v>
      </c>
      <c r="R102" s="13" t="s">
        <v>263</v>
      </c>
    </row>
    <row r="103" spans="1:18" ht="15.75" x14ac:dyDescent="0.25">
      <c r="A103" s="3">
        <v>102</v>
      </c>
      <c r="B103" s="3" t="s">
        <v>21</v>
      </c>
      <c r="C103" s="3" t="s">
        <v>15</v>
      </c>
      <c r="D103" s="3" t="s">
        <v>16</v>
      </c>
      <c r="E103" s="8" t="s">
        <v>172</v>
      </c>
      <c r="F103" s="1" t="s">
        <v>262</v>
      </c>
      <c r="G103" s="8" t="s">
        <v>264</v>
      </c>
      <c r="H103" s="3" t="s">
        <v>12</v>
      </c>
      <c r="I103" s="8" t="s">
        <v>260</v>
      </c>
      <c r="J103" s="3" t="str">
        <f t="shared" si="32"/>
        <v>21</v>
      </c>
      <c r="K103" s="3" t="str">
        <f t="shared" si="33"/>
        <v>17</v>
      </c>
      <c r="L103" s="3" t="e">
        <f t="shared" si="34"/>
        <v>#VALUE!</v>
      </c>
      <c r="M103" s="3" t="str">
        <f t="shared" si="35"/>
        <v>40</v>
      </c>
      <c r="N103" s="3" t="str">
        <f t="shared" si="36"/>
        <v>56</v>
      </c>
      <c r="O103" s="3" t="e">
        <f t="shared" si="37"/>
        <v>#VALUE!</v>
      </c>
      <c r="P103" s="1" t="e">
        <f t="shared" si="38"/>
        <v>#VALUE!</v>
      </c>
      <c r="Q103" s="1" t="e">
        <f t="shared" si="39"/>
        <v>#VALUE!</v>
      </c>
      <c r="R103" s="13" t="s">
        <v>263</v>
      </c>
    </row>
    <row r="104" spans="1:18" ht="15.75" x14ac:dyDescent="0.25">
      <c r="A104" s="3">
        <v>103</v>
      </c>
      <c r="B104" s="3" t="s">
        <v>20</v>
      </c>
      <c r="C104" s="3" t="s">
        <v>15</v>
      </c>
      <c r="D104" s="3" t="s">
        <v>16</v>
      </c>
      <c r="E104" s="8" t="s">
        <v>251</v>
      </c>
      <c r="F104" s="1" t="s">
        <v>252</v>
      </c>
      <c r="G104" s="8" t="s">
        <v>267</v>
      </c>
      <c r="H104" s="3" t="s">
        <v>12</v>
      </c>
      <c r="I104" s="8" t="s">
        <v>265</v>
      </c>
      <c r="J104" s="3" t="str">
        <f t="shared" si="32"/>
        <v>20</v>
      </c>
      <c r="K104" s="3" t="str">
        <f t="shared" si="33"/>
        <v>51</v>
      </c>
      <c r="L104" s="3" t="str">
        <f t="shared" si="34"/>
        <v>00</v>
      </c>
      <c r="M104" s="3" t="str">
        <f t="shared" si="35"/>
        <v>86</v>
      </c>
      <c r="N104" s="3" t="str">
        <f t="shared" si="36"/>
        <v>55</v>
      </c>
      <c r="O104" s="3" t="str">
        <f t="shared" si="37"/>
        <v>00</v>
      </c>
      <c r="P104" s="1">
        <f t="shared" si="38"/>
        <v>-20.85</v>
      </c>
      <c r="Q104" s="1">
        <f t="shared" si="39"/>
        <v>-86.916666666666671</v>
      </c>
      <c r="R104" s="13" t="s">
        <v>266</v>
      </c>
    </row>
    <row r="105" spans="1:18" ht="15.75" x14ac:dyDescent="0.25">
      <c r="A105" s="3">
        <v>104</v>
      </c>
      <c r="B105" s="3" t="s">
        <v>20</v>
      </c>
      <c r="C105" s="3" t="s">
        <v>29</v>
      </c>
      <c r="D105" s="3" t="s">
        <v>16</v>
      </c>
      <c r="E105" s="7" t="s">
        <v>270</v>
      </c>
      <c r="F105" t="s">
        <v>271</v>
      </c>
      <c r="G105" t="s">
        <v>459</v>
      </c>
      <c r="H105" s="3" t="s">
        <v>68</v>
      </c>
      <c r="I105" s="3" t="s">
        <v>268</v>
      </c>
      <c r="J105" s="3" t="str">
        <f t="shared" si="32"/>
        <v>24</v>
      </c>
      <c r="K105" s="3" t="str">
        <f t="shared" si="33"/>
        <v>43</v>
      </c>
      <c r="L105" s="3" t="str">
        <f t="shared" si="34"/>
        <v>57</v>
      </c>
      <c r="M105" s="3" t="str">
        <f t="shared" si="35"/>
        <v>81</v>
      </c>
      <c r="N105" s="3" t="str">
        <f t="shared" si="36"/>
        <v>05</v>
      </c>
      <c r="O105" s="3" t="str">
        <f t="shared" si="37"/>
        <v>38</v>
      </c>
      <c r="P105" s="1">
        <f t="shared" si="38"/>
        <v>24.732500000000002</v>
      </c>
      <c r="Q105" s="1">
        <f t="shared" si="39"/>
        <v>-81.093888888888884</v>
      </c>
      <c r="R105" s="13" t="s">
        <v>269</v>
      </c>
    </row>
    <row r="106" spans="1:18" ht="15.75" x14ac:dyDescent="0.25">
      <c r="A106" s="3">
        <v>105</v>
      </c>
      <c r="B106" s="3" t="s">
        <v>20</v>
      </c>
      <c r="C106" s="3" t="s">
        <v>29</v>
      </c>
      <c r="D106" s="3" t="s">
        <v>16</v>
      </c>
      <c r="E106" t="s">
        <v>272</v>
      </c>
      <c r="F106" t="s">
        <v>283</v>
      </c>
      <c r="G106" t="s">
        <v>459</v>
      </c>
      <c r="H106" s="3" t="s">
        <v>68</v>
      </c>
      <c r="I106" s="3" t="s">
        <v>268</v>
      </c>
      <c r="J106" s="3" t="str">
        <f t="shared" si="32"/>
        <v>24</v>
      </c>
      <c r="K106" s="3" t="str">
        <f t="shared" si="33"/>
        <v>44</v>
      </c>
      <c r="L106" s="3" t="str">
        <f t="shared" si="34"/>
        <v>56</v>
      </c>
      <c r="M106" s="3" t="str">
        <f t="shared" si="35"/>
        <v>81</v>
      </c>
      <c r="N106" s="3" t="str">
        <f t="shared" si="36"/>
        <v>02</v>
      </c>
      <c r="O106" s="3" t="str">
        <f t="shared" si="37"/>
        <v>50</v>
      </c>
      <c r="P106" s="1">
        <f t="shared" si="38"/>
        <v>24.748888888888889</v>
      </c>
      <c r="Q106" s="1">
        <f t="shared" si="39"/>
        <v>-81.047222222222217</v>
      </c>
      <c r="R106" s="13" t="s">
        <v>269</v>
      </c>
    </row>
    <row r="107" spans="1:18" ht="15.75" x14ac:dyDescent="0.25">
      <c r="A107" s="3">
        <v>106</v>
      </c>
      <c r="B107" s="3" t="s">
        <v>20</v>
      </c>
      <c r="C107" s="3" t="s">
        <v>29</v>
      </c>
      <c r="D107" s="3" t="s">
        <v>16</v>
      </c>
      <c r="E107" t="s">
        <v>273</v>
      </c>
      <c r="F107" t="s">
        <v>284</v>
      </c>
      <c r="G107" t="s">
        <v>459</v>
      </c>
      <c r="H107" s="3" t="s">
        <v>68</v>
      </c>
      <c r="I107" s="3" t="s">
        <v>268</v>
      </c>
      <c r="J107" s="3" t="str">
        <f t="shared" si="32"/>
        <v>24</v>
      </c>
      <c r="K107" s="3" t="str">
        <f t="shared" si="33"/>
        <v>46</v>
      </c>
      <c r="L107" s="3" t="str">
        <f t="shared" si="34"/>
        <v>10</v>
      </c>
      <c r="M107" s="3" t="str">
        <f t="shared" si="35"/>
        <v>80</v>
      </c>
      <c r="N107" s="3" t="str">
        <f t="shared" si="36"/>
        <v>58</v>
      </c>
      <c r="O107" s="3" t="str">
        <f t="shared" si="37"/>
        <v>45</v>
      </c>
      <c r="P107" s="1">
        <f t="shared" si="38"/>
        <v>24.769444444444446</v>
      </c>
      <c r="Q107" s="1">
        <f t="shared" si="39"/>
        <v>-80.979166666666671</v>
      </c>
      <c r="R107" s="13" t="s">
        <v>269</v>
      </c>
    </row>
    <row r="108" spans="1:18" ht="15.75" x14ac:dyDescent="0.25">
      <c r="A108" s="3">
        <v>107</v>
      </c>
      <c r="B108" s="3" t="s">
        <v>20</v>
      </c>
      <c r="C108" s="3" t="s">
        <v>29</v>
      </c>
      <c r="D108" s="3" t="s">
        <v>16</v>
      </c>
      <c r="E108" t="s">
        <v>274</v>
      </c>
      <c r="F108" t="s">
        <v>285</v>
      </c>
      <c r="G108" t="s">
        <v>459</v>
      </c>
      <c r="H108" s="3" t="s">
        <v>68</v>
      </c>
      <c r="I108" s="3" t="s">
        <v>268</v>
      </c>
      <c r="J108" s="3" t="str">
        <f t="shared" si="32"/>
        <v>24</v>
      </c>
      <c r="K108" s="3" t="str">
        <f t="shared" si="33"/>
        <v>47</v>
      </c>
      <c r="L108" s="3" t="str">
        <f t="shared" si="34"/>
        <v>50</v>
      </c>
      <c r="M108" s="3" t="str">
        <f t="shared" si="35"/>
        <v>81</v>
      </c>
      <c r="N108" s="3" t="str">
        <f t="shared" si="36"/>
        <v>01</v>
      </c>
      <c r="O108" s="3" t="str">
        <f t="shared" si="37"/>
        <v>35</v>
      </c>
      <c r="P108" s="1">
        <f t="shared" si="38"/>
        <v>24.797222222222221</v>
      </c>
      <c r="Q108" s="1">
        <f t="shared" si="39"/>
        <v>-81.026388888888889</v>
      </c>
      <c r="R108" s="13" t="s">
        <v>269</v>
      </c>
    </row>
    <row r="109" spans="1:18" ht="15.75" x14ac:dyDescent="0.25">
      <c r="A109" s="3">
        <v>108</v>
      </c>
      <c r="B109" s="3" t="s">
        <v>20</v>
      </c>
      <c r="C109" s="3" t="s">
        <v>29</v>
      </c>
      <c r="D109" s="3" t="s">
        <v>16</v>
      </c>
      <c r="E109" t="s">
        <v>275</v>
      </c>
      <c r="F109" t="s">
        <v>286</v>
      </c>
      <c r="G109" t="s">
        <v>459</v>
      </c>
      <c r="H109" s="3" t="s">
        <v>68</v>
      </c>
      <c r="I109" s="3" t="s">
        <v>268</v>
      </c>
      <c r="J109" s="3" t="str">
        <f t="shared" si="32"/>
        <v>24</v>
      </c>
      <c r="K109" s="3" t="str">
        <f t="shared" si="33"/>
        <v>49</v>
      </c>
      <c r="L109" s="3" t="str">
        <f t="shared" si="34"/>
        <v>35</v>
      </c>
      <c r="M109" s="3" t="str">
        <f t="shared" si="35"/>
        <v>80</v>
      </c>
      <c r="N109" s="3" t="str">
        <f t="shared" si="36"/>
        <v>58</v>
      </c>
      <c r="O109" s="3" t="str">
        <f t="shared" si="37"/>
        <v>55</v>
      </c>
      <c r="P109" s="1">
        <f t="shared" si="38"/>
        <v>24.826388888888889</v>
      </c>
      <c r="Q109" s="1">
        <f t="shared" si="39"/>
        <v>-80.981944444444451</v>
      </c>
      <c r="R109" s="13" t="s">
        <v>269</v>
      </c>
    </row>
    <row r="110" spans="1:18" ht="15.75" x14ac:dyDescent="0.25">
      <c r="A110" s="3">
        <v>109</v>
      </c>
      <c r="B110" s="3" t="s">
        <v>20</v>
      </c>
      <c r="C110" s="3" t="s">
        <v>29</v>
      </c>
      <c r="D110" s="3" t="s">
        <v>16</v>
      </c>
      <c r="E110" t="s">
        <v>276</v>
      </c>
      <c r="F110" t="s">
        <v>287</v>
      </c>
      <c r="G110" t="s">
        <v>459</v>
      </c>
      <c r="H110" s="3" t="s">
        <v>68</v>
      </c>
      <c r="I110" s="3" t="s">
        <v>268</v>
      </c>
      <c r="J110" s="3" t="str">
        <f t="shared" si="32"/>
        <v>24</v>
      </c>
      <c r="K110" s="3" t="str">
        <f t="shared" si="33"/>
        <v>49</v>
      </c>
      <c r="L110" s="3" t="str">
        <f t="shared" si="34"/>
        <v>15</v>
      </c>
      <c r="M110" s="3" t="str">
        <f t="shared" si="35"/>
        <v>80</v>
      </c>
      <c r="N110" s="3" t="str">
        <f t="shared" si="36"/>
        <v>55</v>
      </c>
      <c r="O110" s="3" t="str">
        <f t="shared" si="37"/>
        <v>21</v>
      </c>
      <c r="P110" s="1">
        <f t="shared" si="38"/>
        <v>24.820833333333333</v>
      </c>
      <c r="Q110" s="1">
        <f t="shared" si="39"/>
        <v>-80.922499999999999</v>
      </c>
      <c r="R110" s="13" t="s">
        <v>269</v>
      </c>
    </row>
    <row r="111" spans="1:18" ht="15.75" x14ac:dyDescent="0.25">
      <c r="A111" s="3">
        <v>110</v>
      </c>
      <c r="B111" s="3" t="s">
        <v>20</v>
      </c>
      <c r="C111" s="3" t="s">
        <v>29</v>
      </c>
      <c r="D111" s="3" t="s">
        <v>16</v>
      </c>
      <c r="E111" t="s">
        <v>277</v>
      </c>
      <c r="F111" t="s">
        <v>288</v>
      </c>
      <c r="G111" t="s">
        <v>459</v>
      </c>
      <c r="H111" s="3" t="s">
        <v>68</v>
      </c>
      <c r="I111" s="3" t="s">
        <v>268</v>
      </c>
      <c r="J111" s="3" t="str">
        <f t="shared" si="32"/>
        <v>24</v>
      </c>
      <c r="K111" s="3" t="str">
        <f t="shared" si="33"/>
        <v>49</v>
      </c>
      <c r="L111" s="3" t="str">
        <f t="shared" si="34"/>
        <v>05</v>
      </c>
      <c r="M111" s="3" t="str">
        <f t="shared" si="35"/>
        <v>80</v>
      </c>
      <c r="N111" s="3" t="str">
        <f t="shared" si="36"/>
        <v>52</v>
      </c>
      <c r="O111" s="3" t="str">
        <f t="shared" si="37"/>
        <v>01</v>
      </c>
      <c r="P111" s="1">
        <f t="shared" si="38"/>
        <v>24.818055555555556</v>
      </c>
      <c r="Q111" s="1">
        <f t="shared" si="39"/>
        <v>-80.866944444444442</v>
      </c>
      <c r="R111" s="13" t="s">
        <v>269</v>
      </c>
    </row>
    <row r="112" spans="1:18" ht="15.75" x14ac:dyDescent="0.25">
      <c r="A112" s="3">
        <v>111</v>
      </c>
      <c r="B112" s="3" t="s">
        <v>20</v>
      </c>
      <c r="C112" s="3" t="s">
        <v>29</v>
      </c>
      <c r="D112" s="3" t="s">
        <v>16</v>
      </c>
      <c r="E112" t="s">
        <v>278</v>
      </c>
      <c r="F112" t="s">
        <v>289</v>
      </c>
      <c r="G112" t="s">
        <v>459</v>
      </c>
      <c r="H112" s="3" t="s">
        <v>68</v>
      </c>
      <c r="I112" s="3" t="s">
        <v>268</v>
      </c>
      <c r="J112" s="3" t="str">
        <f t="shared" si="32"/>
        <v>24</v>
      </c>
      <c r="K112" s="3" t="str">
        <f t="shared" si="33"/>
        <v>52</v>
      </c>
      <c r="L112" s="3" t="str">
        <f t="shared" si="34"/>
        <v>08</v>
      </c>
      <c r="M112" s="3" t="str">
        <f t="shared" si="35"/>
        <v>80</v>
      </c>
      <c r="N112" s="3" t="str">
        <f t="shared" si="36"/>
        <v>50</v>
      </c>
      <c r="O112" s="3" t="str">
        <f t="shared" si="37"/>
        <v>48</v>
      </c>
      <c r="P112" s="1">
        <f t="shared" si="38"/>
        <v>24.86888888888889</v>
      </c>
      <c r="Q112" s="1">
        <f t="shared" si="39"/>
        <v>-80.846666666666664</v>
      </c>
      <c r="R112" s="13" t="s">
        <v>269</v>
      </c>
    </row>
    <row r="113" spans="1:18" ht="15.75" x14ac:dyDescent="0.25">
      <c r="A113" s="3">
        <v>112</v>
      </c>
      <c r="B113" s="3" t="s">
        <v>20</v>
      </c>
      <c r="C113" s="3" t="s">
        <v>29</v>
      </c>
      <c r="D113" s="3" t="s">
        <v>16</v>
      </c>
      <c r="E113" t="s">
        <v>279</v>
      </c>
      <c r="F113" t="s">
        <v>290</v>
      </c>
      <c r="G113" t="s">
        <v>459</v>
      </c>
      <c r="H113" s="3" t="s">
        <v>68</v>
      </c>
      <c r="I113" s="3" t="s">
        <v>268</v>
      </c>
      <c r="J113" s="3" t="str">
        <f t="shared" si="32"/>
        <v>24</v>
      </c>
      <c r="K113" s="3" t="str">
        <f t="shared" si="33"/>
        <v>51</v>
      </c>
      <c r="L113" s="3" t="str">
        <f t="shared" si="34"/>
        <v>13</v>
      </c>
      <c r="M113" s="3" t="str">
        <f t="shared" si="35"/>
        <v>80</v>
      </c>
      <c r="N113" s="3" t="str">
        <f t="shared" si="36"/>
        <v>46</v>
      </c>
      <c r="O113" s="3" t="str">
        <f t="shared" si="37"/>
        <v>57</v>
      </c>
      <c r="P113" s="1">
        <f t="shared" si="38"/>
        <v>24.85361111111111</v>
      </c>
      <c r="Q113" s="1">
        <f t="shared" si="39"/>
        <v>-80.782499999999999</v>
      </c>
      <c r="R113" s="13" t="s">
        <v>269</v>
      </c>
    </row>
    <row r="114" spans="1:18" ht="15.75" x14ac:dyDescent="0.25">
      <c r="A114" s="3">
        <v>113</v>
      </c>
      <c r="B114" s="3" t="s">
        <v>20</v>
      </c>
      <c r="C114" s="3" t="s">
        <v>29</v>
      </c>
      <c r="D114" s="3" t="s">
        <v>16</v>
      </c>
      <c r="E114" t="s">
        <v>280</v>
      </c>
      <c r="F114" t="s">
        <v>291</v>
      </c>
      <c r="G114" t="s">
        <v>459</v>
      </c>
      <c r="H114" s="3" t="s">
        <v>68</v>
      </c>
      <c r="I114" s="3" t="s">
        <v>268</v>
      </c>
      <c r="J114" s="3" t="str">
        <f t="shared" si="32"/>
        <v>24</v>
      </c>
      <c r="K114" s="3" t="str">
        <f t="shared" si="33"/>
        <v>53</v>
      </c>
      <c r="L114" s="3" t="str">
        <f t="shared" si="34"/>
        <v>06</v>
      </c>
      <c r="M114" s="3" t="str">
        <f t="shared" si="35"/>
        <v>80</v>
      </c>
      <c r="N114" s="3" t="str">
        <f t="shared" si="36"/>
        <v>45</v>
      </c>
      <c r="O114" s="3" t="str">
        <f t="shared" si="37"/>
        <v>27</v>
      </c>
      <c r="P114" s="1">
        <f t="shared" si="38"/>
        <v>24.885000000000002</v>
      </c>
      <c r="Q114" s="1">
        <f t="shared" si="39"/>
        <v>-80.757499999999993</v>
      </c>
      <c r="R114" s="13" t="s">
        <v>269</v>
      </c>
    </row>
    <row r="115" spans="1:18" ht="15.75" x14ac:dyDescent="0.25">
      <c r="A115" s="3">
        <v>114</v>
      </c>
      <c r="B115" s="3" t="s">
        <v>20</v>
      </c>
      <c r="C115" s="3" t="s">
        <v>29</v>
      </c>
      <c r="D115" s="3" t="s">
        <v>16</v>
      </c>
      <c r="E115" t="s">
        <v>281</v>
      </c>
      <c r="F115" t="s">
        <v>292</v>
      </c>
      <c r="G115" t="s">
        <v>459</v>
      </c>
      <c r="H115" s="3" t="s">
        <v>68</v>
      </c>
      <c r="I115" s="3" t="s">
        <v>268</v>
      </c>
      <c r="J115" s="3" t="str">
        <f t="shared" si="32"/>
        <v>24</v>
      </c>
      <c r="K115" s="3" t="str">
        <f t="shared" si="33"/>
        <v>41</v>
      </c>
      <c r="L115" s="3" t="str">
        <f t="shared" si="34"/>
        <v>55</v>
      </c>
      <c r="M115" s="3" t="str">
        <f t="shared" si="35"/>
        <v>81</v>
      </c>
      <c r="N115" s="3" t="str">
        <f t="shared" si="36"/>
        <v>23</v>
      </c>
      <c r="O115" s="3" t="str">
        <f t="shared" si="37"/>
        <v>50</v>
      </c>
      <c r="P115" s="1">
        <f t="shared" si="38"/>
        <v>24.698611111111113</v>
      </c>
      <c r="Q115" s="1">
        <f t="shared" si="39"/>
        <v>-81.397222222222226</v>
      </c>
      <c r="R115" s="13" t="s">
        <v>269</v>
      </c>
    </row>
    <row r="116" spans="1:18" ht="15.75" x14ac:dyDescent="0.25">
      <c r="A116" s="3">
        <v>115</v>
      </c>
      <c r="B116" s="3" t="s">
        <v>20</v>
      </c>
      <c r="C116" s="3" t="s">
        <v>29</v>
      </c>
      <c r="D116" s="3" t="s">
        <v>16</v>
      </c>
      <c r="E116" t="s">
        <v>282</v>
      </c>
      <c r="F116" t="s">
        <v>293</v>
      </c>
      <c r="G116" t="s">
        <v>459</v>
      </c>
      <c r="H116" s="3" t="s">
        <v>68</v>
      </c>
      <c r="I116" s="3" t="s">
        <v>268</v>
      </c>
      <c r="J116" s="3" t="str">
        <f t="shared" si="32"/>
        <v>24</v>
      </c>
      <c r="K116" s="3" t="str">
        <f t="shared" si="33"/>
        <v>44</v>
      </c>
      <c r="L116" s="3" t="str">
        <f t="shared" si="34"/>
        <v>45</v>
      </c>
      <c r="M116" s="3" t="str">
        <f t="shared" si="35"/>
        <v>81</v>
      </c>
      <c r="N116" s="3" t="str">
        <f t="shared" si="36"/>
        <v>26</v>
      </c>
      <c r="O116" s="3" t="str">
        <f t="shared" si="37"/>
        <v>07</v>
      </c>
      <c r="P116" s="1">
        <f t="shared" si="38"/>
        <v>24.745833333333334</v>
      </c>
      <c r="Q116" s="1">
        <f t="shared" si="39"/>
        <v>-81.435277777777785</v>
      </c>
      <c r="R116" s="13" t="s">
        <v>269</v>
      </c>
    </row>
    <row r="117" spans="1:18" ht="15.75" x14ac:dyDescent="0.25">
      <c r="A117" s="3">
        <v>116</v>
      </c>
      <c r="B117" s="3" t="s">
        <v>45</v>
      </c>
      <c r="C117" s="3" t="s">
        <v>29</v>
      </c>
      <c r="D117" s="3" t="s">
        <v>16</v>
      </c>
      <c r="E117" t="s">
        <v>296</v>
      </c>
      <c r="F117" t="s">
        <v>298</v>
      </c>
      <c r="G117" s="3" t="s">
        <v>294</v>
      </c>
      <c r="H117" s="3" t="s">
        <v>68</v>
      </c>
      <c r="I117" s="3" t="s">
        <v>295</v>
      </c>
      <c r="J117" s="3" t="str">
        <f t="shared" si="32"/>
        <v>19</v>
      </c>
      <c r="K117" s="3" t="str">
        <f t="shared" si="33"/>
        <v>41</v>
      </c>
      <c r="L117" s="3" t="str">
        <f t="shared" si="34"/>
        <v>54</v>
      </c>
      <c r="M117" s="3" t="str">
        <f t="shared" si="35"/>
        <v>87</v>
      </c>
      <c r="N117" s="3" t="str">
        <f t="shared" si="36"/>
        <v>27</v>
      </c>
      <c r="O117" s="3" t="str">
        <f t="shared" si="37"/>
        <v>43</v>
      </c>
      <c r="P117" s="1">
        <f t="shared" si="38"/>
        <v>19.698333333333334</v>
      </c>
      <c r="Q117" s="1">
        <f t="shared" si="39"/>
        <v>-87.461944444444441</v>
      </c>
      <c r="R117" s="13" t="s">
        <v>55</v>
      </c>
    </row>
    <row r="118" spans="1:18" ht="15.75" x14ac:dyDescent="0.25">
      <c r="A118" s="3">
        <v>117</v>
      </c>
      <c r="B118" s="3" t="s">
        <v>45</v>
      </c>
      <c r="C118" s="3" t="s">
        <v>29</v>
      </c>
      <c r="D118" s="3" t="s">
        <v>16</v>
      </c>
      <c r="E118" t="s">
        <v>297</v>
      </c>
      <c r="F118" t="s">
        <v>299</v>
      </c>
      <c r="G118" s="3" t="s">
        <v>294</v>
      </c>
      <c r="H118" s="3" t="s">
        <v>68</v>
      </c>
      <c r="I118" s="3" t="s">
        <v>295</v>
      </c>
      <c r="J118" s="3" t="str">
        <f t="shared" si="32"/>
        <v>19</v>
      </c>
      <c r="K118" s="3" t="str">
        <f t="shared" si="33"/>
        <v>43</v>
      </c>
      <c r="L118" s="3" t="str">
        <f t="shared" si="34"/>
        <v>35</v>
      </c>
      <c r="M118" s="3" t="str">
        <f t="shared" si="35"/>
        <v>87</v>
      </c>
      <c r="N118" s="3" t="str">
        <f t="shared" si="36"/>
        <v>25</v>
      </c>
      <c r="O118" s="3" t="str">
        <f t="shared" si="37"/>
        <v>06</v>
      </c>
      <c r="P118" s="1">
        <f t="shared" si="38"/>
        <v>19.726388888888888</v>
      </c>
      <c r="Q118" s="1">
        <f t="shared" si="39"/>
        <v>-87.418333333333337</v>
      </c>
      <c r="R118" s="13" t="s">
        <v>55</v>
      </c>
    </row>
    <row r="119" spans="1:18" ht="15.75" x14ac:dyDescent="0.25">
      <c r="A119" s="3">
        <v>118</v>
      </c>
      <c r="B119" s="3" t="s">
        <v>21</v>
      </c>
      <c r="C119" s="3" t="s">
        <v>29</v>
      </c>
      <c r="D119" s="3" t="s">
        <v>16</v>
      </c>
      <c r="E119" t="s">
        <v>300</v>
      </c>
      <c r="F119" t="s">
        <v>304</v>
      </c>
      <c r="G119" s="3" t="s">
        <v>294</v>
      </c>
      <c r="H119" s="3" t="s">
        <v>68</v>
      </c>
      <c r="I119" s="3" t="s">
        <v>295</v>
      </c>
      <c r="J119" s="3" t="str">
        <f t="shared" si="32"/>
        <v>19</v>
      </c>
      <c r="K119" s="3" t="str">
        <f t="shared" si="33"/>
        <v>44</v>
      </c>
      <c r="L119" s="3" t="str">
        <f t="shared" si="34"/>
        <v>04</v>
      </c>
      <c r="M119" s="3" t="str">
        <f t="shared" si="35"/>
        <v>87</v>
      </c>
      <c r="N119" s="3" t="str">
        <f t="shared" si="36"/>
        <v>25</v>
      </c>
      <c r="O119" s="3" t="str">
        <f t="shared" si="37"/>
        <v>23</v>
      </c>
      <c r="P119" s="1">
        <f t="shared" si="38"/>
        <v>19.734444444444446</v>
      </c>
      <c r="Q119" s="1">
        <f t="shared" si="39"/>
        <v>-87.42305555555555</v>
      </c>
      <c r="R119" s="13" t="s">
        <v>55</v>
      </c>
    </row>
    <row r="120" spans="1:18" ht="15.75" x14ac:dyDescent="0.25">
      <c r="A120" s="3">
        <v>119</v>
      </c>
      <c r="B120" s="3" t="s">
        <v>21</v>
      </c>
      <c r="C120" s="3" t="s">
        <v>29</v>
      </c>
      <c r="D120" s="3" t="s">
        <v>16</v>
      </c>
      <c r="E120" t="s">
        <v>301</v>
      </c>
      <c r="F120" t="s">
        <v>305</v>
      </c>
      <c r="G120" s="3" t="s">
        <v>294</v>
      </c>
      <c r="H120" s="3" t="s">
        <v>68</v>
      </c>
      <c r="I120" s="3" t="s">
        <v>295</v>
      </c>
      <c r="J120" s="3" t="str">
        <f t="shared" si="32"/>
        <v>19</v>
      </c>
      <c r="K120" s="3" t="str">
        <f t="shared" si="33"/>
        <v>46</v>
      </c>
      <c r="L120" s="3" t="str">
        <f t="shared" si="34"/>
        <v>33</v>
      </c>
      <c r="M120" s="3" t="str">
        <f t="shared" si="35"/>
        <v>87</v>
      </c>
      <c r="N120" s="3" t="str">
        <f t="shared" si="36"/>
        <v>28</v>
      </c>
      <c r="O120" s="3" t="str">
        <f t="shared" si="37"/>
        <v>37</v>
      </c>
      <c r="P120" s="1">
        <f t="shared" si="38"/>
        <v>19.775833333333335</v>
      </c>
      <c r="Q120" s="1">
        <f t="shared" si="39"/>
        <v>-87.476944444444442</v>
      </c>
      <c r="R120" s="13" t="s">
        <v>55</v>
      </c>
    </row>
    <row r="121" spans="1:18" ht="15.75" x14ac:dyDescent="0.25">
      <c r="A121" s="3">
        <v>120</v>
      </c>
      <c r="B121" s="3" t="s">
        <v>21</v>
      </c>
      <c r="C121" s="3" t="s">
        <v>29</v>
      </c>
      <c r="D121" s="3" t="s">
        <v>16</v>
      </c>
      <c r="E121" t="s">
        <v>302</v>
      </c>
      <c r="F121" t="s">
        <v>306</v>
      </c>
      <c r="G121" s="3" t="s">
        <v>294</v>
      </c>
      <c r="H121" s="3" t="s">
        <v>68</v>
      </c>
      <c r="I121" s="3" t="s">
        <v>295</v>
      </c>
      <c r="J121" s="3" t="str">
        <f t="shared" si="32"/>
        <v>19</v>
      </c>
      <c r="K121" s="3" t="str">
        <f t="shared" si="33"/>
        <v>38</v>
      </c>
      <c r="L121" s="3" t="str">
        <f t="shared" si="34"/>
        <v>59</v>
      </c>
      <c r="M121" s="3" t="str">
        <f t="shared" si="35"/>
        <v>87</v>
      </c>
      <c r="N121" s="3" t="str">
        <f t="shared" si="36"/>
        <v>27</v>
      </c>
      <c r="O121" s="3" t="str">
        <f t="shared" si="37"/>
        <v>21</v>
      </c>
      <c r="P121" s="1">
        <f t="shared" si="38"/>
        <v>19.649722222222223</v>
      </c>
      <c r="Q121" s="1">
        <f t="shared" si="39"/>
        <v>-87.455833333333331</v>
      </c>
      <c r="R121" s="13" t="s">
        <v>55</v>
      </c>
    </row>
    <row r="122" spans="1:18" ht="15.75" x14ac:dyDescent="0.25">
      <c r="A122" s="3">
        <v>121</v>
      </c>
      <c r="B122" s="3" t="s">
        <v>21</v>
      </c>
      <c r="C122" s="3" t="s">
        <v>29</v>
      </c>
      <c r="D122" s="3" t="s">
        <v>16</v>
      </c>
      <c r="E122" t="s">
        <v>303</v>
      </c>
      <c r="F122" t="s">
        <v>307</v>
      </c>
      <c r="G122" s="3" t="s">
        <v>294</v>
      </c>
      <c r="H122" s="3" t="s">
        <v>68</v>
      </c>
      <c r="I122" s="3" t="s">
        <v>295</v>
      </c>
      <c r="J122" s="3" t="str">
        <f t="shared" si="32"/>
        <v>19</v>
      </c>
      <c r="K122" s="3" t="str">
        <f t="shared" si="33"/>
        <v>38</v>
      </c>
      <c r="L122" s="3" t="str">
        <f t="shared" si="34"/>
        <v>36</v>
      </c>
      <c r="M122" s="3" t="str">
        <f t="shared" si="35"/>
        <v>87</v>
      </c>
      <c r="N122" s="3" t="str">
        <f t="shared" si="36"/>
        <v>27</v>
      </c>
      <c r="O122" s="3" t="str">
        <f t="shared" si="37"/>
        <v>36</v>
      </c>
      <c r="P122" s="1">
        <f t="shared" si="38"/>
        <v>19.643333333333334</v>
      </c>
      <c r="Q122" s="1">
        <f t="shared" si="39"/>
        <v>-87.46</v>
      </c>
      <c r="R122" s="13" t="s">
        <v>55</v>
      </c>
    </row>
    <row r="123" spans="1:18" ht="15.75" x14ac:dyDescent="0.25">
      <c r="A123" s="3">
        <v>122</v>
      </c>
      <c r="B123" s="3" t="s">
        <v>45</v>
      </c>
      <c r="C123" s="3" t="s">
        <v>29</v>
      </c>
      <c r="D123" s="3" t="s">
        <v>16</v>
      </c>
      <c r="E123" t="s">
        <v>310</v>
      </c>
      <c r="F123" t="s">
        <v>315</v>
      </c>
      <c r="G123" s="3" t="s">
        <v>308</v>
      </c>
      <c r="H123" s="3" t="s">
        <v>68</v>
      </c>
      <c r="I123" s="3" t="s">
        <v>309</v>
      </c>
      <c r="J123" s="3" t="str">
        <f t="shared" si="32"/>
        <v>01</v>
      </c>
      <c r="K123" s="3" t="str">
        <f t="shared" si="33"/>
        <v>45</v>
      </c>
      <c r="L123" s="3" t="str">
        <f t="shared" si="34"/>
        <v>10</v>
      </c>
      <c r="M123" s="3" t="str">
        <f t="shared" si="35"/>
        <v>48</v>
      </c>
      <c r="N123" s="3" t="str">
        <f t="shared" si="36"/>
        <v>12</v>
      </c>
      <c r="O123" s="3" t="str">
        <f t="shared" si="37"/>
        <v>56</v>
      </c>
      <c r="P123" s="1">
        <f t="shared" si="38"/>
        <v>1.7527777777777778</v>
      </c>
      <c r="Q123" s="1">
        <f t="shared" si="39"/>
        <v>-48.215555555555554</v>
      </c>
      <c r="R123" s="13" t="s">
        <v>320</v>
      </c>
    </row>
    <row r="124" spans="1:18" ht="15.75" x14ac:dyDescent="0.25">
      <c r="A124" s="3">
        <v>123</v>
      </c>
      <c r="B124" s="3" t="s">
        <v>45</v>
      </c>
      <c r="C124" s="3" t="s">
        <v>29</v>
      </c>
      <c r="D124" s="3" t="s">
        <v>16</v>
      </c>
      <c r="E124" t="s">
        <v>311</v>
      </c>
      <c r="F124" t="s">
        <v>316</v>
      </c>
      <c r="G124" s="3" t="s">
        <v>308</v>
      </c>
      <c r="H124" s="3" t="s">
        <v>68</v>
      </c>
      <c r="I124" s="3" t="s">
        <v>309</v>
      </c>
      <c r="J124" s="3" t="str">
        <f t="shared" si="32"/>
        <v>01</v>
      </c>
      <c r="K124" s="3" t="str">
        <f t="shared" si="33"/>
        <v>43</v>
      </c>
      <c r="L124" s="3" t="str">
        <f t="shared" si="34"/>
        <v>38</v>
      </c>
      <c r="M124" s="3" t="str">
        <f t="shared" si="35"/>
        <v>48</v>
      </c>
      <c r="N124" s="3" t="str">
        <f t="shared" si="36"/>
        <v>26</v>
      </c>
      <c r="O124" s="3" t="str">
        <f t="shared" si="37"/>
        <v>22</v>
      </c>
      <c r="P124" s="1">
        <f t="shared" si="38"/>
        <v>1.7272222222222222</v>
      </c>
      <c r="Q124" s="1">
        <f t="shared" si="39"/>
        <v>-48.439444444444447</v>
      </c>
      <c r="R124" s="13" t="s">
        <v>320</v>
      </c>
    </row>
    <row r="125" spans="1:18" ht="15.75" x14ac:dyDescent="0.25">
      <c r="A125" s="3">
        <v>124</v>
      </c>
      <c r="B125" s="3" t="s">
        <v>45</v>
      </c>
      <c r="C125" s="3" t="s">
        <v>29</v>
      </c>
      <c r="D125" s="3" t="s">
        <v>16</v>
      </c>
      <c r="E125" t="s">
        <v>312</v>
      </c>
      <c r="F125" t="s">
        <v>317</v>
      </c>
      <c r="G125" s="3" t="s">
        <v>308</v>
      </c>
      <c r="H125" s="3" t="s">
        <v>68</v>
      </c>
      <c r="I125" s="3" t="s">
        <v>309</v>
      </c>
      <c r="J125" s="3" t="str">
        <f t="shared" si="32"/>
        <v>02</v>
      </c>
      <c r="K125" s="3" t="str">
        <f t="shared" si="33"/>
        <v>00</v>
      </c>
      <c r="L125" s="3" t="str">
        <f t="shared" si="34"/>
        <v>35</v>
      </c>
      <c r="M125" s="3" t="str">
        <f t="shared" si="35"/>
        <v>48</v>
      </c>
      <c r="N125" s="3" t="str">
        <f t="shared" si="36"/>
        <v>12</v>
      </c>
      <c r="O125" s="3" t="str">
        <f t="shared" si="37"/>
        <v>39</v>
      </c>
      <c r="P125" s="1">
        <f t="shared" si="38"/>
        <v>2.0097222222222224</v>
      </c>
      <c r="Q125" s="1">
        <f t="shared" si="39"/>
        <v>-48.210833333333333</v>
      </c>
      <c r="R125" s="13" t="s">
        <v>320</v>
      </c>
    </row>
    <row r="126" spans="1:18" ht="15.75" x14ac:dyDescent="0.25">
      <c r="A126" s="3">
        <v>125</v>
      </c>
      <c r="B126" s="3" t="s">
        <v>45</v>
      </c>
      <c r="C126" s="3" t="s">
        <v>29</v>
      </c>
      <c r="D126" s="3" t="s">
        <v>16</v>
      </c>
      <c r="E126" t="s">
        <v>313</v>
      </c>
      <c r="F126" t="s">
        <v>318</v>
      </c>
      <c r="G126" s="3" t="s">
        <v>308</v>
      </c>
      <c r="H126" s="3" t="s">
        <v>68</v>
      </c>
      <c r="I126" s="3" t="s">
        <v>309</v>
      </c>
      <c r="J126" s="3" t="str">
        <f t="shared" si="32"/>
        <v>02</v>
      </c>
      <c r="K126" s="3" t="str">
        <f t="shared" si="33"/>
        <v>39</v>
      </c>
      <c r="L126" s="3" t="str">
        <f t="shared" si="34"/>
        <v>44</v>
      </c>
      <c r="M126" s="3" t="str">
        <f t="shared" si="35"/>
        <v>49</v>
      </c>
      <c r="N126" s="3" t="str">
        <f t="shared" si="36"/>
        <v>08</v>
      </c>
      <c r="O126" s="3" t="str">
        <f t="shared" si="37"/>
        <v>56</v>
      </c>
      <c r="P126" s="1">
        <f t="shared" si="38"/>
        <v>2.6622222222222223</v>
      </c>
      <c r="Q126" s="1">
        <f t="shared" si="39"/>
        <v>-49.148888888888891</v>
      </c>
      <c r="R126" s="13" t="s">
        <v>320</v>
      </c>
    </row>
    <row r="127" spans="1:18" ht="15.75" x14ac:dyDescent="0.25">
      <c r="A127" s="3">
        <v>126</v>
      </c>
      <c r="B127" s="3" t="s">
        <v>45</v>
      </c>
      <c r="C127" s="3" t="s">
        <v>29</v>
      </c>
      <c r="D127" s="3" t="s">
        <v>16</v>
      </c>
      <c r="E127" t="s">
        <v>314</v>
      </c>
      <c r="F127" t="s">
        <v>319</v>
      </c>
      <c r="G127" s="3" t="s">
        <v>308</v>
      </c>
      <c r="H127" s="3" t="s">
        <v>68</v>
      </c>
      <c r="I127" s="3" t="s">
        <v>309</v>
      </c>
      <c r="J127" s="3" t="str">
        <f t="shared" si="32"/>
        <v>03</v>
      </c>
      <c r="K127" s="3" t="str">
        <f t="shared" si="33"/>
        <v>29</v>
      </c>
      <c r="L127" s="3" t="str">
        <f t="shared" si="34"/>
        <v>13</v>
      </c>
      <c r="M127" s="3" t="str">
        <f t="shared" si="35"/>
        <v>49</v>
      </c>
      <c r="N127" s="3" t="str">
        <f t="shared" si="36"/>
        <v>47</v>
      </c>
      <c r="O127" s="3" t="str">
        <f t="shared" si="37"/>
        <v>04</v>
      </c>
      <c r="P127" s="1">
        <f t="shared" si="38"/>
        <v>3.4869444444444442</v>
      </c>
      <c r="Q127" s="1">
        <f t="shared" si="39"/>
        <v>-49.784444444444446</v>
      </c>
      <c r="R127" s="13" t="s">
        <v>320</v>
      </c>
    </row>
    <row r="128" spans="1:18" ht="15.75" x14ac:dyDescent="0.25">
      <c r="A128" s="3">
        <v>127</v>
      </c>
      <c r="B128" s="3" t="s">
        <v>21</v>
      </c>
      <c r="C128" s="3" t="s">
        <v>15</v>
      </c>
      <c r="D128" s="3" t="s">
        <v>16</v>
      </c>
      <c r="E128" t="s">
        <v>324</v>
      </c>
      <c r="F128" t="s">
        <v>326</v>
      </c>
      <c r="G128" s="3" t="s">
        <v>321</v>
      </c>
      <c r="H128" s="3" t="s">
        <v>68</v>
      </c>
      <c r="I128" s="3" t="s">
        <v>322</v>
      </c>
      <c r="J128" s="3" t="str">
        <f t="shared" si="32"/>
        <v>07</v>
      </c>
      <c r="K128" s="3" t="str">
        <f t="shared" si="33"/>
        <v>09</v>
      </c>
      <c r="L128" s="3" t="str">
        <f t="shared" si="34"/>
        <v>33</v>
      </c>
      <c r="M128" s="3" t="str">
        <f t="shared" si="35"/>
        <v>34</v>
      </c>
      <c r="N128" s="3" t="str">
        <f t="shared" si="36"/>
        <v>47</v>
      </c>
      <c r="O128" s="3" t="str">
        <f t="shared" si="37"/>
        <v>08</v>
      </c>
      <c r="P128" s="1">
        <f t="shared" si="38"/>
        <v>-7.1591666666666667</v>
      </c>
      <c r="Q128" s="1">
        <f t="shared" si="39"/>
        <v>-34.785555555555554</v>
      </c>
      <c r="R128" s="13" t="s">
        <v>328</v>
      </c>
    </row>
    <row r="129" spans="1:18" ht="15.75" x14ac:dyDescent="0.25">
      <c r="A129" s="3">
        <v>128</v>
      </c>
      <c r="B129" s="3" t="s">
        <v>21</v>
      </c>
      <c r="C129" s="3" t="s">
        <v>15</v>
      </c>
      <c r="D129" s="3" t="s">
        <v>16</v>
      </c>
      <c r="E129" t="s">
        <v>325</v>
      </c>
      <c r="F129" t="s">
        <v>327</v>
      </c>
      <c r="G129" s="3" t="s">
        <v>321</v>
      </c>
      <c r="H129" s="3" t="s">
        <v>68</v>
      </c>
      <c r="I129" s="3" t="s">
        <v>323</v>
      </c>
      <c r="J129" s="3" t="str">
        <f t="shared" si="32"/>
        <v>07</v>
      </c>
      <c r="K129" s="3" t="str">
        <f t="shared" si="33"/>
        <v>10</v>
      </c>
      <c r="L129" s="3" t="str">
        <f t="shared" si="34"/>
        <v>47</v>
      </c>
      <c r="M129" s="3" t="str">
        <f t="shared" si="35"/>
        <v>34</v>
      </c>
      <c r="N129" s="3" t="str">
        <f t="shared" si="36"/>
        <v>46</v>
      </c>
      <c r="O129" s="3" t="str">
        <f t="shared" si="37"/>
        <v>56</v>
      </c>
      <c r="P129" s="1">
        <f t="shared" si="38"/>
        <v>-7.1797222222222219</v>
      </c>
      <c r="Q129" s="1">
        <f t="shared" si="39"/>
        <v>-34.782222222222224</v>
      </c>
      <c r="R129" s="13" t="s">
        <v>328</v>
      </c>
    </row>
    <row r="130" spans="1:18" ht="15.75" x14ac:dyDescent="0.25">
      <c r="A130" s="3">
        <v>129</v>
      </c>
      <c r="B130" s="3" t="s">
        <v>20</v>
      </c>
      <c r="C130" s="3" t="s">
        <v>15</v>
      </c>
      <c r="D130" s="3" t="s">
        <v>16</v>
      </c>
      <c r="E130" t="s">
        <v>324</v>
      </c>
      <c r="F130" t="s">
        <v>326</v>
      </c>
      <c r="G130" s="3" t="s">
        <v>321</v>
      </c>
      <c r="H130" s="3" t="s">
        <v>68</v>
      </c>
      <c r="I130" s="3" t="s">
        <v>322</v>
      </c>
      <c r="J130" s="3" t="str">
        <f t="shared" ref="J130:J177" si="40">MID(E130,1,FIND("°",E130,1)-1)</f>
        <v>07</v>
      </c>
      <c r="K130" s="3" t="str">
        <f t="shared" ref="K130:K177" si="41">MID(E130,FIND("°",E130,1)+1,(FIND("′",E130,1)-FIND("°",E130,1))-1)</f>
        <v>09</v>
      </c>
      <c r="L130" s="3" t="str">
        <f t="shared" ref="L130:L177" si="42">MID(E130,FIND("′",E130,1)+1,(FIND("″",E130,1)-FIND("′",E130,1))-1)</f>
        <v>33</v>
      </c>
      <c r="M130" s="3" t="str">
        <f t="shared" ref="M130:M177" si="43">MID(F130,1,FIND("°",F130,1)-1)</f>
        <v>34</v>
      </c>
      <c r="N130" s="3" t="str">
        <f t="shared" ref="N130:N177" si="44">MID(F130,FIND("°",F130,1)+1,(FIND("′",F130,1)-FIND("°",F130,1))-1)</f>
        <v>47</v>
      </c>
      <c r="O130" s="3" t="str">
        <f t="shared" ref="O130:O177" si="45">MID(F130,FIND("′",F130,1)+1,(FIND("″",F130,1)-FIND("′",F130,1))-1)</f>
        <v>08</v>
      </c>
      <c r="P130" s="1">
        <f t="shared" ref="P130:P177" si="46">((((L130/60)+K130)/60)+J130)*IF(C130="S",-1, 1)</f>
        <v>-7.1591666666666667</v>
      </c>
      <c r="Q130" s="1">
        <f t="shared" ref="Q130:Q177" si="47">((((O130/60)+N130)/60)+M130)*IF(D130="W",-1, 1)</f>
        <v>-34.785555555555554</v>
      </c>
      <c r="R130" s="13" t="s">
        <v>328</v>
      </c>
    </row>
    <row r="131" spans="1:18" ht="15.75" x14ac:dyDescent="0.25">
      <c r="A131" s="3">
        <v>130</v>
      </c>
      <c r="B131" s="3" t="s">
        <v>20</v>
      </c>
      <c r="C131" s="3" t="s">
        <v>15</v>
      </c>
      <c r="D131" s="3" t="s">
        <v>16</v>
      </c>
      <c r="E131" t="s">
        <v>325</v>
      </c>
      <c r="F131" t="s">
        <v>327</v>
      </c>
      <c r="G131" s="3" t="s">
        <v>321</v>
      </c>
      <c r="H131" s="3" t="s">
        <v>68</v>
      </c>
      <c r="I131" s="3" t="s">
        <v>323</v>
      </c>
      <c r="J131" s="3" t="str">
        <f t="shared" si="40"/>
        <v>07</v>
      </c>
      <c r="K131" s="3" t="str">
        <f t="shared" si="41"/>
        <v>10</v>
      </c>
      <c r="L131" s="3" t="str">
        <f t="shared" si="42"/>
        <v>47</v>
      </c>
      <c r="M131" s="3" t="str">
        <f t="shared" si="43"/>
        <v>34</v>
      </c>
      <c r="N131" s="3" t="str">
        <f t="shared" si="44"/>
        <v>46</v>
      </c>
      <c r="O131" s="3" t="str">
        <f t="shared" si="45"/>
        <v>56</v>
      </c>
      <c r="P131" s="1">
        <f t="shared" si="46"/>
        <v>-7.1797222222222219</v>
      </c>
      <c r="Q131" s="1">
        <f t="shared" si="47"/>
        <v>-34.782222222222224</v>
      </c>
      <c r="R131" s="13" t="s">
        <v>328</v>
      </c>
    </row>
    <row r="132" spans="1:18" ht="15.75" x14ac:dyDescent="0.25">
      <c r="A132" s="3">
        <v>131</v>
      </c>
      <c r="B132" s="3" t="s">
        <v>56</v>
      </c>
      <c r="C132" s="3" t="s">
        <v>15</v>
      </c>
      <c r="D132" s="3" t="s">
        <v>16</v>
      </c>
      <c r="E132" t="s">
        <v>324</v>
      </c>
      <c r="F132" t="s">
        <v>326</v>
      </c>
      <c r="G132" s="3" t="s">
        <v>321</v>
      </c>
      <c r="H132" s="3" t="s">
        <v>68</v>
      </c>
      <c r="I132" s="3" t="s">
        <v>322</v>
      </c>
      <c r="J132" s="3" t="str">
        <f t="shared" si="40"/>
        <v>07</v>
      </c>
      <c r="K132" s="3" t="str">
        <f t="shared" si="41"/>
        <v>09</v>
      </c>
      <c r="L132" s="3" t="str">
        <f t="shared" si="42"/>
        <v>33</v>
      </c>
      <c r="M132" s="3" t="str">
        <f t="shared" si="43"/>
        <v>34</v>
      </c>
      <c r="N132" s="3" t="str">
        <f t="shared" si="44"/>
        <v>47</v>
      </c>
      <c r="O132" s="3" t="str">
        <f t="shared" si="45"/>
        <v>08</v>
      </c>
      <c r="P132" s="1">
        <f t="shared" si="46"/>
        <v>-7.1591666666666667</v>
      </c>
      <c r="Q132" s="1">
        <f t="shared" si="47"/>
        <v>-34.785555555555554</v>
      </c>
      <c r="R132" s="13" t="s">
        <v>328</v>
      </c>
    </row>
    <row r="133" spans="1:18" ht="15.75" x14ac:dyDescent="0.25">
      <c r="A133" s="3">
        <v>132</v>
      </c>
      <c r="B133" s="3" t="s">
        <v>56</v>
      </c>
      <c r="C133" s="3" t="s">
        <v>15</v>
      </c>
      <c r="D133" s="3" t="s">
        <v>16</v>
      </c>
      <c r="E133" t="s">
        <v>325</v>
      </c>
      <c r="F133" t="s">
        <v>327</v>
      </c>
      <c r="G133" s="3" t="s">
        <v>321</v>
      </c>
      <c r="H133" s="3" t="s">
        <v>68</v>
      </c>
      <c r="I133" s="3" t="s">
        <v>323</v>
      </c>
      <c r="J133" s="3" t="str">
        <f t="shared" si="40"/>
        <v>07</v>
      </c>
      <c r="K133" s="3" t="str">
        <f t="shared" si="41"/>
        <v>10</v>
      </c>
      <c r="L133" s="3" t="str">
        <f t="shared" si="42"/>
        <v>47</v>
      </c>
      <c r="M133" s="3" t="str">
        <f t="shared" si="43"/>
        <v>34</v>
      </c>
      <c r="N133" s="3" t="str">
        <f t="shared" si="44"/>
        <v>46</v>
      </c>
      <c r="O133" s="3" t="str">
        <f t="shared" si="45"/>
        <v>56</v>
      </c>
      <c r="P133" s="1">
        <f t="shared" si="46"/>
        <v>-7.1797222222222219</v>
      </c>
      <c r="Q133" s="1">
        <f t="shared" si="47"/>
        <v>-34.782222222222224</v>
      </c>
      <c r="R133" s="13" t="s">
        <v>328</v>
      </c>
    </row>
    <row r="134" spans="1:18" ht="15.75" x14ac:dyDescent="0.25">
      <c r="A134" s="3">
        <v>133</v>
      </c>
      <c r="B134" s="3" t="s">
        <v>56</v>
      </c>
      <c r="C134" s="3" t="s">
        <v>15</v>
      </c>
      <c r="D134" s="3" t="s">
        <v>16</v>
      </c>
      <c r="E134" t="s">
        <v>334</v>
      </c>
      <c r="F134" t="s">
        <v>335</v>
      </c>
      <c r="G134" s="3" t="s">
        <v>329</v>
      </c>
      <c r="H134" s="3" t="s">
        <v>68</v>
      </c>
      <c r="I134" s="5" t="s">
        <v>81</v>
      </c>
      <c r="J134" s="3" t="str">
        <f t="shared" si="40"/>
        <v>08</v>
      </c>
      <c r="K134" s="3" t="str">
        <f t="shared" si="41"/>
        <v>30</v>
      </c>
      <c r="L134" s="3" t="str">
        <f t="shared" si="42"/>
        <v>41</v>
      </c>
      <c r="M134" s="3" t="str">
        <f t="shared" si="43"/>
        <v>35</v>
      </c>
      <c r="N134" s="3" t="str">
        <f t="shared" si="44"/>
        <v>00</v>
      </c>
      <c r="O134" s="3" t="str">
        <f t="shared" si="45"/>
        <v>02</v>
      </c>
      <c r="P134" s="1">
        <f t="shared" si="46"/>
        <v>-8.511388888888888</v>
      </c>
      <c r="Q134" s="1">
        <f t="shared" si="47"/>
        <v>-35.000555555555557</v>
      </c>
      <c r="R134" s="13" t="s">
        <v>123</v>
      </c>
    </row>
    <row r="135" spans="1:18" ht="15.75" x14ac:dyDescent="0.25">
      <c r="A135" s="3">
        <v>134</v>
      </c>
      <c r="B135" s="3" t="s">
        <v>56</v>
      </c>
      <c r="C135" s="3" t="s">
        <v>15</v>
      </c>
      <c r="D135" s="3" t="s">
        <v>16</v>
      </c>
      <c r="E135" t="s">
        <v>336</v>
      </c>
      <c r="F135" t="s">
        <v>337</v>
      </c>
      <c r="G135" s="3" t="s">
        <v>329</v>
      </c>
      <c r="H135" s="3" t="s">
        <v>68</v>
      </c>
      <c r="I135" s="5" t="s">
        <v>81</v>
      </c>
      <c r="J135" s="3" t="str">
        <f t="shared" si="40"/>
        <v>08</v>
      </c>
      <c r="K135" s="3" t="str">
        <f t="shared" si="41"/>
        <v>30</v>
      </c>
      <c r="L135" s="3" t="str">
        <f t="shared" si="42"/>
        <v>31</v>
      </c>
      <c r="M135" s="3" t="str">
        <f t="shared" si="43"/>
        <v>34</v>
      </c>
      <c r="N135" s="3" t="str">
        <f t="shared" si="44"/>
        <v>59</v>
      </c>
      <c r="O135" s="3" t="str">
        <f t="shared" si="45"/>
        <v>58</v>
      </c>
      <c r="P135" s="1">
        <f t="shared" si="46"/>
        <v>-8.5086111111111116</v>
      </c>
      <c r="Q135" s="1">
        <f t="shared" si="47"/>
        <v>-34.999444444444443</v>
      </c>
      <c r="R135" s="13" t="s">
        <v>123</v>
      </c>
    </row>
    <row r="136" spans="1:18" ht="15.75" x14ac:dyDescent="0.25">
      <c r="A136" s="3">
        <v>135</v>
      </c>
      <c r="B136" s="3" t="s">
        <v>56</v>
      </c>
      <c r="C136" s="3" t="s">
        <v>15</v>
      </c>
      <c r="D136" s="3" t="s">
        <v>16</v>
      </c>
      <c r="E136" t="s">
        <v>338</v>
      </c>
      <c r="F136" t="s">
        <v>339</v>
      </c>
      <c r="G136" s="3" t="s">
        <v>329</v>
      </c>
      <c r="H136" s="3" t="s">
        <v>68</v>
      </c>
      <c r="I136" s="5" t="s">
        <v>81</v>
      </c>
      <c r="J136" s="3" t="str">
        <f t="shared" si="40"/>
        <v>08</v>
      </c>
      <c r="K136" s="3" t="str">
        <f t="shared" si="41"/>
        <v>30</v>
      </c>
      <c r="L136" s="3" t="str">
        <f t="shared" si="42"/>
        <v>23</v>
      </c>
      <c r="M136" s="3" t="str">
        <f t="shared" si="43"/>
        <v>34</v>
      </c>
      <c r="N136" s="3" t="str">
        <f t="shared" si="44"/>
        <v>59</v>
      </c>
      <c r="O136" s="3" t="str">
        <f t="shared" si="45"/>
        <v>57</v>
      </c>
      <c r="P136" s="1">
        <f t="shared" si="46"/>
        <v>-8.506388888888889</v>
      </c>
      <c r="Q136" s="1">
        <f t="shared" si="47"/>
        <v>-34.999166666666667</v>
      </c>
      <c r="R136" s="13" t="s">
        <v>123</v>
      </c>
    </row>
    <row r="137" spans="1:18" ht="15.75" x14ac:dyDescent="0.25">
      <c r="A137" s="3">
        <v>136</v>
      </c>
      <c r="B137" s="3" t="s">
        <v>56</v>
      </c>
      <c r="C137" s="3" t="s">
        <v>15</v>
      </c>
      <c r="D137" s="3" t="s">
        <v>16</v>
      </c>
      <c r="E137" t="s">
        <v>340</v>
      </c>
      <c r="F137" t="s">
        <v>341</v>
      </c>
      <c r="G137" s="3" t="s">
        <v>329</v>
      </c>
      <c r="H137" s="3" t="s">
        <v>68</v>
      </c>
      <c r="I137" s="5" t="s">
        <v>81</v>
      </c>
      <c r="J137" s="3" t="str">
        <f t="shared" si="40"/>
        <v>08</v>
      </c>
      <c r="K137" s="3" t="str">
        <f t="shared" si="41"/>
        <v>30</v>
      </c>
      <c r="L137" s="3" t="str">
        <f t="shared" si="42"/>
        <v>32</v>
      </c>
      <c r="M137" s="3" t="str">
        <f t="shared" si="43"/>
        <v>34</v>
      </c>
      <c r="N137" s="3" t="str">
        <f t="shared" si="44"/>
        <v>59</v>
      </c>
      <c r="O137" s="3" t="str">
        <f t="shared" si="45"/>
        <v>56</v>
      </c>
      <c r="P137" s="1">
        <f t="shared" si="46"/>
        <v>-8.5088888888888885</v>
      </c>
      <c r="Q137" s="1">
        <f t="shared" si="47"/>
        <v>-34.998888888888892</v>
      </c>
      <c r="R137" s="13" t="s">
        <v>123</v>
      </c>
    </row>
    <row r="138" spans="1:18" ht="15.75" x14ac:dyDescent="0.25">
      <c r="A138" s="3">
        <v>137</v>
      </c>
      <c r="B138" s="3" t="s">
        <v>56</v>
      </c>
      <c r="C138" s="3" t="s">
        <v>15</v>
      </c>
      <c r="D138" s="3" t="s">
        <v>16</v>
      </c>
      <c r="E138" t="s">
        <v>342</v>
      </c>
      <c r="F138" t="s">
        <v>343</v>
      </c>
      <c r="G138" s="3" t="s">
        <v>329</v>
      </c>
      <c r="H138" s="3" t="s">
        <v>68</v>
      </c>
      <c r="I138" s="5" t="s">
        <v>81</v>
      </c>
      <c r="J138" s="3" t="str">
        <f t="shared" si="40"/>
        <v>08</v>
      </c>
      <c r="K138" s="3" t="str">
        <f t="shared" si="41"/>
        <v>30</v>
      </c>
      <c r="L138" s="3" t="str">
        <f t="shared" si="42"/>
        <v>25</v>
      </c>
      <c r="M138" s="3" t="str">
        <f t="shared" si="43"/>
        <v>34</v>
      </c>
      <c r="N138" s="3" t="str">
        <f t="shared" si="44"/>
        <v>59</v>
      </c>
      <c r="O138" s="3" t="str">
        <f t="shared" si="45"/>
        <v>54</v>
      </c>
      <c r="P138" s="1">
        <f t="shared" si="46"/>
        <v>-8.5069444444444446</v>
      </c>
      <c r="Q138" s="1">
        <f t="shared" si="47"/>
        <v>-34.998333333333335</v>
      </c>
      <c r="R138" s="13" t="s">
        <v>123</v>
      </c>
    </row>
    <row r="139" spans="1:18" ht="15.75" x14ac:dyDescent="0.25">
      <c r="A139" s="3">
        <v>138</v>
      </c>
      <c r="B139" s="3" t="s">
        <v>56</v>
      </c>
      <c r="C139" s="3" t="s">
        <v>15</v>
      </c>
      <c r="D139" s="3" t="s">
        <v>16</v>
      </c>
      <c r="E139" t="s">
        <v>338</v>
      </c>
      <c r="F139" t="s">
        <v>343</v>
      </c>
      <c r="G139" s="3" t="s">
        <v>329</v>
      </c>
      <c r="H139" s="3" t="s">
        <v>68</v>
      </c>
      <c r="I139" s="5" t="s">
        <v>81</v>
      </c>
      <c r="J139" s="3" t="str">
        <f t="shared" si="40"/>
        <v>08</v>
      </c>
      <c r="K139" s="3" t="str">
        <f t="shared" si="41"/>
        <v>30</v>
      </c>
      <c r="L139" s="3" t="str">
        <f t="shared" si="42"/>
        <v>23</v>
      </c>
      <c r="M139" s="3" t="str">
        <f t="shared" si="43"/>
        <v>34</v>
      </c>
      <c r="N139" s="3" t="str">
        <f t="shared" si="44"/>
        <v>59</v>
      </c>
      <c r="O139" s="3" t="str">
        <f t="shared" si="45"/>
        <v>54</v>
      </c>
      <c r="P139" s="1">
        <f t="shared" si="46"/>
        <v>-8.506388888888889</v>
      </c>
      <c r="Q139" s="1">
        <f t="shared" si="47"/>
        <v>-34.998333333333335</v>
      </c>
      <c r="R139" s="13" t="s">
        <v>123</v>
      </c>
    </row>
    <row r="140" spans="1:18" ht="15.75" x14ac:dyDescent="0.25">
      <c r="A140" s="3">
        <v>139</v>
      </c>
      <c r="B140" s="3" t="s">
        <v>56</v>
      </c>
      <c r="C140" s="3" t="s">
        <v>15</v>
      </c>
      <c r="D140" s="3" t="s">
        <v>16</v>
      </c>
      <c r="E140" t="s">
        <v>344</v>
      </c>
      <c r="F140" t="s">
        <v>345</v>
      </c>
      <c r="G140" s="3" t="s">
        <v>329</v>
      </c>
      <c r="H140" s="3" t="s">
        <v>68</v>
      </c>
      <c r="I140" s="5" t="s">
        <v>81</v>
      </c>
      <c r="J140" s="3" t="str">
        <f t="shared" si="40"/>
        <v>08</v>
      </c>
      <c r="K140" s="3" t="str">
        <f t="shared" si="41"/>
        <v>30</v>
      </c>
      <c r="L140" s="3" t="str">
        <f t="shared" si="42"/>
        <v>21</v>
      </c>
      <c r="M140" s="3" t="str">
        <f t="shared" si="43"/>
        <v>34</v>
      </c>
      <c r="N140" s="3" t="str">
        <f t="shared" si="44"/>
        <v>59</v>
      </c>
      <c r="O140" s="3" t="str">
        <f t="shared" si="45"/>
        <v>52</v>
      </c>
      <c r="P140" s="1">
        <f t="shared" si="46"/>
        <v>-8.5058333333333334</v>
      </c>
      <c r="Q140" s="1">
        <f t="shared" si="47"/>
        <v>-34.997777777777777</v>
      </c>
      <c r="R140" s="13" t="s">
        <v>123</v>
      </c>
    </row>
    <row r="141" spans="1:18" ht="15.75" x14ac:dyDescent="0.25">
      <c r="A141" s="3">
        <v>140</v>
      </c>
      <c r="B141" s="3" t="s">
        <v>56</v>
      </c>
      <c r="C141" s="3" t="s">
        <v>15</v>
      </c>
      <c r="D141" s="3" t="s">
        <v>16</v>
      </c>
      <c r="E141" t="s">
        <v>346</v>
      </c>
      <c r="F141" t="s">
        <v>345</v>
      </c>
      <c r="G141" s="3" t="s">
        <v>329</v>
      </c>
      <c r="H141" s="3" t="s">
        <v>68</v>
      </c>
      <c r="I141" s="5" t="s">
        <v>81</v>
      </c>
      <c r="J141" s="3" t="str">
        <f t="shared" si="40"/>
        <v>08</v>
      </c>
      <c r="K141" s="3" t="str">
        <f t="shared" si="41"/>
        <v>30</v>
      </c>
      <c r="L141" s="3" t="str">
        <f t="shared" si="42"/>
        <v>24</v>
      </c>
      <c r="M141" s="3" t="str">
        <f t="shared" si="43"/>
        <v>34</v>
      </c>
      <c r="N141" s="3" t="str">
        <f t="shared" si="44"/>
        <v>59</v>
      </c>
      <c r="O141" s="3" t="str">
        <f t="shared" si="45"/>
        <v>52</v>
      </c>
      <c r="P141" s="1">
        <f t="shared" si="46"/>
        <v>-8.5066666666666659</v>
      </c>
      <c r="Q141" s="1">
        <f t="shared" si="47"/>
        <v>-34.997777777777777</v>
      </c>
      <c r="R141" s="13" t="s">
        <v>123</v>
      </c>
    </row>
    <row r="142" spans="1:18" ht="15.75" x14ac:dyDescent="0.25">
      <c r="A142" s="3">
        <v>141</v>
      </c>
      <c r="B142" s="3" t="s">
        <v>56</v>
      </c>
      <c r="C142" s="3" t="s">
        <v>15</v>
      </c>
      <c r="D142" s="3" t="s">
        <v>16</v>
      </c>
      <c r="E142" t="s">
        <v>334</v>
      </c>
      <c r="F142" t="s">
        <v>341</v>
      </c>
      <c r="G142" s="3" t="s">
        <v>329</v>
      </c>
      <c r="H142" s="3" t="s">
        <v>68</v>
      </c>
      <c r="I142" s="5" t="s">
        <v>81</v>
      </c>
      <c r="J142" s="3" t="str">
        <f t="shared" si="40"/>
        <v>08</v>
      </c>
      <c r="K142" s="3" t="str">
        <f t="shared" si="41"/>
        <v>30</v>
      </c>
      <c r="L142" s="3" t="str">
        <f t="shared" si="42"/>
        <v>41</v>
      </c>
      <c r="M142" s="3" t="str">
        <f t="shared" si="43"/>
        <v>34</v>
      </c>
      <c r="N142" s="3" t="str">
        <f t="shared" si="44"/>
        <v>59</v>
      </c>
      <c r="O142" s="3" t="str">
        <f t="shared" si="45"/>
        <v>56</v>
      </c>
      <c r="P142" s="1">
        <f t="shared" si="46"/>
        <v>-8.511388888888888</v>
      </c>
      <c r="Q142" s="1">
        <f t="shared" si="47"/>
        <v>-34.998888888888892</v>
      </c>
      <c r="R142" s="13" t="s">
        <v>123</v>
      </c>
    </row>
    <row r="143" spans="1:18" ht="15.75" x14ac:dyDescent="0.25">
      <c r="A143" s="3">
        <v>142</v>
      </c>
      <c r="B143" s="3" t="s">
        <v>56</v>
      </c>
      <c r="C143" s="3" t="s">
        <v>15</v>
      </c>
      <c r="D143" s="3" t="s">
        <v>16</v>
      </c>
      <c r="E143" t="s">
        <v>347</v>
      </c>
      <c r="F143" t="s">
        <v>348</v>
      </c>
      <c r="G143" s="3" t="s">
        <v>329</v>
      </c>
      <c r="H143" s="3" t="s">
        <v>68</v>
      </c>
      <c r="I143" s="5" t="s">
        <v>81</v>
      </c>
      <c r="J143" s="3" t="str">
        <f t="shared" si="40"/>
        <v>08</v>
      </c>
      <c r="K143" s="3" t="str">
        <f t="shared" si="41"/>
        <v>30</v>
      </c>
      <c r="L143" s="3" t="str">
        <f t="shared" si="42"/>
        <v>42</v>
      </c>
      <c r="M143" s="3" t="str">
        <f t="shared" si="43"/>
        <v>34</v>
      </c>
      <c r="N143" s="3" t="str">
        <f t="shared" si="44"/>
        <v>59</v>
      </c>
      <c r="O143" s="3" t="str">
        <f t="shared" si="45"/>
        <v>55</v>
      </c>
      <c r="P143" s="1">
        <f t="shared" si="46"/>
        <v>-8.5116666666666667</v>
      </c>
      <c r="Q143" s="1">
        <f t="shared" si="47"/>
        <v>-34.99861111111111</v>
      </c>
      <c r="R143" s="13" t="s">
        <v>123</v>
      </c>
    </row>
    <row r="144" spans="1:18" ht="15.75" x14ac:dyDescent="0.25">
      <c r="A144" s="3">
        <v>143</v>
      </c>
      <c r="B144" s="3" t="s">
        <v>56</v>
      </c>
      <c r="C144" s="3" t="s">
        <v>15</v>
      </c>
      <c r="D144" s="3" t="s">
        <v>16</v>
      </c>
      <c r="E144" t="s">
        <v>334</v>
      </c>
      <c r="F144" t="s">
        <v>349</v>
      </c>
      <c r="G144" s="3" t="s">
        <v>329</v>
      </c>
      <c r="H144" s="3" t="s">
        <v>68</v>
      </c>
      <c r="I144" s="5" t="s">
        <v>81</v>
      </c>
      <c r="J144" s="3" t="str">
        <f t="shared" si="40"/>
        <v>08</v>
      </c>
      <c r="K144" s="3" t="str">
        <f t="shared" si="41"/>
        <v>30</v>
      </c>
      <c r="L144" s="3" t="str">
        <f t="shared" si="42"/>
        <v>41</v>
      </c>
      <c r="M144" s="3" t="str">
        <f t="shared" si="43"/>
        <v>34</v>
      </c>
      <c r="N144" s="3" t="str">
        <f t="shared" si="44"/>
        <v>59</v>
      </c>
      <c r="O144" s="3" t="str">
        <f t="shared" si="45"/>
        <v>53</v>
      </c>
      <c r="P144" s="1">
        <f t="shared" si="46"/>
        <v>-8.511388888888888</v>
      </c>
      <c r="Q144" s="1">
        <f t="shared" si="47"/>
        <v>-34.998055555555553</v>
      </c>
      <c r="R144" s="13" t="s">
        <v>123</v>
      </c>
    </row>
    <row r="145" spans="1:18" ht="15.75" x14ac:dyDescent="0.25">
      <c r="A145" s="3">
        <v>144</v>
      </c>
      <c r="B145" s="3" t="s">
        <v>56</v>
      </c>
      <c r="C145" s="3" t="s">
        <v>15</v>
      </c>
      <c r="D145" s="3" t="s">
        <v>16</v>
      </c>
      <c r="E145" t="s">
        <v>347</v>
      </c>
      <c r="F145" t="s">
        <v>349</v>
      </c>
      <c r="G145" s="3" t="s">
        <v>329</v>
      </c>
      <c r="H145" s="3" t="s">
        <v>68</v>
      </c>
      <c r="I145" s="5" t="s">
        <v>81</v>
      </c>
      <c r="J145" s="3" t="str">
        <f t="shared" si="40"/>
        <v>08</v>
      </c>
      <c r="K145" s="3" t="str">
        <f t="shared" si="41"/>
        <v>30</v>
      </c>
      <c r="L145" s="3" t="str">
        <f t="shared" si="42"/>
        <v>42</v>
      </c>
      <c r="M145" s="3" t="str">
        <f t="shared" si="43"/>
        <v>34</v>
      </c>
      <c r="N145" s="3" t="str">
        <f t="shared" si="44"/>
        <v>59</v>
      </c>
      <c r="O145" s="3" t="str">
        <f t="shared" si="45"/>
        <v>53</v>
      </c>
      <c r="P145" s="1">
        <f t="shared" si="46"/>
        <v>-8.5116666666666667</v>
      </c>
      <c r="Q145" s="1">
        <f t="shared" si="47"/>
        <v>-34.998055555555553</v>
      </c>
      <c r="R145" s="13" t="s">
        <v>123</v>
      </c>
    </row>
    <row r="146" spans="1:18" ht="15.75" x14ac:dyDescent="0.25">
      <c r="A146" s="3">
        <v>145</v>
      </c>
      <c r="B146" s="3" t="s">
        <v>20</v>
      </c>
      <c r="C146" s="3" t="s">
        <v>29</v>
      </c>
      <c r="D146" s="3" t="s">
        <v>16</v>
      </c>
      <c r="E146" t="s">
        <v>351</v>
      </c>
      <c r="F146" t="s">
        <v>357</v>
      </c>
      <c r="G146" t="s">
        <v>350</v>
      </c>
      <c r="H146" s="3" t="s">
        <v>68</v>
      </c>
      <c r="I146" s="3" t="s">
        <v>363</v>
      </c>
      <c r="J146" s="3" t="str">
        <f t="shared" si="40"/>
        <v>16</v>
      </c>
      <c r="K146" s="3" t="str">
        <f t="shared" si="41"/>
        <v>24</v>
      </c>
      <c r="L146" s="3" t="str">
        <f t="shared" si="42"/>
        <v>18</v>
      </c>
      <c r="M146" s="3" t="str">
        <f t="shared" si="43"/>
        <v>88</v>
      </c>
      <c r="N146" s="3" t="str">
        <f t="shared" si="44"/>
        <v>10</v>
      </c>
      <c r="O146" s="3" t="str">
        <f t="shared" si="45"/>
        <v>42</v>
      </c>
      <c r="P146" s="1">
        <f t="shared" si="46"/>
        <v>16.405000000000001</v>
      </c>
      <c r="Q146" s="1">
        <f t="shared" si="47"/>
        <v>-88.178333333333327</v>
      </c>
      <c r="R146" s="13" t="s">
        <v>369</v>
      </c>
    </row>
    <row r="147" spans="1:18" ht="15.75" x14ac:dyDescent="0.25">
      <c r="A147" s="3">
        <v>146</v>
      </c>
      <c r="B147" s="3" t="s">
        <v>20</v>
      </c>
      <c r="C147" s="3" t="s">
        <v>29</v>
      </c>
      <c r="D147" s="3" t="s">
        <v>16</v>
      </c>
      <c r="E147" t="s">
        <v>352</v>
      </c>
      <c r="F147" t="s">
        <v>358</v>
      </c>
      <c r="G147" t="s">
        <v>350</v>
      </c>
      <c r="H147" s="3" t="s">
        <v>68</v>
      </c>
      <c r="I147" s="3" t="s">
        <v>364</v>
      </c>
      <c r="J147" s="3" t="str">
        <f t="shared" si="40"/>
        <v>19</v>
      </c>
      <c r="K147" s="3" t="str">
        <f t="shared" si="41"/>
        <v>09</v>
      </c>
      <c r="L147" s="3" t="str">
        <f t="shared" si="42"/>
        <v>17</v>
      </c>
      <c r="M147" s="3" t="str">
        <f t="shared" si="43"/>
        <v>87</v>
      </c>
      <c r="N147" s="3" t="str">
        <f t="shared" si="44"/>
        <v>11</v>
      </c>
      <c r="O147" s="3" t="str">
        <f t="shared" si="45"/>
        <v>43</v>
      </c>
      <c r="P147" s="1">
        <f t="shared" si="46"/>
        <v>19.154722222222222</v>
      </c>
      <c r="Q147" s="1">
        <f t="shared" si="47"/>
        <v>-87.195277777777775</v>
      </c>
      <c r="R147" s="13" t="s">
        <v>369</v>
      </c>
    </row>
    <row r="148" spans="1:18" ht="15.75" x14ac:dyDescent="0.25">
      <c r="A148" s="3">
        <v>147</v>
      </c>
      <c r="B148" s="3" t="s">
        <v>20</v>
      </c>
      <c r="C148" s="3" t="s">
        <v>29</v>
      </c>
      <c r="D148" s="3" t="s">
        <v>16</v>
      </c>
      <c r="E148" t="s">
        <v>353</v>
      </c>
      <c r="F148" t="s">
        <v>359</v>
      </c>
      <c r="G148" t="s">
        <v>350</v>
      </c>
      <c r="H148" s="3" t="s">
        <v>68</v>
      </c>
      <c r="I148" s="3" t="s">
        <v>366</v>
      </c>
      <c r="J148" s="3" t="str">
        <f t="shared" si="40"/>
        <v>21</v>
      </c>
      <c r="K148" s="3" t="str">
        <f t="shared" si="41"/>
        <v>53</v>
      </c>
      <c r="L148" s="3" t="str">
        <f t="shared" si="42"/>
        <v>01</v>
      </c>
      <c r="M148" s="3" t="str">
        <f t="shared" si="43"/>
        <v>81</v>
      </c>
      <c r="N148" s="3" t="str">
        <f t="shared" si="44"/>
        <v>42</v>
      </c>
      <c r="O148" s="3" t="str">
        <f t="shared" si="45"/>
        <v>21</v>
      </c>
      <c r="P148" s="1">
        <f t="shared" si="46"/>
        <v>21.883611111111112</v>
      </c>
      <c r="Q148" s="1">
        <f t="shared" si="47"/>
        <v>-81.705833333333331</v>
      </c>
      <c r="R148" s="13" t="s">
        <v>369</v>
      </c>
    </row>
    <row r="149" spans="1:18" ht="15.75" x14ac:dyDescent="0.25">
      <c r="A149" s="3">
        <v>148</v>
      </c>
      <c r="B149" s="3" t="s">
        <v>20</v>
      </c>
      <c r="C149" s="3" t="s">
        <v>29</v>
      </c>
      <c r="D149" s="3" t="s">
        <v>16</v>
      </c>
      <c r="E149" t="s">
        <v>354</v>
      </c>
      <c r="F149" t="s">
        <v>360</v>
      </c>
      <c r="G149" t="s">
        <v>350</v>
      </c>
      <c r="H149" s="3" t="s">
        <v>68</v>
      </c>
      <c r="I149" s="3" t="s">
        <v>365</v>
      </c>
      <c r="J149" s="3" t="str">
        <f t="shared" si="40"/>
        <v>17</v>
      </c>
      <c r="K149" s="3" t="str">
        <f t="shared" si="41"/>
        <v>46</v>
      </c>
      <c r="L149" s="3" t="str">
        <f t="shared" si="42"/>
        <v>53</v>
      </c>
      <c r="M149" s="3" t="str">
        <f t="shared" si="43"/>
        <v>65</v>
      </c>
      <c r="N149" s="3" t="str">
        <f t="shared" si="44"/>
        <v>07</v>
      </c>
      <c r="O149" s="3" t="str">
        <f t="shared" si="45"/>
        <v>50</v>
      </c>
      <c r="P149" s="1">
        <f t="shared" si="46"/>
        <v>17.781388888888888</v>
      </c>
      <c r="Q149" s="1">
        <f t="shared" si="47"/>
        <v>-65.13055555555556</v>
      </c>
      <c r="R149" s="13" t="s">
        <v>369</v>
      </c>
    </row>
    <row r="150" spans="1:18" ht="15.75" x14ac:dyDescent="0.25">
      <c r="A150" s="3">
        <v>149</v>
      </c>
      <c r="B150" s="3" t="s">
        <v>20</v>
      </c>
      <c r="C150" s="3" t="s">
        <v>29</v>
      </c>
      <c r="D150" s="3" t="s">
        <v>16</v>
      </c>
      <c r="E150" t="s">
        <v>355</v>
      </c>
      <c r="F150" t="s">
        <v>361</v>
      </c>
      <c r="G150" t="s">
        <v>350</v>
      </c>
      <c r="H150" s="3" t="s">
        <v>68</v>
      </c>
      <c r="I150" s="3" t="s">
        <v>367</v>
      </c>
      <c r="J150" s="3" t="str">
        <f t="shared" si="40"/>
        <v>15</v>
      </c>
      <c r="K150" s="3" t="str">
        <f t="shared" si="41"/>
        <v>49</v>
      </c>
      <c r="L150" s="3" t="str">
        <f t="shared" si="42"/>
        <v>37</v>
      </c>
      <c r="M150" s="3" t="str">
        <f t="shared" si="43"/>
        <v>62</v>
      </c>
      <c r="N150" s="3" t="str">
        <f t="shared" si="44"/>
        <v>10</v>
      </c>
      <c r="O150" s="3" t="str">
        <f t="shared" si="45"/>
        <v>49</v>
      </c>
      <c r="P150" s="1">
        <f t="shared" si="46"/>
        <v>15.826944444444445</v>
      </c>
      <c r="Q150" s="1">
        <f t="shared" si="47"/>
        <v>-62.180277777777775</v>
      </c>
      <c r="R150" s="13" t="s">
        <v>369</v>
      </c>
    </row>
    <row r="151" spans="1:18" ht="15.75" x14ac:dyDescent="0.25">
      <c r="A151" s="3">
        <v>150</v>
      </c>
      <c r="B151" s="3" t="s">
        <v>20</v>
      </c>
      <c r="C151" s="3" t="s">
        <v>29</v>
      </c>
      <c r="D151" s="3" t="s">
        <v>16</v>
      </c>
      <c r="E151" t="s">
        <v>356</v>
      </c>
      <c r="F151" t="s">
        <v>362</v>
      </c>
      <c r="G151" t="s">
        <v>350</v>
      </c>
      <c r="H151" s="3" t="s">
        <v>68</v>
      </c>
      <c r="I151" s="3" t="s">
        <v>368</v>
      </c>
      <c r="J151" s="3" t="str">
        <f t="shared" si="40"/>
        <v>24</v>
      </c>
      <c r="K151" s="3" t="str">
        <f t="shared" si="41"/>
        <v>28</v>
      </c>
      <c r="L151" s="3" t="str">
        <f t="shared" si="42"/>
        <v>24</v>
      </c>
      <c r="M151" s="3" t="str">
        <f t="shared" si="43"/>
        <v>81</v>
      </c>
      <c r="N151" s="3" t="str">
        <f t="shared" si="44"/>
        <v>03</v>
      </c>
      <c r="O151" s="3" t="str">
        <f t="shared" si="45"/>
        <v>19</v>
      </c>
      <c r="P151" s="1">
        <f t="shared" si="46"/>
        <v>24.473333333333333</v>
      </c>
      <c r="Q151" s="1">
        <f t="shared" si="47"/>
        <v>-81.055277777777775</v>
      </c>
      <c r="R151" s="13" t="s">
        <v>369</v>
      </c>
    </row>
    <row r="152" spans="1:18" ht="15.75" x14ac:dyDescent="0.25">
      <c r="A152" s="3">
        <v>151</v>
      </c>
      <c r="B152" s="3" t="s">
        <v>20</v>
      </c>
      <c r="C152" s="3" t="s">
        <v>29</v>
      </c>
      <c r="D152" s="3" t="s">
        <v>16</v>
      </c>
      <c r="E152" t="s">
        <v>373</v>
      </c>
      <c r="F152" t="s">
        <v>374</v>
      </c>
      <c r="G152" t="s">
        <v>371</v>
      </c>
      <c r="H152" s="3" t="s">
        <v>68</v>
      </c>
      <c r="I152" t="s">
        <v>372</v>
      </c>
      <c r="J152" s="3" t="str">
        <f t="shared" si="40"/>
        <v>12</v>
      </c>
      <c r="K152" s="3" t="str">
        <f t="shared" si="41"/>
        <v>11</v>
      </c>
      <c r="L152" s="3" t="str">
        <f t="shared" si="42"/>
        <v>35</v>
      </c>
      <c r="M152" s="3" t="str">
        <f t="shared" si="43"/>
        <v>83</v>
      </c>
      <c r="N152" s="3" t="str">
        <f t="shared" si="44"/>
        <v>25</v>
      </c>
      <c r="O152" s="3" t="str">
        <f t="shared" si="45"/>
        <v>46</v>
      </c>
      <c r="P152" s="1">
        <f t="shared" si="46"/>
        <v>12.193055555555556</v>
      </c>
      <c r="Q152" s="1">
        <f t="shared" si="47"/>
        <v>-83.429444444444442</v>
      </c>
      <c r="R152" s="13" t="s">
        <v>370</v>
      </c>
    </row>
    <row r="153" spans="1:18" ht="15.75" x14ac:dyDescent="0.25">
      <c r="A153" s="3">
        <v>152</v>
      </c>
      <c r="B153" s="3" t="s">
        <v>20</v>
      </c>
      <c r="C153" s="3" t="s">
        <v>29</v>
      </c>
      <c r="D153" s="3" t="s">
        <v>16</v>
      </c>
      <c r="E153" t="s">
        <v>375</v>
      </c>
      <c r="F153" t="s">
        <v>379</v>
      </c>
      <c r="G153" t="s">
        <v>371</v>
      </c>
      <c r="H153" s="3" t="s">
        <v>68</v>
      </c>
      <c r="I153" t="s">
        <v>372</v>
      </c>
      <c r="J153" s="3" t="str">
        <f t="shared" si="40"/>
        <v>15</v>
      </c>
      <c r="K153" s="3" t="str">
        <f t="shared" si="41"/>
        <v>27</v>
      </c>
      <c r="L153" s="3" t="str">
        <f t="shared" si="42"/>
        <v>28</v>
      </c>
      <c r="M153" s="3" t="str">
        <f t="shared" si="43"/>
        <v>83</v>
      </c>
      <c r="N153" s="3" t="str">
        <f t="shared" si="44"/>
        <v>42</v>
      </c>
      <c r="O153" s="3" t="str">
        <f t="shared" si="45"/>
        <v>30</v>
      </c>
      <c r="P153" s="1">
        <f t="shared" si="46"/>
        <v>15.457777777777778</v>
      </c>
      <c r="Q153" s="1">
        <f t="shared" si="47"/>
        <v>-83.708333333333329</v>
      </c>
      <c r="R153" s="13" t="s">
        <v>370</v>
      </c>
    </row>
    <row r="154" spans="1:18" ht="15.75" x14ac:dyDescent="0.25">
      <c r="A154" s="3">
        <v>153</v>
      </c>
      <c r="B154" s="3" t="s">
        <v>20</v>
      </c>
      <c r="C154" s="3" t="s">
        <v>29</v>
      </c>
      <c r="D154" s="3" t="s">
        <v>16</v>
      </c>
      <c r="E154" t="s">
        <v>376</v>
      </c>
      <c r="F154" t="s">
        <v>380</v>
      </c>
      <c r="G154" t="s">
        <v>371</v>
      </c>
      <c r="H154" s="3" t="s">
        <v>68</v>
      </c>
      <c r="I154" t="s">
        <v>372</v>
      </c>
      <c r="J154" s="3" t="str">
        <f t="shared" si="40"/>
        <v>16</v>
      </c>
      <c r="K154" s="3" t="str">
        <f t="shared" si="41"/>
        <v>06</v>
      </c>
      <c r="L154" s="3" t="str">
        <f t="shared" si="42"/>
        <v>27</v>
      </c>
      <c r="M154" s="3" t="str">
        <f t="shared" si="43"/>
        <v>86</v>
      </c>
      <c r="N154" s="3" t="str">
        <f t="shared" si="44"/>
        <v>00</v>
      </c>
      <c r="O154" s="3" t="str">
        <f t="shared" si="45"/>
        <v>39</v>
      </c>
      <c r="P154" s="1">
        <f t="shared" si="46"/>
        <v>16.107500000000002</v>
      </c>
      <c r="Q154" s="1">
        <f t="shared" si="47"/>
        <v>-86.010833333333338</v>
      </c>
      <c r="R154" s="13" t="s">
        <v>370</v>
      </c>
    </row>
    <row r="155" spans="1:18" ht="15.75" x14ac:dyDescent="0.25">
      <c r="A155" s="3">
        <v>154</v>
      </c>
      <c r="B155" s="3" t="s">
        <v>20</v>
      </c>
      <c r="C155" s="3" t="s">
        <v>29</v>
      </c>
      <c r="D155" s="3" t="s">
        <v>16</v>
      </c>
      <c r="E155" t="s">
        <v>377</v>
      </c>
      <c r="F155" t="s">
        <v>381</v>
      </c>
      <c r="G155" t="s">
        <v>371</v>
      </c>
      <c r="H155" s="3" t="s">
        <v>68</v>
      </c>
      <c r="I155" t="s">
        <v>372</v>
      </c>
      <c r="J155" s="3" t="str">
        <f t="shared" si="40"/>
        <v>15</v>
      </c>
      <c r="K155" s="3" t="str">
        <f t="shared" si="41"/>
        <v>58</v>
      </c>
      <c r="L155" s="3" t="str">
        <f t="shared" si="42"/>
        <v>47</v>
      </c>
      <c r="M155" s="3" t="str">
        <f t="shared" si="43"/>
        <v>87</v>
      </c>
      <c r="N155" s="3" t="str">
        <f t="shared" si="44"/>
        <v>42</v>
      </c>
      <c r="O155" s="3" t="str">
        <f t="shared" si="45"/>
        <v>42</v>
      </c>
      <c r="P155" s="1">
        <f t="shared" si="46"/>
        <v>15.979722222222222</v>
      </c>
      <c r="Q155" s="1">
        <f t="shared" si="47"/>
        <v>-87.711666666666673</v>
      </c>
      <c r="R155" s="13" t="s">
        <v>370</v>
      </c>
    </row>
    <row r="156" spans="1:18" ht="15.75" x14ac:dyDescent="0.25">
      <c r="A156" s="3">
        <v>155</v>
      </c>
      <c r="B156" s="3" t="s">
        <v>20</v>
      </c>
      <c r="C156" s="3" t="s">
        <v>29</v>
      </c>
      <c r="D156" s="3" t="s">
        <v>16</v>
      </c>
      <c r="E156" t="s">
        <v>378</v>
      </c>
      <c r="F156" t="s">
        <v>382</v>
      </c>
      <c r="G156" t="s">
        <v>371</v>
      </c>
      <c r="H156" s="3" t="s">
        <v>68</v>
      </c>
      <c r="I156" t="s">
        <v>372</v>
      </c>
      <c r="J156" s="3" t="str">
        <f t="shared" si="40"/>
        <v>16</v>
      </c>
      <c r="K156" s="3" t="str">
        <f t="shared" si="41"/>
        <v>54</v>
      </c>
      <c r="L156" s="3" t="str">
        <f t="shared" si="42"/>
        <v>33</v>
      </c>
      <c r="M156" s="3" t="str">
        <f t="shared" si="43"/>
        <v>88</v>
      </c>
      <c r="N156" s="3" t="str">
        <f t="shared" si="44"/>
        <v>02</v>
      </c>
      <c r="O156" s="3" t="str">
        <f t="shared" si="45"/>
        <v>54</v>
      </c>
      <c r="P156" s="1">
        <f t="shared" si="46"/>
        <v>16.909166666666668</v>
      </c>
      <c r="Q156" s="1">
        <f t="shared" si="47"/>
        <v>-88.048333333333332</v>
      </c>
      <c r="R156" s="13" t="s">
        <v>370</v>
      </c>
    </row>
    <row r="157" spans="1:18" ht="15.75" x14ac:dyDescent="0.25">
      <c r="A157" s="3">
        <v>156</v>
      </c>
      <c r="B157" s="3" t="s">
        <v>20</v>
      </c>
      <c r="C157" s="3" t="s">
        <v>29</v>
      </c>
      <c r="D157" s="3" t="s">
        <v>16</v>
      </c>
      <c r="E157" t="s">
        <v>384</v>
      </c>
      <c r="F157" t="s">
        <v>385</v>
      </c>
      <c r="G157" t="s">
        <v>371</v>
      </c>
      <c r="H157" s="3" t="s">
        <v>68</v>
      </c>
      <c r="I157" t="s">
        <v>383</v>
      </c>
      <c r="J157" s="3" t="str">
        <f t="shared" si="40"/>
        <v>21</v>
      </c>
      <c r="K157" s="3" t="str">
        <f t="shared" si="41"/>
        <v>36</v>
      </c>
      <c r="L157" s="3" t="str">
        <f t="shared" si="42"/>
        <v>45</v>
      </c>
      <c r="M157" s="3" t="str">
        <f t="shared" si="43"/>
        <v>89</v>
      </c>
      <c r="N157" s="3" t="str">
        <f t="shared" si="44"/>
        <v>31</v>
      </c>
      <c r="O157" s="3" t="str">
        <f t="shared" si="45"/>
        <v>40</v>
      </c>
      <c r="P157" s="1">
        <f t="shared" si="46"/>
        <v>21.612500000000001</v>
      </c>
      <c r="Q157" s="1">
        <f t="shared" si="47"/>
        <v>-89.527777777777771</v>
      </c>
      <c r="R157" s="13" t="s">
        <v>370</v>
      </c>
    </row>
    <row r="158" spans="1:18" ht="15.75" x14ac:dyDescent="0.25">
      <c r="A158" s="3">
        <v>157</v>
      </c>
      <c r="B158" s="3" t="s">
        <v>20</v>
      </c>
      <c r="C158" s="3" t="s">
        <v>29</v>
      </c>
      <c r="D158" s="3" t="s">
        <v>16</v>
      </c>
      <c r="E158" t="s">
        <v>386</v>
      </c>
      <c r="F158" t="s">
        <v>387</v>
      </c>
      <c r="G158" t="s">
        <v>371</v>
      </c>
      <c r="H158" s="3" t="s">
        <v>68</v>
      </c>
      <c r="I158" t="s">
        <v>383</v>
      </c>
      <c r="J158" s="3" t="str">
        <f t="shared" si="40"/>
        <v>19</v>
      </c>
      <c r="K158" s="3" t="str">
        <f t="shared" si="41"/>
        <v>16</v>
      </c>
      <c r="L158" s="3" t="str">
        <f t="shared" si="42"/>
        <v>24</v>
      </c>
      <c r="M158" s="3" t="str">
        <f t="shared" si="43"/>
        <v>81</v>
      </c>
      <c r="N158" s="3" t="str">
        <f t="shared" si="44"/>
        <v>14</v>
      </c>
      <c r="O158" s="3" t="str">
        <f t="shared" si="45"/>
        <v>12</v>
      </c>
      <c r="P158" s="1">
        <f t="shared" si="46"/>
        <v>19.273333333333333</v>
      </c>
      <c r="Q158" s="1">
        <f t="shared" si="47"/>
        <v>-81.236666666666665</v>
      </c>
      <c r="R158" s="13" t="s">
        <v>370</v>
      </c>
    </row>
    <row r="159" spans="1:18" ht="15.75" x14ac:dyDescent="0.25">
      <c r="A159" s="3">
        <v>158</v>
      </c>
      <c r="B159" s="3" t="s">
        <v>20</v>
      </c>
      <c r="C159" s="3" t="s">
        <v>29</v>
      </c>
      <c r="D159" s="3" t="s">
        <v>16</v>
      </c>
      <c r="E159" t="s">
        <v>388</v>
      </c>
      <c r="F159" t="s">
        <v>389</v>
      </c>
      <c r="G159" t="s">
        <v>371</v>
      </c>
      <c r="H159" s="3" t="s">
        <v>68</v>
      </c>
      <c r="I159" t="s">
        <v>383</v>
      </c>
      <c r="J159" s="3" t="str">
        <f t="shared" si="40"/>
        <v>19</v>
      </c>
      <c r="K159" s="3" t="str">
        <f t="shared" si="41"/>
        <v>40</v>
      </c>
      <c r="L159" s="3" t="str">
        <f t="shared" si="42"/>
        <v>37</v>
      </c>
      <c r="M159" s="3" t="str">
        <f t="shared" si="43"/>
        <v>80</v>
      </c>
      <c r="N159" s="3" t="str">
        <f t="shared" si="44"/>
        <v>01</v>
      </c>
      <c r="O159" s="3" t="str">
        <f t="shared" si="45"/>
        <v>17</v>
      </c>
      <c r="P159" s="1">
        <f t="shared" si="46"/>
        <v>19.676944444444445</v>
      </c>
      <c r="Q159" s="1">
        <f t="shared" si="47"/>
        <v>-80.021388888888893</v>
      </c>
      <c r="R159" s="13" t="s">
        <v>370</v>
      </c>
    </row>
    <row r="160" spans="1:18" ht="15.75" x14ac:dyDescent="0.25">
      <c r="A160" s="3">
        <v>159</v>
      </c>
      <c r="B160" s="3" t="s">
        <v>20</v>
      </c>
      <c r="C160" s="3" t="s">
        <v>29</v>
      </c>
      <c r="D160" s="3" t="s">
        <v>16</v>
      </c>
      <c r="E160" t="s">
        <v>390</v>
      </c>
      <c r="F160" t="s">
        <v>391</v>
      </c>
      <c r="G160" t="s">
        <v>371</v>
      </c>
      <c r="H160" s="3" t="s">
        <v>68</v>
      </c>
      <c r="I160" t="s">
        <v>383</v>
      </c>
      <c r="J160" s="3" t="str">
        <f t="shared" si="40"/>
        <v>19</v>
      </c>
      <c r="K160" s="3" t="str">
        <f t="shared" si="41"/>
        <v>53</v>
      </c>
      <c r="L160" s="3" t="str">
        <f t="shared" si="42"/>
        <v>57</v>
      </c>
      <c r="M160" s="3" t="str">
        <f t="shared" si="43"/>
        <v>75</v>
      </c>
      <c r="N160" s="3" t="str">
        <f t="shared" si="44"/>
        <v>00</v>
      </c>
      <c r="O160" s="3" t="str">
        <f t="shared" si="45"/>
        <v>52</v>
      </c>
      <c r="P160" s="1">
        <f t="shared" si="46"/>
        <v>19.899166666666666</v>
      </c>
      <c r="Q160" s="1">
        <f t="shared" si="47"/>
        <v>-75.01444444444445</v>
      </c>
      <c r="R160" s="13" t="s">
        <v>370</v>
      </c>
    </row>
    <row r="161" spans="1:18" ht="15.75" x14ac:dyDescent="0.25">
      <c r="A161" s="3">
        <v>160</v>
      </c>
      <c r="B161" s="3" t="s">
        <v>20</v>
      </c>
      <c r="C161" s="3" t="s">
        <v>29</v>
      </c>
      <c r="D161" s="3" t="s">
        <v>16</v>
      </c>
      <c r="E161" t="s">
        <v>392</v>
      </c>
      <c r="F161" t="s">
        <v>393</v>
      </c>
      <c r="G161" t="s">
        <v>371</v>
      </c>
      <c r="H161" s="3" t="s">
        <v>68</v>
      </c>
      <c r="I161" t="s">
        <v>383</v>
      </c>
      <c r="J161" s="3" t="str">
        <f t="shared" si="40"/>
        <v>18</v>
      </c>
      <c r="K161" s="3" t="str">
        <f t="shared" si="41"/>
        <v>21</v>
      </c>
      <c r="L161" s="3" t="str">
        <f t="shared" si="42"/>
        <v>10</v>
      </c>
      <c r="M161" s="3" t="str">
        <f t="shared" si="43"/>
        <v>69</v>
      </c>
      <c r="N161" s="3" t="str">
        <f t="shared" si="44"/>
        <v>52</v>
      </c>
      <c r="O161" s="3" t="str">
        <f t="shared" si="45"/>
        <v>10</v>
      </c>
      <c r="P161" s="1">
        <f t="shared" si="46"/>
        <v>18.352777777777778</v>
      </c>
      <c r="Q161" s="1">
        <f t="shared" si="47"/>
        <v>-69.86944444444444</v>
      </c>
      <c r="R161" s="13" t="s">
        <v>370</v>
      </c>
    </row>
    <row r="162" spans="1:18" ht="15.75" x14ac:dyDescent="0.25">
      <c r="A162" s="3">
        <v>161</v>
      </c>
      <c r="B162" s="3" t="s">
        <v>20</v>
      </c>
      <c r="C162" s="3" t="s">
        <v>29</v>
      </c>
      <c r="D162" s="3" t="s">
        <v>16</v>
      </c>
      <c r="E162" t="s">
        <v>394</v>
      </c>
      <c r="F162" t="s">
        <v>396</v>
      </c>
      <c r="G162" t="s">
        <v>371</v>
      </c>
      <c r="H162" s="3" t="s">
        <v>68</v>
      </c>
      <c r="I162" t="s">
        <v>383</v>
      </c>
      <c r="J162" s="3" t="str">
        <f t="shared" si="40"/>
        <v>19</v>
      </c>
      <c r="K162" s="3" t="str">
        <f t="shared" si="41"/>
        <v>42</v>
      </c>
      <c r="L162" s="3" t="str">
        <f t="shared" si="42"/>
        <v>37</v>
      </c>
      <c r="M162" s="3" t="str">
        <f t="shared" si="43"/>
        <v>70</v>
      </c>
      <c r="N162" s="3" t="str">
        <f t="shared" si="44"/>
        <v>03</v>
      </c>
      <c r="O162" s="3" t="str">
        <f t="shared" si="45"/>
        <v>14</v>
      </c>
      <c r="P162" s="1">
        <f t="shared" si="46"/>
        <v>19.710277777777776</v>
      </c>
      <c r="Q162" s="1">
        <f t="shared" si="47"/>
        <v>-70.053888888888892</v>
      </c>
      <c r="R162" s="13" t="s">
        <v>370</v>
      </c>
    </row>
    <row r="163" spans="1:18" ht="15.75" x14ac:dyDescent="0.25">
      <c r="A163" s="3">
        <v>162</v>
      </c>
      <c r="B163" s="3" t="s">
        <v>20</v>
      </c>
      <c r="C163" s="3" t="s">
        <v>29</v>
      </c>
      <c r="D163" s="3" t="s">
        <v>16</v>
      </c>
      <c r="E163" t="s">
        <v>395</v>
      </c>
      <c r="F163" t="s">
        <v>397</v>
      </c>
      <c r="G163" t="s">
        <v>371</v>
      </c>
      <c r="H163" s="3" t="s">
        <v>68</v>
      </c>
      <c r="I163" t="s">
        <v>383</v>
      </c>
      <c r="J163" s="3" t="str">
        <f t="shared" si="40"/>
        <v>17</v>
      </c>
      <c r="K163" s="3" t="str">
        <f t="shared" si="41"/>
        <v>55</v>
      </c>
      <c r="L163" s="3" t="str">
        <f t="shared" si="42"/>
        <v>50</v>
      </c>
      <c r="M163" s="3" t="str">
        <f t="shared" si="43"/>
        <v>66</v>
      </c>
      <c r="N163" s="3" t="str">
        <f t="shared" si="44"/>
        <v>21</v>
      </c>
      <c r="O163" s="3" t="str">
        <f t="shared" si="45"/>
        <v>14</v>
      </c>
      <c r="P163" s="1">
        <f t="shared" si="46"/>
        <v>17.930555555555557</v>
      </c>
      <c r="Q163" s="1">
        <f t="shared" si="47"/>
        <v>-66.353888888888889</v>
      </c>
      <c r="R163" s="13" t="s">
        <v>370</v>
      </c>
    </row>
    <row r="164" spans="1:18" ht="15.75" x14ac:dyDescent="0.25">
      <c r="A164" s="3">
        <v>163</v>
      </c>
      <c r="B164" s="3" t="s">
        <v>20</v>
      </c>
      <c r="C164" s="3" t="s">
        <v>29</v>
      </c>
      <c r="D164" s="3" t="s">
        <v>16</v>
      </c>
      <c r="E164" t="s">
        <v>399</v>
      </c>
      <c r="F164" t="s">
        <v>406</v>
      </c>
      <c r="G164" t="s">
        <v>371</v>
      </c>
      <c r="H164" s="3" t="s">
        <v>68</v>
      </c>
      <c r="I164" t="s">
        <v>398</v>
      </c>
      <c r="J164" s="3" t="str">
        <f t="shared" si="40"/>
        <v>17</v>
      </c>
      <c r="K164" s="3" t="str">
        <f t="shared" si="41"/>
        <v>15</v>
      </c>
      <c r="L164" s="3" t="str">
        <f t="shared" si="42"/>
        <v>20</v>
      </c>
      <c r="M164" s="3" t="str">
        <f t="shared" si="43"/>
        <v>62</v>
      </c>
      <c r="N164" s="3" t="str">
        <f t="shared" si="44"/>
        <v>42</v>
      </c>
      <c r="O164" s="3" t="str">
        <f t="shared" si="45"/>
        <v>40</v>
      </c>
      <c r="P164" s="1">
        <f t="shared" si="46"/>
        <v>17.255555555555556</v>
      </c>
      <c r="Q164" s="1">
        <f t="shared" si="47"/>
        <v>-62.711111111111109</v>
      </c>
      <c r="R164" s="13" t="s">
        <v>370</v>
      </c>
    </row>
    <row r="165" spans="1:18" ht="15.75" x14ac:dyDescent="0.25">
      <c r="A165" s="3">
        <v>164</v>
      </c>
      <c r="B165" s="3" t="s">
        <v>20</v>
      </c>
      <c r="C165" s="3" t="s">
        <v>29</v>
      </c>
      <c r="D165" s="3" t="s">
        <v>16</v>
      </c>
      <c r="E165" t="s">
        <v>400</v>
      </c>
      <c r="F165" t="s">
        <v>405</v>
      </c>
      <c r="G165" t="s">
        <v>371</v>
      </c>
      <c r="H165" s="3" t="s">
        <v>68</v>
      </c>
      <c r="I165" t="s">
        <v>398</v>
      </c>
      <c r="J165" s="3" t="str">
        <f t="shared" si="40"/>
        <v>14</v>
      </c>
      <c r="K165" s="3" t="str">
        <f t="shared" si="41"/>
        <v>33</v>
      </c>
      <c r="L165" s="3" t="str">
        <f t="shared" si="42"/>
        <v>56</v>
      </c>
      <c r="M165" s="3" t="str">
        <f t="shared" si="43"/>
        <v>61</v>
      </c>
      <c r="N165" s="3" t="str">
        <f t="shared" si="44"/>
        <v>03</v>
      </c>
      <c r="O165" s="3" t="str">
        <f t="shared" si="45"/>
        <v>00</v>
      </c>
      <c r="P165" s="1">
        <f t="shared" si="46"/>
        <v>14.565555555555555</v>
      </c>
      <c r="Q165" s="1">
        <f t="shared" si="47"/>
        <v>-61.05</v>
      </c>
      <c r="R165" s="13" t="s">
        <v>370</v>
      </c>
    </row>
    <row r="166" spans="1:18" ht="15.75" x14ac:dyDescent="0.25">
      <c r="A166" s="3">
        <v>165</v>
      </c>
      <c r="B166" s="3" t="s">
        <v>20</v>
      </c>
      <c r="C166" s="3" t="s">
        <v>29</v>
      </c>
      <c r="D166" s="3" t="s">
        <v>16</v>
      </c>
      <c r="E166" t="s">
        <v>401</v>
      </c>
      <c r="F166" t="s">
        <v>404</v>
      </c>
      <c r="G166" t="s">
        <v>371</v>
      </c>
      <c r="H166" s="3" t="s">
        <v>68</v>
      </c>
      <c r="I166" t="s">
        <v>398</v>
      </c>
      <c r="J166" s="3" t="str">
        <f t="shared" si="40"/>
        <v>11</v>
      </c>
      <c r="K166" s="3" t="str">
        <f t="shared" si="41"/>
        <v>03</v>
      </c>
      <c r="L166" s="3" t="str">
        <f t="shared" si="42"/>
        <v>46</v>
      </c>
      <c r="M166" s="3" t="str">
        <f t="shared" si="43"/>
        <v>64</v>
      </c>
      <c r="N166" s="3" t="str">
        <f t="shared" si="44"/>
        <v>01</v>
      </c>
      <c r="O166" s="3" t="str">
        <f t="shared" si="45"/>
        <v>30</v>
      </c>
      <c r="P166" s="1">
        <f t="shared" si="46"/>
        <v>11.062777777777777</v>
      </c>
      <c r="Q166" s="1">
        <f t="shared" si="47"/>
        <v>-64.025000000000006</v>
      </c>
      <c r="R166" s="13" t="s">
        <v>370</v>
      </c>
    </row>
    <row r="167" spans="1:18" ht="15.75" x14ac:dyDescent="0.25">
      <c r="A167" s="3">
        <v>166</v>
      </c>
      <c r="B167" s="3" t="s">
        <v>20</v>
      </c>
      <c r="C167" s="3" t="s">
        <v>29</v>
      </c>
      <c r="D167" s="3" t="s">
        <v>16</v>
      </c>
      <c r="E167" t="s">
        <v>402</v>
      </c>
      <c r="F167" t="s">
        <v>403</v>
      </c>
      <c r="G167" t="s">
        <v>371</v>
      </c>
      <c r="H167" s="3" t="s">
        <v>68</v>
      </c>
      <c r="I167" t="s">
        <v>398</v>
      </c>
      <c r="J167" s="3" t="str">
        <f t="shared" si="40"/>
        <v>10</v>
      </c>
      <c r="K167" s="3" t="str">
        <f t="shared" si="41"/>
        <v>57</v>
      </c>
      <c r="L167" s="3" t="str">
        <f t="shared" si="42"/>
        <v>51</v>
      </c>
      <c r="M167" s="3" t="str">
        <f t="shared" si="43"/>
        <v>65</v>
      </c>
      <c r="N167" s="3" t="str">
        <f t="shared" si="44"/>
        <v>15</v>
      </c>
      <c r="O167" s="3" t="str">
        <f t="shared" si="45"/>
        <v>53</v>
      </c>
      <c r="P167" s="1">
        <f t="shared" si="46"/>
        <v>10.964166666666667</v>
      </c>
      <c r="Q167" s="1">
        <f t="shared" si="47"/>
        <v>-65.264722222222218</v>
      </c>
      <c r="R167" s="13" t="s">
        <v>370</v>
      </c>
    </row>
    <row r="168" spans="1:18" ht="15.75" x14ac:dyDescent="0.25">
      <c r="A168" s="3">
        <v>167</v>
      </c>
      <c r="B168" s="3" t="s">
        <v>20</v>
      </c>
      <c r="C168" s="3" t="s">
        <v>29</v>
      </c>
      <c r="D168" s="3" t="s">
        <v>16</v>
      </c>
      <c r="E168" t="s">
        <v>407</v>
      </c>
      <c r="F168" t="s">
        <v>410</v>
      </c>
      <c r="G168" t="s">
        <v>371</v>
      </c>
      <c r="H168" s="3" t="s">
        <v>68</v>
      </c>
      <c r="I168" t="s">
        <v>398</v>
      </c>
      <c r="J168" s="3" t="str">
        <f t="shared" si="40"/>
        <v>12</v>
      </c>
      <c r="K168" s="3" t="str">
        <f t="shared" si="41"/>
        <v>02</v>
      </c>
      <c r="L168" s="3" t="str">
        <f t="shared" si="42"/>
        <v>08</v>
      </c>
      <c r="M168" s="3" t="str">
        <f t="shared" si="43"/>
        <v>68</v>
      </c>
      <c r="N168" s="3" t="str">
        <f t="shared" si="44"/>
        <v>49</v>
      </c>
      <c r="O168" s="3" t="str">
        <f t="shared" si="45"/>
        <v>30</v>
      </c>
      <c r="P168" s="1">
        <f t="shared" si="46"/>
        <v>12.035555555555556</v>
      </c>
      <c r="Q168" s="1">
        <f t="shared" si="47"/>
        <v>-68.825000000000003</v>
      </c>
      <c r="R168" s="13" t="s">
        <v>370</v>
      </c>
    </row>
    <row r="169" spans="1:18" ht="15.75" x14ac:dyDescent="0.25">
      <c r="A169" s="3">
        <v>168</v>
      </c>
      <c r="B169" s="3" t="s">
        <v>20</v>
      </c>
      <c r="C169" s="3" t="s">
        <v>29</v>
      </c>
      <c r="D169" s="3" t="s">
        <v>16</v>
      </c>
      <c r="E169" t="s">
        <v>408</v>
      </c>
      <c r="F169" t="s">
        <v>409</v>
      </c>
      <c r="G169" t="s">
        <v>371</v>
      </c>
      <c r="H169" s="3" t="s">
        <v>68</v>
      </c>
      <c r="I169" t="s">
        <v>398</v>
      </c>
      <c r="J169" s="3" t="str">
        <f t="shared" si="40"/>
        <v>12</v>
      </c>
      <c r="K169" s="3" t="str">
        <f t="shared" si="41"/>
        <v>22</v>
      </c>
      <c r="L169" s="3" t="str">
        <f t="shared" si="42"/>
        <v>32</v>
      </c>
      <c r="M169" s="3" t="str">
        <f t="shared" si="43"/>
        <v>69</v>
      </c>
      <c r="N169" s="3" t="str">
        <f t="shared" si="44"/>
        <v>06</v>
      </c>
      <c r="O169" s="3" t="str">
        <f t="shared" si="45"/>
        <v>45</v>
      </c>
      <c r="P169" s="1">
        <f t="shared" si="46"/>
        <v>12.375555555555556</v>
      </c>
      <c r="Q169" s="1">
        <f t="shared" si="47"/>
        <v>-69.112499999999997</v>
      </c>
      <c r="R169" s="13" t="s">
        <v>370</v>
      </c>
    </row>
    <row r="170" spans="1:18" ht="15.75" x14ac:dyDescent="0.25">
      <c r="A170" s="3">
        <v>169</v>
      </c>
      <c r="B170" s="3" t="s">
        <v>20</v>
      </c>
      <c r="C170" s="3" t="s">
        <v>29</v>
      </c>
      <c r="D170" s="3" t="s">
        <v>16</v>
      </c>
      <c r="E170" t="s">
        <v>412</v>
      </c>
      <c r="F170" t="s">
        <v>425</v>
      </c>
      <c r="G170" t="s">
        <v>371</v>
      </c>
      <c r="H170" s="3" t="s">
        <v>68</v>
      </c>
      <c r="I170" t="s">
        <v>411</v>
      </c>
      <c r="J170" s="3" t="str">
        <f t="shared" si="40"/>
        <v>23</v>
      </c>
      <c r="K170" s="3" t="str">
        <f t="shared" si="41"/>
        <v>10</v>
      </c>
      <c r="L170" s="3" t="str">
        <f t="shared" si="42"/>
        <v>42</v>
      </c>
      <c r="M170" s="3" t="str">
        <f t="shared" si="43"/>
        <v>75</v>
      </c>
      <c r="N170" s="3" t="str">
        <f t="shared" si="44"/>
        <v>04</v>
      </c>
      <c r="O170" s="3" t="str">
        <f t="shared" si="45"/>
        <v>08</v>
      </c>
      <c r="P170" s="1">
        <f t="shared" si="46"/>
        <v>23.178333333333335</v>
      </c>
      <c r="Q170" s="1">
        <f t="shared" si="47"/>
        <v>-75.068888888888893</v>
      </c>
      <c r="R170" s="13" t="s">
        <v>370</v>
      </c>
    </row>
    <row r="171" spans="1:18" ht="15.75" x14ac:dyDescent="0.25">
      <c r="A171" s="3">
        <v>170</v>
      </c>
      <c r="B171" s="3" t="s">
        <v>20</v>
      </c>
      <c r="C171" s="3" t="s">
        <v>29</v>
      </c>
      <c r="D171" s="3" t="s">
        <v>16</v>
      </c>
      <c r="E171" t="s">
        <v>413</v>
      </c>
      <c r="F171" t="s">
        <v>424</v>
      </c>
      <c r="G171" t="s">
        <v>371</v>
      </c>
      <c r="H171" s="3" t="s">
        <v>68</v>
      </c>
      <c r="I171" t="s">
        <v>411</v>
      </c>
      <c r="J171" s="3" t="str">
        <f t="shared" si="40"/>
        <v>25</v>
      </c>
      <c r="K171" s="3" t="str">
        <f t="shared" si="41"/>
        <v>09</v>
      </c>
      <c r="L171" s="3" t="str">
        <f t="shared" si="42"/>
        <v>08</v>
      </c>
      <c r="M171" s="3" t="str">
        <f t="shared" si="43"/>
        <v>76</v>
      </c>
      <c r="N171" s="3" t="str">
        <f t="shared" si="44"/>
        <v>07</v>
      </c>
      <c r="O171" s="3" t="str">
        <f t="shared" si="45"/>
        <v>55</v>
      </c>
      <c r="P171" s="1">
        <f t="shared" si="46"/>
        <v>25.152222222222221</v>
      </c>
      <c r="Q171" s="1">
        <f t="shared" si="47"/>
        <v>-76.131944444444443</v>
      </c>
      <c r="R171" s="13" t="s">
        <v>370</v>
      </c>
    </row>
    <row r="172" spans="1:18" ht="15.75" x14ac:dyDescent="0.25">
      <c r="A172" s="3">
        <v>171</v>
      </c>
      <c r="B172" s="3" t="s">
        <v>20</v>
      </c>
      <c r="C172" s="3" t="s">
        <v>29</v>
      </c>
      <c r="D172" s="3" t="s">
        <v>16</v>
      </c>
      <c r="E172" t="s">
        <v>414</v>
      </c>
      <c r="F172" t="s">
        <v>423</v>
      </c>
      <c r="G172" t="s">
        <v>371</v>
      </c>
      <c r="H172" s="3" t="s">
        <v>68</v>
      </c>
      <c r="I172" t="s">
        <v>411</v>
      </c>
      <c r="J172" s="3" t="str">
        <f t="shared" si="40"/>
        <v>23</v>
      </c>
      <c r="K172" s="3" t="str">
        <f t="shared" si="41"/>
        <v>37</v>
      </c>
      <c r="L172" s="3" t="str">
        <f t="shared" si="42"/>
        <v>51</v>
      </c>
      <c r="M172" s="3" t="str">
        <f t="shared" si="43"/>
        <v>77</v>
      </c>
      <c r="N172" s="3" t="str">
        <f t="shared" si="44"/>
        <v>40</v>
      </c>
      <c r="O172" s="3" t="str">
        <f t="shared" si="45"/>
        <v>56</v>
      </c>
      <c r="P172" s="1">
        <f t="shared" si="46"/>
        <v>23.630833333333335</v>
      </c>
      <c r="Q172" s="1">
        <f t="shared" si="47"/>
        <v>-77.682222222222222</v>
      </c>
      <c r="R172" s="13" t="s">
        <v>370</v>
      </c>
    </row>
    <row r="173" spans="1:18" ht="15.75" x14ac:dyDescent="0.25">
      <c r="A173" s="3">
        <v>172</v>
      </c>
      <c r="B173" s="3" t="s">
        <v>20</v>
      </c>
      <c r="C173" s="3" t="s">
        <v>29</v>
      </c>
      <c r="D173" s="3" t="s">
        <v>16</v>
      </c>
      <c r="E173" t="s">
        <v>415</v>
      </c>
      <c r="F173" t="s">
        <v>422</v>
      </c>
      <c r="G173" t="s">
        <v>371</v>
      </c>
      <c r="H173" s="3" t="s">
        <v>68</v>
      </c>
      <c r="I173" t="s">
        <v>411</v>
      </c>
      <c r="J173" s="3" t="str">
        <f t="shared" si="40"/>
        <v>24</v>
      </c>
      <c r="K173" s="3" t="str">
        <f t="shared" si="41"/>
        <v>22</v>
      </c>
      <c r="L173" s="3" t="str">
        <f t="shared" si="42"/>
        <v>23</v>
      </c>
      <c r="M173" s="3" t="str">
        <f t="shared" si="43"/>
        <v>78</v>
      </c>
      <c r="N173" s="3" t="str">
        <f t="shared" si="44"/>
        <v>08</v>
      </c>
      <c r="O173" s="3" t="str">
        <f t="shared" si="45"/>
        <v>46</v>
      </c>
      <c r="P173" s="1">
        <f t="shared" si="46"/>
        <v>24.373055555555556</v>
      </c>
      <c r="Q173" s="1">
        <f t="shared" si="47"/>
        <v>-78.146111111111111</v>
      </c>
      <c r="R173" s="13" t="s">
        <v>370</v>
      </c>
    </row>
    <row r="174" spans="1:18" ht="15.75" x14ac:dyDescent="0.25">
      <c r="A174" s="3">
        <v>173</v>
      </c>
      <c r="B174" s="3" t="s">
        <v>20</v>
      </c>
      <c r="C174" s="3" t="s">
        <v>29</v>
      </c>
      <c r="D174" s="3" t="s">
        <v>16</v>
      </c>
      <c r="E174" t="s">
        <v>416</v>
      </c>
      <c r="F174" t="s">
        <v>420</v>
      </c>
      <c r="G174" t="s">
        <v>371</v>
      </c>
      <c r="H174" s="3" t="s">
        <v>68</v>
      </c>
      <c r="I174" t="s">
        <v>411</v>
      </c>
      <c r="J174" s="3" t="str">
        <f t="shared" si="40"/>
        <v>24</v>
      </c>
      <c r="K174" s="3" t="str">
        <f t="shared" si="41"/>
        <v>38</v>
      </c>
      <c r="L174" s="3" t="str">
        <f t="shared" si="42"/>
        <v>59</v>
      </c>
      <c r="M174" s="3" t="str">
        <f t="shared" si="43"/>
        <v>78</v>
      </c>
      <c r="N174" s="3" t="str">
        <f t="shared" si="44"/>
        <v>29</v>
      </c>
      <c r="O174" s="3" t="str">
        <f t="shared" si="45"/>
        <v>17</v>
      </c>
      <c r="P174" s="1">
        <f t="shared" si="46"/>
        <v>24.649722222222223</v>
      </c>
      <c r="Q174" s="1">
        <f t="shared" si="47"/>
        <v>-78.488055555555562</v>
      </c>
      <c r="R174" s="13" t="s">
        <v>370</v>
      </c>
    </row>
    <row r="175" spans="1:18" ht="15.75" x14ac:dyDescent="0.25">
      <c r="A175" s="3">
        <v>174</v>
      </c>
      <c r="B175" s="3" t="s">
        <v>20</v>
      </c>
      <c r="C175" s="3" t="s">
        <v>29</v>
      </c>
      <c r="D175" s="3" t="s">
        <v>16</v>
      </c>
      <c r="E175" t="s">
        <v>417</v>
      </c>
      <c r="F175" t="s">
        <v>421</v>
      </c>
      <c r="G175" t="s">
        <v>371</v>
      </c>
      <c r="H175" s="3" t="s">
        <v>68</v>
      </c>
      <c r="I175" t="s">
        <v>411</v>
      </c>
      <c r="J175" s="3" t="str">
        <f t="shared" si="40"/>
        <v>25</v>
      </c>
      <c r="K175" s="3" t="str">
        <f t="shared" si="41"/>
        <v>45</v>
      </c>
      <c r="L175" s="3" t="str">
        <f t="shared" si="42"/>
        <v>28</v>
      </c>
      <c r="M175" s="3" t="str">
        <f t="shared" si="43"/>
        <v>77</v>
      </c>
      <c r="N175" s="3" t="str">
        <f t="shared" si="44"/>
        <v>52</v>
      </c>
      <c r="O175" s="3" t="str">
        <f t="shared" si="45"/>
        <v>41</v>
      </c>
      <c r="P175" s="1">
        <f t="shared" si="46"/>
        <v>25.757777777777779</v>
      </c>
      <c r="Q175" s="1">
        <f t="shared" si="47"/>
        <v>-77.878055555555562</v>
      </c>
      <c r="R175" s="13" t="s">
        <v>370</v>
      </c>
    </row>
    <row r="176" spans="1:18" ht="15.75" x14ac:dyDescent="0.25">
      <c r="A176" s="3">
        <v>175</v>
      </c>
      <c r="B176" s="3" t="s">
        <v>20</v>
      </c>
      <c r="C176" s="3" t="s">
        <v>29</v>
      </c>
      <c r="D176" s="3" t="s">
        <v>16</v>
      </c>
      <c r="E176" t="s">
        <v>418</v>
      </c>
      <c r="F176" t="s">
        <v>419</v>
      </c>
      <c r="G176" t="s">
        <v>371</v>
      </c>
      <c r="H176" s="3" t="s">
        <v>68</v>
      </c>
      <c r="I176" t="s">
        <v>411</v>
      </c>
      <c r="J176" s="3" t="str">
        <f t="shared" si="40"/>
        <v>26</v>
      </c>
      <c r="K176" s="3" t="str">
        <f t="shared" si="41"/>
        <v>35</v>
      </c>
      <c r="L176" s="3" t="str">
        <f t="shared" si="42"/>
        <v>20</v>
      </c>
      <c r="M176" s="3" t="str">
        <f t="shared" si="43"/>
        <v>78</v>
      </c>
      <c r="N176" s="3" t="str">
        <f t="shared" si="44"/>
        <v>43</v>
      </c>
      <c r="O176" s="3" t="str">
        <f t="shared" si="45"/>
        <v>54</v>
      </c>
      <c r="P176" s="1">
        <f t="shared" si="46"/>
        <v>26.588888888888889</v>
      </c>
      <c r="Q176" s="1">
        <f t="shared" si="47"/>
        <v>-78.731666666666669</v>
      </c>
      <c r="R176" s="13" t="s">
        <v>370</v>
      </c>
    </row>
    <row r="177" spans="1:18" ht="15.75" x14ac:dyDescent="0.25">
      <c r="A177" s="3">
        <v>176</v>
      </c>
      <c r="B177" s="3" t="s">
        <v>20</v>
      </c>
      <c r="C177" s="3" t="s">
        <v>29</v>
      </c>
      <c r="D177" s="3" t="s">
        <v>16</v>
      </c>
      <c r="E177" t="s">
        <v>428</v>
      </c>
      <c r="F177" t="s">
        <v>439</v>
      </c>
      <c r="G177" t="s">
        <v>426</v>
      </c>
      <c r="H177" s="3" t="s">
        <v>68</v>
      </c>
      <c r="I177" t="s">
        <v>427</v>
      </c>
      <c r="J177" s="3" t="str">
        <f t="shared" si="40"/>
        <v>25</v>
      </c>
      <c r="K177" s="3" t="str">
        <f t="shared" si="41"/>
        <v>32</v>
      </c>
      <c r="L177" s="3" t="str">
        <f t="shared" si="42"/>
        <v>00</v>
      </c>
      <c r="M177" s="3" t="str">
        <f t="shared" si="43"/>
        <v>79</v>
      </c>
      <c r="N177" s="3" t="str">
        <f t="shared" si="44"/>
        <v>17</v>
      </c>
      <c r="O177" s="3" t="str">
        <f t="shared" si="45"/>
        <v>00</v>
      </c>
      <c r="P177" s="1">
        <f t="shared" si="46"/>
        <v>25.533333333333335</v>
      </c>
      <c r="Q177" s="1">
        <f t="shared" si="47"/>
        <v>-79.283333333333331</v>
      </c>
      <c r="R177" s="13" t="s">
        <v>440</v>
      </c>
    </row>
    <row r="178" spans="1:18" ht="15.75" x14ac:dyDescent="0.25">
      <c r="A178" s="3">
        <v>177</v>
      </c>
      <c r="B178" s="3" t="s">
        <v>20</v>
      </c>
      <c r="C178" s="3" t="s">
        <v>29</v>
      </c>
      <c r="D178" s="3" t="s">
        <v>16</v>
      </c>
      <c r="E178" s="26" t="s">
        <v>430</v>
      </c>
      <c r="F178" t="s">
        <v>438</v>
      </c>
      <c r="G178" t="s">
        <v>426</v>
      </c>
      <c r="H178" s="3" t="s">
        <v>68</v>
      </c>
      <c r="I178" t="s">
        <v>427</v>
      </c>
      <c r="J178" s="3" t="str">
        <f t="shared" ref="J178:J196" si="48">MID(E178,1,FIND("°",E178,1)-1)</f>
        <v>25</v>
      </c>
      <c r="K178" s="3" t="str">
        <f t="shared" ref="K178:K196" si="49">MID(E178,FIND("°",E178,1)+1,(FIND("′",E178,1)-FIND("°",E178,1))-1)</f>
        <v>40</v>
      </c>
      <c r="L178" s="3" t="str">
        <f t="shared" ref="L178:L196" si="50">MID(E178,FIND("′",E178,1)+1,(FIND("″",E178,1)-FIND("′",E178,1))-1)</f>
        <v>15</v>
      </c>
      <c r="M178" s="3" t="str">
        <f t="shared" ref="M178:M196" si="51">MID(F178,1,FIND("°",F178,1)-1)</f>
        <v>79</v>
      </c>
      <c r="N178" s="3" t="str">
        <f t="shared" ref="N178:N196" si="52">MID(F178,FIND("°",F178,1)+1,(FIND("′",F178,1)-FIND("°",F178,1))-1)</f>
        <v>18</v>
      </c>
      <c r="O178" s="3" t="str">
        <f t="shared" ref="O178:O196" si="53">MID(F178,FIND("′",F178,1)+1,(FIND("″",F178,1)-FIND("′",F178,1))-1)</f>
        <v>30</v>
      </c>
      <c r="P178" s="1">
        <f t="shared" ref="P178:P196" si="54">((((L178/60)+K178)/60)+J178)*IF(C178="S",-1, 1)</f>
        <v>25.670833333333334</v>
      </c>
      <c r="Q178" s="1">
        <f t="shared" ref="Q178:Q196" si="55">((((O178/60)+N178)/60)+M178)*IF(D178="W",-1, 1)</f>
        <v>-79.308333333333337</v>
      </c>
      <c r="R178" s="13" t="s">
        <v>440</v>
      </c>
    </row>
    <row r="179" spans="1:18" ht="15.75" x14ac:dyDescent="0.25">
      <c r="A179" s="3">
        <v>178</v>
      </c>
      <c r="B179" s="3" t="s">
        <v>20</v>
      </c>
      <c r="C179" s="3" t="s">
        <v>29</v>
      </c>
      <c r="D179" s="3" t="s">
        <v>16</v>
      </c>
      <c r="E179" t="s">
        <v>429</v>
      </c>
      <c r="F179" t="s">
        <v>437</v>
      </c>
      <c r="G179" t="s">
        <v>426</v>
      </c>
      <c r="H179" s="3" t="s">
        <v>68</v>
      </c>
      <c r="I179" t="s">
        <v>427</v>
      </c>
      <c r="J179" s="3" t="str">
        <f t="shared" si="48"/>
        <v>25</v>
      </c>
      <c r="K179" s="3" t="str">
        <f t="shared" si="49"/>
        <v>44</v>
      </c>
      <c r="L179" s="3" t="str">
        <f t="shared" si="50"/>
        <v>51</v>
      </c>
      <c r="M179" s="3" t="str">
        <f t="shared" si="51"/>
        <v>79</v>
      </c>
      <c r="N179" s="3" t="str">
        <f t="shared" si="52"/>
        <v>17</v>
      </c>
      <c r="O179" s="3" t="str">
        <f t="shared" si="53"/>
        <v>49</v>
      </c>
      <c r="P179" s="1">
        <f t="shared" si="54"/>
        <v>25.747499999999999</v>
      </c>
      <c r="Q179" s="1">
        <f t="shared" si="55"/>
        <v>-79.296944444444449</v>
      </c>
      <c r="R179" s="13" t="s">
        <v>440</v>
      </c>
    </row>
    <row r="180" spans="1:18" ht="15.75" x14ac:dyDescent="0.25">
      <c r="A180" s="3">
        <v>179</v>
      </c>
      <c r="B180" s="3" t="s">
        <v>20</v>
      </c>
      <c r="C180" s="3" t="s">
        <v>29</v>
      </c>
      <c r="D180" s="3" t="s">
        <v>16</v>
      </c>
      <c r="E180" t="s">
        <v>431</v>
      </c>
      <c r="F180" t="s">
        <v>436</v>
      </c>
      <c r="G180" t="s">
        <v>426</v>
      </c>
      <c r="H180" s="3" t="s">
        <v>68</v>
      </c>
      <c r="I180" t="s">
        <v>427</v>
      </c>
      <c r="J180" s="3" t="str">
        <f t="shared" si="48"/>
        <v>25</v>
      </c>
      <c r="K180" s="3" t="str">
        <f t="shared" si="49"/>
        <v>47</v>
      </c>
      <c r="L180" s="3" t="str">
        <f t="shared" si="50"/>
        <v>19</v>
      </c>
      <c r="M180" s="3" t="str">
        <f t="shared" si="51"/>
        <v>79</v>
      </c>
      <c r="N180" s="3" t="str">
        <f t="shared" si="52"/>
        <v>15</v>
      </c>
      <c r="O180" s="3" t="str">
        <f t="shared" si="53"/>
        <v>34</v>
      </c>
      <c r="P180" s="1">
        <f t="shared" si="54"/>
        <v>25.788611111111113</v>
      </c>
      <c r="Q180" s="1">
        <f t="shared" si="55"/>
        <v>-79.259444444444441</v>
      </c>
      <c r="R180" s="13" t="s">
        <v>440</v>
      </c>
    </row>
    <row r="181" spans="1:18" ht="15.75" x14ac:dyDescent="0.25">
      <c r="A181" s="3">
        <v>180</v>
      </c>
      <c r="B181" s="3" t="s">
        <v>20</v>
      </c>
      <c r="C181" s="3" t="s">
        <v>29</v>
      </c>
      <c r="D181" s="3" t="s">
        <v>16</v>
      </c>
      <c r="E181" t="s">
        <v>432</v>
      </c>
      <c r="F181" t="s">
        <v>435</v>
      </c>
      <c r="G181" t="s">
        <v>426</v>
      </c>
      <c r="H181" s="3" t="s">
        <v>68</v>
      </c>
      <c r="I181" t="s">
        <v>427</v>
      </c>
      <c r="J181" s="3" t="str">
        <f t="shared" si="48"/>
        <v>25</v>
      </c>
      <c r="K181" s="3" t="str">
        <f t="shared" si="49"/>
        <v>39</v>
      </c>
      <c r="L181" s="3" t="str">
        <f t="shared" si="50"/>
        <v>02</v>
      </c>
      <c r="M181" s="3" t="str">
        <f t="shared" si="51"/>
        <v>79</v>
      </c>
      <c r="N181" s="3" t="str">
        <f t="shared" si="52"/>
        <v>17</v>
      </c>
      <c r="O181" s="3" t="str">
        <f t="shared" si="53"/>
        <v>36</v>
      </c>
      <c r="P181" s="1">
        <f t="shared" si="54"/>
        <v>25.650555555555556</v>
      </c>
      <c r="Q181" s="1">
        <f t="shared" si="55"/>
        <v>-79.293333333333337</v>
      </c>
      <c r="R181" s="13" t="s">
        <v>440</v>
      </c>
    </row>
    <row r="182" spans="1:18" ht="15.75" x14ac:dyDescent="0.25">
      <c r="A182" s="3">
        <v>181</v>
      </c>
      <c r="B182" s="3" t="s">
        <v>20</v>
      </c>
      <c r="C182" s="3" t="s">
        <v>29</v>
      </c>
      <c r="D182" s="3" t="s">
        <v>16</v>
      </c>
      <c r="E182" t="s">
        <v>433</v>
      </c>
      <c r="F182" t="s">
        <v>434</v>
      </c>
      <c r="G182" t="s">
        <v>426</v>
      </c>
      <c r="H182" s="3" t="s">
        <v>68</v>
      </c>
      <c r="I182" t="s">
        <v>427</v>
      </c>
      <c r="J182" s="3" t="str">
        <f t="shared" si="48"/>
        <v>26</v>
      </c>
      <c r="K182" s="3" t="str">
        <f t="shared" si="49"/>
        <v>02</v>
      </c>
      <c r="L182" s="3" t="str">
        <f t="shared" si="50"/>
        <v>00</v>
      </c>
      <c r="M182" s="3" t="str">
        <f t="shared" si="51"/>
        <v>79</v>
      </c>
      <c r="N182" s="3" t="str">
        <f t="shared" si="52"/>
        <v>06</v>
      </c>
      <c r="O182" s="3" t="str">
        <f t="shared" si="53"/>
        <v>00</v>
      </c>
      <c r="P182" s="1">
        <f t="shared" si="54"/>
        <v>26.033333333333335</v>
      </c>
      <c r="Q182" s="1">
        <f t="shared" si="55"/>
        <v>-79.099999999999994</v>
      </c>
      <c r="R182" s="13" t="s">
        <v>440</v>
      </c>
    </row>
    <row r="183" spans="1:18" ht="15.75" x14ac:dyDescent="0.25">
      <c r="A183" s="3">
        <v>182</v>
      </c>
      <c r="B183" s="3" t="s">
        <v>21</v>
      </c>
      <c r="C183" s="3" t="s">
        <v>15</v>
      </c>
      <c r="D183" s="3" t="s">
        <v>16</v>
      </c>
      <c r="E183" t="s">
        <v>441</v>
      </c>
      <c r="F183" t="s">
        <v>204</v>
      </c>
      <c r="G183" t="s">
        <v>458</v>
      </c>
      <c r="H183" s="3" t="s">
        <v>12</v>
      </c>
      <c r="I183" s="3" t="s">
        <v>188</v>
      </c>
      <c r="J183" s="3" t="str">
        <f t="shared" si="48"/>
        <v>02</v>
      </c>
      <c r="K183" s="3" t="str">
        <f t="shared" si="49"/>
        <v>53</v>
      </c>
      <c r="L183" s="3" t="str">
        <f t="shared" si="50"/>
        <v>22</v>
      </c>
      <c r="M183" s="3" t="str">
        <f t="shared" si="51"/>
        <v>41</v>
      </c>
      <c r="N183" s="3" t="str">
        <f t="shared" si="52"/>
        <v>13</v>
      </c>
      <c r="O183" s="3" t="str">
        <f t="shared" si="53"/>
        <v>46</v>
      </c>
      <c r="P183" s="1">
        <f t="shared" si="54"/>
        <v>-2.8894444444444445</v>
      </c>
      <c r="Q183" s="1">
        <f t="shared" si="55"/>
        <v>-41.229444444444447</v>
      </c>
      <c r="R183" s="13" t="s">
        <v>173</v>
      </c>
    </row>
    <row r="184" spans="1:18" ht="15.75" x14ac:dyDescent="0.25">
      <c r="A184" s="3">
        <v>183</v>
      </c>
      <c r="B184" s="3" t="s">
        <v>21</v>
      </c>
      <c r="C184" s="3" t="s">
        <v>15</v>
      </c>
      <c r="D184" s="3" t="s">
        <v>16</v>
      </c>
      <c r="E184" t="s">
        <v>442</v>
      </c>
      <c r="F184" t="s">
        <v>206</v>
      </c>
      <c r="G184" t="s">
        <v>458</v>
      </c>
      <c r="H184" s="3" t="s">
        <v>12</v>
      </c>
      <c r="I184" s="3" t="s">
        <v>188</v>
      </c>
      <c r="J184" s="3" t="str">
        <f t="shared" si="48"/>
        <v>04</v>
      </c>
      <c r="K184" s="3" t="str">
        <f t="shared" si="49"/>
        <v>06</v>
      </c>
      <c r="L184" s="3" t="str">
        <f t="shared" si="50"/>
        <v>06</v>
      </c>
      <c r="M184" s="3" t="str">
        <f t="shared" si="51"/>
        <v>38</v>
      </c>
      <c r="N184" s="3" t="str">
        <f t="shared" si="52"/>
        <v>08</v>
      </c>
      <c r="O184" s="3" t="str">
        <f t="shared" si="53"/>
        <v>56</v>
      </c>
      <c r="P184" s="1">
        <f t="shared" si="54"/>
        <v>-4.1016666666666666</v>
      </c>
      <c r="Q184" s="1">
        <f t="shared" si="55"/>
        <v>-38.148888888888891</v>
      </c>
      <c r="R184" s="13" t="s">
        <v>173</v>
      </c>
    </row>
    <row r="185" spans="1:18" ht="15.75" x14ac:dyDescent="0.25">
      <c r="A185" s="3">
        <v>184</v>
      </c>
      <c r="B185" s="3" t="s">
        <v>21</v>
      </c>
      <c r="C185" s="3" t="s">
        <v>15</v>
      </c>
      <c r="D185" s="3" t="s">
        <v>16</v>
      </c>
      <c r="E185" t="s">
        <v>443</v>
      </c>
      <c r="F185" t="s">
        <v>447</v>
      </c>
      <c r="G185" t="s">
        <v>458</v>
      </c>
      <c r="H185" s="3" t="s">
        <v>12</v>
      </c>
      <c r="I185" s="3" t="s">
        <v>444</v>
      </c>
      <c r="J185" s="3" t="str">
        <f t="shared" si="48"/>
        <v>04</v>
      </c>
      <c r="K185" s="3" t="str">
        <f t="shared" si="49"/>
        <v>53</v>
      </c>
      <c r="L185" s="3" t="str">
        <f t="shared" si="50"/>
        <v>26</v>
      </c>
      <c r="M185" s="3" t="str">
        <f t="shared" si="51"/>
        <v>37</v>
      </c>
      <c r="N185" s="3" t="str">
        <f t="shared" si="52"/>
        <v>14</v>
      </c>
      <c r="O185" s="3" t="str">
        <f t="shared" si="53"/>
        <v>37</v>
      </c>
      <c r="P185" s="1">
        <f t="shared" si="54"/>
        <v>-4.8905555555555553</v>
      </c>
      <c r="Q185" s="1">
        <f t="shared" si="55"/>
        <v>-37.243611111111115</v>
      </c>
      <c r="R185" s="13" t="s">
        <v>173</v>
      </c>
    </row>
    <row r="186" spans="1:18" ht="15.75" x14ac:dyDescent="0.25">
      <c r="A186" s="3">
        <v>185</v>
      </c>
      <c r="B186" s="3" t="s">
        <v>21</v>
      </c>
      <c r="C186" s="3" t="s">
        <v>15</v>
      </c>
      <c r="D186" s="3" t="s">
        <v>16</v>
      </c>
      <c r="E186" t="s">
        <v>448</v>
      </c>
      <c r="F186" t="s">
        <v>449</v>
      </c>
      <c r="G186" t="s">
        <v>458</v>
      </c>
      <c r="H186" s="3" t="s">
        <v>12</v>
      </c>
      <c r="I186" s="3" t="s">
        <v>444</v>
      </c>
      <c r="J186" s="3" t="str">
        <f t="shared" si="48"/>
        <v>05</v>
      </c>
      <c r="K186" s="3" t="str">
        <f t="shared" si="49"/>
        <v>12</v>
      </c>
      <c r="L186" s="3" t="str">
        <f t="shared" si="50"/>
        <v>06</v>
      </c>
      <c r="M186" s="3" t="str">
        <f t="shared" si="51"/>
        <v>35</v>
      </c>
      <c r="N186" s="3" t="str">
        <f t="shared" si="52"/>
        <v>27</v>
      </c>
      <c r="O186" s="3" t="str">
        <f t="shared" si="53"/>
        <v>27</v>
      </c>
      <c r="P186" s="1">
        <f t="shared" si="54"/>
        <v>-5.2016666666666662</v>
      </c>
      <c r="Q186" s="1">
        <f t="shared" si="55"/>
        <v>-35.457500000000003</v>
      </c>
      <c r="R186" s="13" t="s">
        <v>173</v>
      </c>
    </row>
    <row r="187" spans="1:18" ht="15.75" x14ac:dyDescent="0.25">
      <c r="A187" s="3">
        <v>186</v>
      </c>
      <c r="B187" s="3" t="s">
        <v>21</v>
      </c>
      <c r="C187" s="3" t="s">
        <v>15</v>
      </c>
      <c r="D187" s="3" t="s">
        <v>16</v>
      </c>
      <c r="E187" t="s">
        <v>450</v>
      </c>
      <c r="F187" t="s">
        <v>452</v>
      </c>
      <c r="G187" t="s">
        <v>458</v>
      </c>
      <c r="H187" s="3" t="s">
        <v>12</v>
      </c>
      <c r="I187" s="3" t="s">
        <v>445</v>
      </c>
      <c r="J187" s="3" t="str">
        <f t="shared" si="48"/>
        <v>06</v>
      </c>
      <c r="K187" s="3" t="str">
        <f t="shared" si="49"/>
        <v>30</v>
      </c>
      <c r="L187" s="3" t="str">
        <f t="shared" si="50"/>
        <v>11</v>
      </c>
      <c r="M187" s="3" t="str">
        <f t="shared" si="51"/>
        <v>34</v>
      </c>
      <c r="N187" s="3" t="str">
        <f t="shared" si="52"/>
        <v>57</v>
      </c>
      <c r="O187" s="3" t="str">
        <f t="shared" si="53"/>
        <v>30</v>
      </c>
      <c r="P187" s="1">
        <f t="shared" si="54"/>
        <v>-6.5030555555555551</v>
      </c>
      <c r="Q187" s="1">
        <f t="shared" si="55"/>
        <v>-34.958333333333336</v>
      </c>
      <c r="R187" s="13" t="s">
        <v>173</v>
      </c>
    </row>
    <row r="188" spans="1:18" ht="15.75" x14ac:dyDescent="0.25">
      <c r="A188" s="3">
        <v>187</v>
      </c>
      <c r="B188" s="3" t="s">
        <v>21</v>
      </c>
      <c r="C188" s="3" t="s">
        <v>15</v>
      </c>
      <c r="D188" s="3" t="s">
        <v>16</v>
      </c>
      <c r="E188" t="s">
        <v>451</v>
      </c>
      <c r="F188" t="s">
        <v>453</v>
      </c>
      <c r="G188" t="s">
        <v>458</v>
      </c>
      <c r="H188" s="3" t="s">
        <v>12</v>
      </c>
      <c r="I188" s="3" t="s">
        <v>445</v>
      </c>
      <c r="J188" s="3" t="str">
        <f t="shared" si="48"/>
        <v>06</v>
      </c>
      <c r="K188" s="3" t="str">
        <f t="shared" si="49"/>
        <v>57</v>
      </c>
      <c r="L188" s="3" t="str">
        <f t="shared" si="50"/>
        <v>57</v>
      </c>
      <c r="M188" s="3" t="str">
        <f t="shared" si="51"/>
        <v>34</v>
      </c>
      <c r="N188" s="3" t="str">
        <f t="shared" si="52"/>
        <v>51</v>
      </c>
      <c r="O188" s="3" t="str">
        <f t="shared" si="53"/>
        <v>22</v>
      </c>
      <c r="P188" s="1">
        <f t="shared" si="54"/>
        <v>-6.9658333333333333</v>
      </c>
      <c r="Q188" s="1">
        <f t="shared" si="55"/>
        <v>-34.856111111111112</v>
      </c>
      <c r="R188" s="13" t="s">
        <v>173</v>
      </c>
    </row>
    <row r="189" spans="1:18" ht="15.75" x14ac:dyDescent="0.25">
      <c r="A189" s="3">
        <v>188</v>
      </c>
      <c r="B189" s="3" t="s">
        <v>21</v>
      </c>
      <c r="C189" s="3" t="s">
        <v>15</v>
      </c>
      <c r="D189" s="3" t="s">
        <v>16</v>
      </c>
      <c r="E189" t="s">
        <v>454</v>
      </c>
      <c r="F189" t="s">
        <v>457</v>
      </c>
      <c r="G189" t="s">
        <v>458</v>
      </c>
      <c r="H189" s="3" t="s">
        <v>12</v>
      </c>
      <c r="I189" s="3" t="s">
        <v>446</v>
      </c>
      <c r="J189" s="3" t="str">
        <f t="shared" si="48"/>
        <v>07</v>
      </c>
      <c r="K189" s="3" t="str">
        <f t="shared" si="49"/>
        <v>33</v>
      </c>
      <c r="L189" s="3" t="str">
        <f t="shared" si="50"/>
        <v>07</v>
      </c>
      <c r="M189" s="3" t="str">
        <f t="shared" si="51"/>
        <v>34</v>
      </c>
      <c r="N189" s="3" t="str">
        <f t="shared" si="52"/>
        <v>50</v>
      </c>
      <c r="O189" s="3" t="str">
        <f t="shared" si="53"/>
        <v>39</v>
      </c>
      <c r="P189" s="1">
        <f t="shared" si="54"/>
        <v>-7.5519444444444446</v>
      </c>
      <c r="Q189" s="1">
        <f t="shared" si="55"/>
        <v>-34.844166666666666</v>
      </c>
      <c r="R189" s="13" t="s">
        <v>173</v>
      </c>
    </row>
    <row r="190" spans="1:18" ht="15.75" x14ac:dyDescent="0.25">
      <c r="A190" s="3">
        <v>189</v>
      </c>
      <c r="B190" s="3" t="s">
        <v>21</v>
      </c>
      <c r="C190" s="3" t="s">
        <v>15</v>
      </c>
      <c r="D190" s="3" t="s">
        <v>16</v>
      </c>
      <c r="E190" t="s">
        <v>455</v>
      </c>
      <c r="F190" t="s">
        <v>456</v>
      </c>
      <c r="G190" t="s">
        <v>458</v>
      </c>
      <c r="H190" s="3" t="s">
        <v>12</v>
      </c>
      <c r="I190" s="3" t="s">
        <v>446</v>
      </c>
      <c r="J190" s="3" t="str">
        <f t="shared" si="48"/>
        <v>08</v>
      </c>
      <c r="K190" s="3" t="str">
        <f t="shared" si="49"/>
        <v>02</v>
      </c>
      <c r="L190" s="3" t="str">
        <f t="shared" si="50"/>
        <v>54</v>
      </c>
      <c r="M190" s="3" t="str">
        <f t="shared" si="51"/>
        <v>34</v>
      </c>
      <c r="N190" s="3" t="str">
        <f t="shared" si="52"/>
        <v>52</v>
      </c>
      <c r="O190" s="3" t="str">
        <f t="shared" si="53"/>
        <v>42</v>
      </c>
      <c r="P190" s="1">
        <f t="shared" si="54"/>
        <v>-8.0483333333333338</v>
      </c>
      <c r="Q190" s="1">
        <f t="shared" si="55"/>
        <v>-34.87833333333333</v>
      </c>
      <c r="R190" s="13" t="s">
        <v>173</v>
      </c>
    </row>
    <row r="191" spans="1:18" ht="15.75" x14ac:dyDescent="0.25">
      <c r="A191" s="3">
        <v>190</v>
      </c>
      <c r="B191" s="3" t="s">
        <v>20</v>
      </c>
      <c r="C191" s="3" t="s">
        <v>15</v>
      </c>
      <c r="D191" s="3" t="s">
        <v>16</v>
      </c>
      <c r="E191" t="s">
        <v>441</v>
      </c>
      <c r="F191" t="s">
        <v>204</v>
      </c>
      <c r="G191" t="s">
        <v>458</v>
      </c>
      <c r="H191" s="3" t="s">
        <v>12</v>
      </c>
      <c r="I191" s="3" t="s">
        <v>188</v>
      </c>
      <c r="J191" s="3" t="str">
        <f t="shared" si="48"/>
        <v>02</v>
      </c>
      <c r="K191" s="3" t="str">
        <f t="shared" si="49"/>
        <v>53</v>
      </c>
      <c r="L191" s="3" t="str">
        <f t="shared" si="50"/>
        <v>22</v>
      </c>
      <c r="M191" s="3" t="str">
        <f t="shared" si="51"/>
        <v>41</v>
      </c>
      <c r="N191" s="3" t="str">
        <f t="shared" si="52"/>
        <v>13</v>
      </c>
      <c r="O191" s="3" t="str">
        <f t="shared" si="53"/>
        <v>46</v>
      </c>
      <c r="P191" s="1">
        <f t="shared" si="54"/>
        <v>-2.8894444444444445</v>
      </c>
      <c r="Q191" s="1">
        <f t="shared" si="55"/>
        <v>-41.229444444444447</v>
      </c>
      <c r="R191" s="13" t="s">
        <v>173</v>
      </c>
    </row>
    <row r="192" spans="1:18" ht="15.75" x14ac:dyDescent="0.25">
      <c r="A192" s="3">
        <v>191</v>
      </c>
      <c r="B192" s="3" t="s">
        <v>20</v>
      </c>
      <c r="C192" s="3" t="s">
        <v>15</v>
      </c>
      <c r="D192" s="3" t="s">
        <v>16</v>
      </c>
      <c r="E192" t="s">
        <v>442</v>
      </c>
      <c r="F192" t="s">
        <v>206</v>
      </c>
      <c r="G192" t="s">
        <v>458</v>
      </c>
      <c r="H192" s="3" t="s">
        <v>12</v>
      </c>
      <c r="I192" s="3" t="s">
        <v>188</v>
      </c>
      <c r="J192" s="3" t="str">
        <f t="shared" si="48"/>
        <v>04</v>
      </c>
      <c r="K192" s="3" t="str">
        <f t="shared" si="49"/>
        <v>06</v>
      </c>
      <c r="L192" s="3" t="str">
        <f t="shared" si="50"/>
        <v>06</v>
      </c>
      <c r="M192" s="3" t="str">
        <f t="shared" si="51"/>
        <v>38</v>
      </c>
      <c r="N192" s="3" t="str">
        <f t="shared" si="52"/>
        <v>08</v>
      </c>
      <c r="O192" s="3" t="str">
        <f t="shared" si="53"/>
        <v>56</v>
      </c>
      <c r="P192" s="1">
        <f t="shared" si="54"/>
        <v>-4.1016666666666666</v>
      </c>
      <c r="Q192" s="1">
        <f t="shared" si="55"/>
        <v>-38.148888888888891</v>
      </c>
      <c r="R192" s="13" t="s">
        <v>173</v>
      </c>
    </row>
    <row r="193" spans="1:18" ht="15.75" x14ac:dyDescent="0.25">
      <c r="A193" s="3">
        <v>192</v>
      </c>
      <c r="B193" s="3" t="s">
        <v>20</v>
      </c>
      <c r="C193" s="3" t="s">
        <v>15</v>
      </c>
      <c r="D193" s="3" t="s">
        <v>16</v>
      </c>
      <c r="E193" t="s">
        <v>443</v>
      </c>
      <c r="F193" t="s">
        <v>447</v>
      </c>
      <c r="G193" t="s">
        <v>458</v>
      </c>
      <c r="H193" s="3" t="s">
        <v>12</v>
      </c>
      <c r="I193" s="3" t="s">
        <v>444</v>
      </c>
      <c r="J193" s="3" t="str">
        <f t="shared" si="48"/>
        <v>04</v>
      </c>
      <c r="K193" s="3" t="str">
        <f t="shared" si="49"/>
        <v>53</v>
      </c>
      <c r="L193" s="3" t="str">
        <f t="shared" si="50"/>
        <v>26</v>
      </c>
      <c r="M193" s="3" t="str">
        <f t="shared" si="51"/>
        <v>37</v>
      </c>
      <c r="N193" s="3" t="str">
        <f t="shared" si="52"/>
        <v>14</v>
      </c>
      <c r="O193" s="3" t="str">
        <f t="shared" si="53"/>
        <v>37</v>
      </c>
      <c r="P193" s="1">
        <f t="shared" si="54"/>
        <v>-4.8905555555555553</v>
      </c>
      <c r="Q193" s="1">
        <f t="shared" si="55"/>
        <v>-37.243611111111115</v>
      </c>
      <c r="R193" s="13" t="s">
        <v>173</v>
      </c>
    </row>
    <row r="194" spans="1:18" ht="15.75" x14ac:dyDescent="0.25">
      <c r="A194" s="3">
        <v>193</v>
      </c>
      <c r="B194" s="3" t="s">
        <v>20</v>
      </c>
      <c r="C194" s="3" t="s">
        <v>15</v>
      </c>
      <c r="D194" s="3" t="s">
        <v>16</v>
      </c>
      <c r="E194" t="s">
        <v>448</v>
      </c>
      <c r="F194" t="s">
        <v>449</v>
      </c>
      <c r="G194" t="s">
        <v>458</v>
      </c>
      <c r="H194" s="3" t="s">
        <v>12</v>
      </c>
      <c r="I194" s="3" t="s">
        <v>444</v>
      </c>
      <c r="J194" s="3" t="str">
        <f t="shared" si="48"/>
        <v>05</v>
      </c>
      <c r="K194" s="3" t="str">
        <f t="shared" si="49"/>
        <v>12</v>
      </c>
      <c r="L194" s="3" t="str">
        <f t="shared" si="50"/>
        <v>06</v>
      </c>
      <c r="M194" s="3" t="str">
        <f t="shared" si="51"/>
        <v>35</v>
      </c>
      <c r="N194" s="3" t="str">
        <f t="shared" si="52"/>
        <v>27</v>
      </c>
      <c r="O194" s="3" t="str">
        <f t="shared" si="53"/>
        <v>27</v>
      </c>
      <c r="P194" s="1">
        <f t="shared" si="54"/>
        <v>-5.2016666666666662</v>
      </c>
      <c r="Q194" s="1">
        <f t="shared" si="55"/>
        <v>-35.457500000000003</v>
      </c>
      <c r="R194" s="13" t="s">
        <v>173</v>
      </c>
    </row>
    <row r="195" spans="1:18" ht="15.75" x14ac:dyDescent="0.25">
      <c r="A195" s="3">
        <v>194</v>
      </c>
      <c r="B195" s="3" t="s">
        <v>20</v>
      </c>
      <c r="C195" s="3" t="s">
        <v>15</v>
      </c>
      <c r="D195" s="3" t="s">
        <v>16</v>
      </c>
      <c r="E195" t="s">
        <v>450</v>
      </c>
      <c r="F195" t="s">
        <v>452</v>
      </c>
      <c r="G195" t="s">
        <v>458</v>
      </c>
      <c r="H195" s="3" t="s">
        <v>12</v>
      </c>
      <c r="I195" s="3" t="s">
        <v>445</v>
      </c>
      <c r="J195" s="3" t="str">
        <f t="shared" si="48"/>
        <v>06</v>
      </c>
      <c r="K195" s="3" t="str">
        <f t="shared" si="49"/>
        <v>30</v>
      </c>
      <c r="L195" s="3" t="str">
        <f t="shared" si="50"/>
        <v>11</v>
      </c>
      <c r="M195" s="3" t="str">
        <f t="shared" si="51"/>
        <v>34</v>
      </c>
      <c r="N195" s="3" t="str">
        <f t="shared" si="52"/>
        <v>57</v>
      </c>
      <c r="O195" s="3" t="str">
        <f t="shared" si="53"/>
        <v>30</v>
      </c>
      <c r="P195" s="1">
        <f t="shared" si="54"/>
        <v>-6.5030555555555551</v>
      </c>
      <c r="Q195" s="1">
        <f t="shared" si="55"/>
        <v>-34.958333333333336</v>
      </c>
      <c r="R195" s="13" t="s">
        <v>173</v>
      </c>
    </row>
    <row r="196" spans="1:18" ht="15.75" x14ac:dyDescent="0.25">
      <c r="A196" s="3">
        <v>195</v>
      </c>
      <c r="B196" s="3" t="s">
        <v>20</v>
      </c>
      <c r="C196" s="3" t="s">
        <v>15</v>
      </c>
      <c r="D196" s="3" t="s">
        <v>16</v>
      </c>
      <c r="E196" t="s">
        <v>451</v>
      </c>
      <c r="F196" t="s">
        <v>453</v>
      </c>
      <c r="G196" t="s">
        <v>458</v>
      </c>
      <c r="H196" s="3" t="s">
        <v>12</v>
      </c>
      <c r="I196" s="3" t="s">
        <v>445</v>
      </c>
      <c r="J196" s="3" t="str">
        <f t="shared" si="48"/>
        <v>06</v>
      </c>
      <c r="K196" s="3" t="str">
        <f t="shared" si="49"/>
        <v>57</v>
      </c>
      <c r="L196" s="3" t="str">
        <f t="shared" si="50"/>
        <v>57</v>
      </c>
      <c r="M196" s="3" t="str">
        <f t="shared" si="51"/>
        <v>34</v>
      </c>
      <c r="N196" s="3" t="str">
        <f t="shared" si="52"/>
        <v>51</v>
      </c>
      <c r="O196" s="3" t="str">
        <f t="shared" si="53"/>
        <v>22</v>
      </c>
      <c r="P196" s="1">
        <f t="shared" si="54"/>
        <v>-6.9658333333333333</v>
      </c>
      <c r="Q196" s="1">
        <f t="shared" si="55"/>
        <v>-34.856111111111112</v>
      </c>
      <c r="R196" s="13" t="s">
        <v>173</v>
      </c>
    </row>
    <row r="197" spans="1:18" ht="15.75" x14ac:dyDescent="0.25">
      <c r="A197" s="3">
        <v>196</v>
      </c>
      <c r="B197" s="3" t="s">
        <v>20</v>
      </c>
      <c r="C197" s="3" t="s">
        <v>15</v>
      </c>
      <c r="D197" s="3" t="s">
        <v>16</v>
      </c>
      <c r="E197" t="s">
        <v>454</v>
      </c>
      <c r="F197" t="s">
        <v>457</v>
      </c>
      <c r="G197" t="s">
        <v>458</v>
      </c>
      <c r="H197" s="3" t="s">
        <v>12</v>
      </c>
      <c r="I197" s="3" t="s">
        <v>446</v>
      </c>
      <c r="J197" s="3" t="str">
        <f t="shared" ref="J197:J198" si="56">MID(E197,1,FIND("°",E197,1)-1)</f>
        <v>07</v>
      </c>
      <c r="K197" s="3" t="str">
        <f t="shared" ref="K197:K198" si="57">MID(E197,FIND("°",E197,1)+1,(FIND("′",E197,1)-FIND("°",E197,1))-1)</f>
        <v>33</v>
      </c>
      <c r="L197" s="3" t="str">
        <f t="shared" ref="L197:L198" si="58">MID(E197,FIND("′",E197,1)+1,(FIND("″",E197,1)-FIND("′",E197,1))-1)</f>
        <v>07</v>
      </c>
      <c r="M197" s="3" t="str">
        <f t="shared" ref="M197:M198" si="59">MID(F197,1,FIND("°",F197,1)-1)</f>
        <v>34</v>
      </c>
      <c r="N197" s="3" t="str">
        <f t="shared" ref="N197:N198" si="60">MID(F197,FIND("°",F197,1)+1,(FIND("′",F197,1)-FIND("°",F197,1))-1)</f>
        <v>50</v>
      </c>
      <c r="O197" s="3" t="str">
        <f t="shared" ref="O197:O198" si="61">MID(F197,FIND("′",F197,1)+1,(FIND("″",F197,1)-FIND("′",F197,1))-1)</f>
        <v>39</v>
      </c>
      <c r="P197" s="1">
        <f t="shared" ref="P197:P198" si="62">((((L197/60)+K197)/60)+J197)*IF(C197="S",-1, 1)</f>
        <v>-7.5519444444444446</v>
      </c>
      <c r="Q197" s="1">
        <f t="shared" ref="Q197:Q198" si="63">((((O197/60)+N197)/60)+M197)*IF(D197="W",-1, 1)</f>
        <v>-34.844166666666666</v>
      </c>
      <c r="R197" s="13" t="s">
        <v>173</v>
      </c>
    </row>
    <row r="198" spans="1:18" ht="15.75" x14ac:dyDescent="0.25">
      <c r="A198" s="3">
        <v>197</v>
      </c>
      <c r="B198" s="3" t="s">
        <v>20</v>
      </c>
      <c r="C198" s="3" t="s">
        <v>15</v>
      </c>
      <c r="D198" s="3" t="s">
        <v>16</v>
      </c>
      <c r="E198" t="s">
        <v>455</v>
      </c>
      <c r="F198" t="s">
        <v>456</v>
      </c>
      <c r="G198" t="s">
        <v>458</v>
      </c>
      <c r="H198" s="3" t="s">
        <v>12</v>
      </c>
      <c r="I198" s="3" t="s">
        <v>446</v>
      </c>
      <c r="J198" s="3" t="str">
        <f t="shared" si="56"/>
        <v>08</v>
      </c>
      <c r="K198" s="3" t="str">
        <f t="shared" si="57"/>
        <v>02</v>
      </c>
      <c r="L198" s="3" t="str">
        <f t="shared" si="58"/>
        <v>54</v>
      </c>
      <c r="M198" s="3" t="str">
        <f t="shared" si="59"/>
        <v>34</v>
      </c>
      <c r="N198" s="3" t="str">
        <f t="shared" si="60"/>
        <v>52</v>
      </c>
      <c r="O198" s="3" t="str">
        <f t="shared" si="61"/>
        <v>42</v>
      </c>
      <c r="P198" s="1">
        <f t="shared" si="62"/>
        <v>-8.0483333333333338</v>
      </c>
      <c r="Q198" s="1">
        <f t="shared" si="63"/>
        <v>-34.87833333333333</v>
      </c>
      <c r="R198" s="13" t="s">
        <v>173</v>
      </c>
    </row>
    <row r="199" spans="1:18" x14ac:dyDescent="0.25">
      <c r="P199" s="1"/>
      <c r="Q199" s="1"/>
    </row>
    <row r="200" spans="1:18" x14ac:dyDescent="0.25">
      <c r="P200" s="1"/>
      <c r="Q200" s="1"/>
    </row>
    <row r="201" spans="1:18" x14ac:dyDescent="0.25">
      <c r="P201" s="1"/>
      <c r="Q201" s="1"/>
    </row>
    <row r="202" spans="1:18" x14ac:dyDescent="0.25">
      <c r="P202" s="1"/>
      <c r="Q202" s="1"/>
    </row>
    <row r="203" spans="1:18" x14ac:dyDescent="0.25">
      <c r="P203" s="1"/>
      <c r="Q203" s="1"/>
    </row>
    <row r="204" spans="1:18" x14ac:dyDescent="0.25">
      <c r="P204" s="1"/>
      <c r="Q204" s="1"/>
    </row>
    <row r="205" spans="1:18" x14ac:dyDescent="0.25">
      <c r="P205" s="1"/>
      <c r="Q205" s="1"/>
    </row>
    <row r="206" spans="1:18" x14ac:dyDescent="0.25">
      <c r="P206" s="1"/>
      <c r="Q206" s="1"/>
    </row>
    <row r="207" spans="1:18" x14ac:dyDescent="0.25">
      <c r="P207" s="1"/>
      <c r="Q207" s="1"/>
    </row>
    <row r="208" spans="1:18" x14ac:dyDescent="0.25">
      <c r="P208" s="1"/>
      <c r="Q208" s="1"/>
    </row>
    <row r="209" spans="5:17" x14ac:dyDescent="0.25">
      <c r="P209" s="1"/>
      <c r="Q209" s="1"/>
    </row>
    <row r="210" spans="5:17" x14ac:dyDescent="0.25">
      <c r="P210" s="1"/>
      <c r="Q210" s="1"/>
    </row>
    <row r="211" spans="5:17" x14ac:dyDescent="0.25">
      <c r="P211" s="1"/>
      <c r="Q211" s="1"/>
    </row>
    <row r="212" spans="5:17" x14ac:dyDescent="0.25">
      <c r="P212" s="1"/>
      <c r="Q212" s="1"/>
    </row>
    <row r="213" spans="5:17" x14ac:dyDescent="0.25">
      <c r="E213" s="7"/>
      <c r="P213" s="1"/>
      <c r="Q213" s="1"/>
    </row>
    <row r="214" spans="5:17" x14ac:dyDescent="0.25">
      <c r="E214" s="7"/>
      <c r="P214" s="1"/>
      <c r="Q214" s="1"/>
    </row>
    <row r="215" spans="5:17" x14ac:dyDescent="0.25">
      <c r="P215" s="1"/>
      <c r="Q215" s="1"/>
    </row>
    <row r="216" spans="5:17" x14ac:dyDescent="0.25">
      <c r="P216" s="1"/>
      <c r="Q216" s="1"/>
    </row>
    <row r="217" spans="5:17" x14ac:dyDescent="0.25">
      <c r="P217" s="1"/>
      <c r="Q217" s="1"/>
    </row>
    <row r="218" spans="5:17" x14ac:dyDescent="0.25">
      <c r="P218" s="1"/>
      <c r="Q218" s="1"/>
    </row>
    <row r="219" spans="5:17" x14ac:dyDescent="0.25">
      <c r="P219" s="1"/>
      <c r="Q219" s="1"/>
    </row>
    <row r="220" spans="5:17" x14ac:dyDescent="0.25">
      <c r="P220" s="1"/>
      <c r="Q220" s="1"/>
    </row>
    <row r="221" spans="5:17" x14ac:dyDescent="0.25">
      <c r="P221" s="1"/>
      <c r="Q221" s="1"/>
    </row>
    <row r="222" spans="5:17" x14ac:dyDescent="0.25">
      <c r="P222" s="1"/>
      <c r="Q222" s="1"/>
    </row>
    <row r="223" spans="5:17" x14ac:dyDescent="0.25">
      <c r="P223" s="1"/>
      <c r="Q223" s="1"/>
    </row>
    <row r="224" spans="5:17" x14ac:dyDescent="0.25">
      <c r="P224" s="1"/>
      <c r="Q224" s="1"/>
    </row>
    <row r="225" spans="5:17" x14ac:dyDescent="0.25">
      <c r="P225" s="1"/>
      <c r="Q225" s="1"/>
    </row>
    <row r="226" spans="5:17" x14ac:dyDescent="0.25">
      <c r="E226" s="7"/>
      <c r="P226" s="1"/>
      <c r="Q226" s="1"/>
    </row>
    <row r="227" spans="5:17" x14ac:dyDescent="0.25">
      <c r="I227" s="5"/>
      <c r="P227" s="1"/>
      <c r="Q227" s="1"/>
    </row>
    <row r="228" spans="5:17" x14ac:dyDescent="0.25">
      <c r="I228" s="5"/>
      <c r="P228" s="1"/>
      <c r="Q228" s="1"/>
    </row>
    <row r="229" spans="5:17" x14ac:dyDescent="0.25">
      <c r="E229" s="7"/>
      <c r="P229" s="1"/>
      <c r="Q229" s="1"/>
    </row>
    <row r="230" spans="5:17" x14ac:dyDescent="0.25">
      <c r="P230" s="1"/>
      <c r="Q230" s="1"/>
    </row>
    <row r="231" spans="5:17" x14ac:dyDescent="0.25">
      <c r="P231" s="1"/>
      <c r="Q231" s="1"/>
    </row>
    <row r="232" spans="5:17" x14ac:dyDescent="0.25">
      <c r="E232" s="7"/>
      <c r="P232" s="1"/>
      <c r="Q232" s="1"/>
    </row>
    <row r="233" spans="5:17" x14ac:dyDescent="0.25">
      <c r="E233" s="7"/>
      <c r="P233" s="1"/>
      <c r="Q233" s="1"/>
    </row>
    <row r="234" spans="5:17" x14ac:dyDescent="0.25">
      <c r="E234" s="7"/>
      <c r="P234" s="1"/>
      <c r="Q234" s="1"/>
    </row>
    <row r="235" spans="5:17" x14ac:dyDescent="0.25">
      <c r="P235" s="1"/>
      <c r="Q235" s="1"/>
    </row>
    <row r="236" spans="5:17" x14ac:dyDescent="0.25">
      <c r="P236" s="1"/>
      <c r="Q236" s="1"/>
    </row>
    <row r="237" spans="5:17" x14ac:dyDescent="0.25">
      <c r="P237" s="1"/>
      <c r="Q237" s="1"/>
    </row>
    <row r="238" spans="5:17" x14ac:dyDescent="0.25">
      <c r="P238" s="1"/>
      <c r="Q238" s="1"/>
    </row>
    <row r="239" spans="5:17" x14ac:dyDescent="0.25">
      <c r="P239" s="1"/>
      <c r="Q239" s="1"/>
    </row>
    <row r="240" spans="5:17" x14ac:dyDescent="0.25">
      <c r="P240" s="1"/>
      <c r="Q240" s="1"/>
    </row>
    <row r="241" spans="16:17" x14ac:dyDescent="0.25">
      <c r="P241" s="1"/>
      <c r="Q241" s="1"/>
    </row>
    <row r="242" spans="16:17" x14ac:dyDescent="0.25">
      <c r="P242" s="1"/>
      <c r="Q242" s="1"/>
    </row>
    <row r="243" spans="16:17" x14ac:dyDescent="0.25">
      <c r="P243" s="1"/>
      <c r="Q243" s="1"/>
    </row>
    <row r="244" spans="16:17" x14ac:dyDescent="0.25">
      <c r="P244" s="1"/>
      <c r="Q244" s="1"/>
    </row>
    <row r="245" spans="16:17" x14ac:dyDescent="0.25">
      <c r="P245" s="1"/>
      <c r="Q245" s="1"/>
    </row>
    <row r="246" spans="16:17" x14ac:dyDescent="0.25">
      <c r="P246" s="1"/>
      <c r="Q246" s="1"/>
    </row>
    <row r="247" spans="16:17" x14ac:dyDescent="0.25">
      <c r="P247" s="1"/>
      <c r="Q247" s="1"/>
    </row>
    <row r="248" spans="16:17" x14ac:dyDescent="0.25">
      <c r="P248" s="1"/>
      <c r="Q248" s="1"/>
    </row>
    <row r="249" spans="16:17" x14ac:dyDescent="0.25">
      <c r="P249" s="1"/>
      <c r="Q249" s="1"/>
    </row>
    <row r="250" spans="16:17" x14ac:dyDescent="0.25">
      <c r="P250" s="1"/>
      <c r="Q250" s="1"/>
    </row>
    <row r="251" spans="16:17" x14ac:dyDescent="0.25">
      <c r="P251" s="1"/>
      <c r="Q251" s="1"/>
    </row>
    <row r="252" spans="16:17" x14ac:dyDescent="0.25">
      <c r="P252" s="1"/>
      <c r="Q252" s="1"/>
    </row>
    <row r="253" spans="16:17" x14ac:dyDescent="0.25">
      <c r="P253" s="1"/>
      <c r="Q253" s="1"/>
    </row>
    <row r="254" spans="16:17" x14ac:dyDescent="0.25">
      <c r="P254" s="1"/>
      <c r="Q254" s="1"/>
    </row>
    <row r="255" spans="16:17" x14ac:dyDescent="0.25">
      <c r="P255" s="1"/>
      <c r="Q255" s="1"/>
    </row>
    <row r="256" spans="16:17" x14ac:dyDescent="0.25">
      <c r="P256" s="1"/>
      <c r="Q256" s="1"/>
    </row>
    <row r="257" spans="5:17" x14ac:dyDescent="0.25">
      <c r="E257" s="7"/>
      <c r="P257" s="1"/>
      <c r="Q257" s="1"/>
    </row>
    <row r="258" spans="5:17" x14ac:dyDescent="0.25">
      <c r="P258" s="1"/>
      <c r="Q258" s="1"/>
    </row>
    <row r="259" spans="5:17" x14ac:dyDescent="0.25">
      <c r="E259" s="7"/>
      <c r="P259" s="1"/>
      <c r="Q259" s="1"/>
    </row>
    <row r="260" spans="5:17" x14ac:dyDescent="0.25">
      <c r="E260" s="7"/>
      <c r="I260" s="5"/>
      <c r="P260" s="1"/>
      <c r="Q260" s="1"/>
    </row>
    <row r="261" spans="5:17" x14ac:dyDescent="0.25">
      <c r="E261" s="7"/>
      <c r="P261" s="1"/>
      <c r="Q261" s="1"/>
    </row>
    <row r="262" spans="5:17" x14ac:dyDescent="0.25">
      <c r="E262" s="7"/>
      <c r="P262" s="1"/>
      <c r="Q262" s="1"/>
    </row>
    <row r="263" spans="5:17" x14ac:dyDescent="0.25">
      <c r="E263" s="7"/>
      <c r="P263" s="1"/>
      <c r="Q263" s="1"/>
    </row>
    <row r="264" spans="5:17" x14ac:dyDescent="0.25">
      <c r="E264" s="7"/>
      <c r="P264" s="1"/>
      <c r="Q264" s="1"/>
    </row>
    <row r="265" spans="5:17" x14ac:dyDescent="0.25">
      <c r="E265" s="7"/>
      <c r="P265" s="1"/>
      <c r="Q265" s="1"/>
    </row>
    <row r="266" spans="5:17" x14ac:dyDescent="0.25">
      <c r="E266" s="7"/>
      <c r="P266" s="1"/>
      <c r="Q266" s="1"/>
    </row>
    <row r="267" spans="5:17" x14ac:dyDescent="0.25">
      <c r="E267" s="7"/>
      <c r="P267" s="1"/>
      <c r="Q267" s="1"/>
    </row>
    <row r="268" spans="5:17" x14ac:dyDescent="0.25">
      <c r="P268" s="4"/>
      <c r="Q268" s="4"/>
    </row>
    <row r="269" spans="5:17" x14ac:dyDescent="0.25">
      <c r="P269" s="4"/>
      <c r="Q269" s="4"/>
    </row>
    <row r="270" spans="5:17" x14ac:dyDescent="0.25">
      <c r="P270" s="4"/>
      <c r="Q270" s="4"/>
    </row>
    <row r="271" spans="5:17" x14ac:dyDescent="0.25">
      <c r="E271" s="2"/>
      <c r="F271" s="2"/>
      <c r="P271" s="1"/>
      <c r="Q271" s="1"/>
    </row>
    <row r="272" spans="5:17" x14ac:dyDescent="0.25">
      <c r="E272" s="2"/>
      <c r="P272" s="1"/>
      <c r="Q272" s="1"/>
    </row>
    <row r="273" spans="5:17" x14ac:dyDescent="0.25">
      <c r="E273" s="2"/>
      <c r="F273" s="2"/>
      <c r="P273" s="1"/>
      <c r="Q273" s="1"/>
    </row>
    <row r="274" spans="5:17" x14ac:dyDescent="0.25">
      <c r="E274" s="2"/>
      <c r="F274" s="2"/>
      <c r="P274" s="1"/>
      <c r="Q274" s="1"/>
    </row>
    <row r="275" spans="5:17" x14ac:dyDescent="0.25">
      <c r="E275" s="2"/>
      <c r="F275" s="2"/>
      <c r="P275" s="1"/>
      <c r="Q275" s="1"/>
    </row>
    <row r="276" spans="5:17" x14ac:dyDescent="0.25">
      <c r="E276" s="2"/>
      <c r="F276" s="2"/>
      <c r="P276" s="1"/>
      <c r="Q276" s="1"/>
    </row>
    <row r="277" spans="5:17" x14ac:dyDescent="0.25">
      <c r="E277" s="2"/>
      <c r="F277" s="2"/>
      <c r="P277" s="1"/>
      <c r="Q277" s="1"/>
    </row>
    <row r="278" spans="5:17" x14ac:dyDescent="0.25">
      <c r="E278" s="2"/>
      <c r="F278" s="2"/>
      <c r="P278" s="1"/>
      <c r="Q278" s="1"/>
    </row>
    <row r="279" spans="5:17" x14ac:dyDescent="0.25">
      <c r="E279" s="2"/>
      <c r="F279" s="2"/>
      <c r="P279" s="1"/>
      <c r="Q279" s="1"/>
    </row>
    <row r="280" spans="5:17" x14ac:dyDescent="0.25">
      <c r="E280" s="2"/>
      <c r="F280" s="2"/>
      <c r="P280" s="1"/>
      <c r="Q280" s="1"/>
    </row>
    <row r="281" spans="5:17" x14ac:dyDescent="0.25">
      <c r="E281" s="2"/>
      <c r="F281" s="2"/>
      <c r="P281" s="1"/>
      <c r="Q281" s="1"/>
    </row>
    <row r="282" spans="5:17" x14ac:dyDescent="0.25">
      <c r="E282" s="2"/>
      <c r="F282" s="2"/>
      <c r="P282" s="1"/>
      <c r="Q282" s="1"/>
    </row>
    <row r="283" spans="5:17" x14ac:dyDescent="0.25">
      <c r="E283" s="2"/>
      <c r="F283" s="2"/>
      <c r="P283" s="1"/>
      <c r="Q283" s="1"/>
    </row>
    <row r="284" spans="5:17" x14ac:dyDescent="0.25">
      <c r="E284" s="2"/>
      <c r="F284" s="2"/>
      <c r="P284" s="1"/>
      <c r="Q284" s="1"/>
    </row>
    <row r="285" spans="5:17" x14ac:dyDescent="0.25">
      <c r="E285" s="2"/>
      <c r="F285" s="2"/>
      <c r="P285" s="1"/>
      <c r="Q285" s="1"/>
    </row>
    <row r="286" spans="5:17" x14ac:dyDescent="0.25">
      <c r="E286" s="2"/>
      <c r="P286" s="1"/>
      <c r="Q286" s="1"/>
    </row>
    <row r="287" spans="5:17" x14ac:dyDescent="0.25">
      <c r="E287" s="2"/>
      <c r="F287" s="2"/>
      <c r="P287" s="1"/>
      <c r="Q287" s="1"/>
    </row>
    <row r="288" spans="5:17" x14ac:dyDescent="0.25">
      <c r="E288" s="2"/>
      <c r="F288" s="2"/>
      <c r="P288" s="1"/>
      <c r="Q288" s="1"/>
    </row>
    <row r="289" spans="5:17" x14ac:dyDescent="0.25">
      <c r="E289" s="2"/>
      <c r="F289" s="2"/>
      <c r="P289" s="1"/>
      <c r="Q289" s="1"/>
    </row>
    <row r="290" spans="5:17" x14ac:dyDescent="0.25">
      <c r="E290" s="2"/>
      <c r="F290" s="2"/>
      <c r="P290" s="1"/>
      <c r="Q290" s="1"/>
    </row>
    <row r="291" spans="5:17" x14ac:dyDescent="0.25">
      <c r="E291" s="2"/>
      <c r="F291" s="2"/>
      <c r="P291" s="1"/>
      <c r="Q291" s="1"/>
    </row>
    <row r="292" spans="5:17" x14ac:dyDescent="0.25">
      <c r="E292" s="2"/>
      <c r="F292" s="2"/>
      <c r="P292" s="1"/>
      <c r="Q292" s="1"/>
    </row>
    <row r="293" spans="5:17" x14ac:dyDescent="0.25">
      <c r="E293" s="2"/>
      <c r="P293" s="1"/>
      <c r="Q293" s="1"/>
    </row>
    <row r="294" spans="5:17" x14ac:dyDescent="0.25">
      <c r="E294" s="2"/>
      <c r="F294" s="2"/>
      <c r="P294" s="1"/>
      <c r="Q294" s="1"/>
    </row>
    <row r="295" spans="5:17" x14ac:dyDescent="0.25">
      <c r="E295" s="2"/>
      <c r="F295" s="2"/>
      <c r="P295" s="1"/>
      <c r="Q295" s="1"/>
    </row>
    <row r="296" spans="5:17" x14ac:dyDescent="0.25">
      <c r="E296" s="2"/>
      <c r="F296" s="2"/>
      <c r="P296" s="1"/>
      <c r="Q296" s="1"/>
    </row>
    <row r="297" spans="5:17" x14ac:dyDescent="0.25">
      <c r="E297" s="2"/>
      <c r="F297" s="2"/>
      <c r="P297" s="1"/>
      <c r="Q297" s="1"/>
    </row>
    <row r="298" spans="5:17" x14ac:dyDescent="0.25">
      <c r="E298" s="2"/>
      <c r="F298" s="2"/>
      <c r="P298" s="1"/>
      <c r="Q298" s="1"/>
    </row>
    <row r="299" spans="5:17" x14ac:dyDescent="0.25">
      <c r="E299" s="2"/>
      <c r="F299" s="2"/>
      <c r="P299" s="1"/>
      <c r="Q299" s="1"/>
    </row>
    <row r="300" spans="5:17" x14ac:dyDescent="0.25">
      <c r="E300" s="2"/>
      <c r="F300" s="2"/>
      <c r="P300" s="1"/>
      <c r="Q300" s="1"/>
    </row>
    <row r="301" spans="5:17" x14ac:dyDescent="0.25">
      <c r="E301" s="2"/>
      <c r="F301" s="2"/>
      <c r="P301" s="1"/>
      <c r="Q301" s="1"/>
    </row>
    <row r="302" spans="5:17" x14ac:dyDescent="0.25">
      <c r="E302" s="2"/>
      <c r="F302" s="2"/>
      <c r="P302" s="1"/>
      <c r="Q302" s="1"/>
    </row>
    <row r="303" spans="5:17" x14ac:dyDescent="0.25">
      <c r="E303" s="2"/>
      <c r="F303" s="2"/>
      <c r="P303" s="1"/>
      <c r="Q303" s="1"/>
    </row>
    <row r="304" spans="5:17" x14ac:dyDescent="0.25">
      <c r="E304" s="2"/>
      <c r="F304" s="2"/>
      <c r="P304" s="1"/>
      <c r="Q304" s="1"/>
    </row>
    <row r="305" spans="5:17" x14ac:dyDescent="0.25">
      <c r="E305" s="2"/>
      <c r="F305" s="2"/>
      <c r="P305" s="1"/>
      <c r="Q305" s="1"/>
    </row>
    <row r="306" spans="5:17" x14ac:dyDescent="0.25">
      <c r="E306" s="2"/>
      <c r="F306" s="2"/>
      <c r="P306" s="1"/>
      <c r="Q306" s="1"/>
    </row>
    <row r="307" spans="5:17" x14ac:dyDescent="0.25">
      <c r="E307" s="2"/>
      <c r="P307" s="1"/>
      <c r="Q307" s="1"/>
    </row>
    <row r="308" spans="5:17" x14ac:dyDescent="0.25">
      <c r="E308" s="2"/>
      <c r="F308" s="2"/>
      <c r="P308" s="1"/>
      <c r="Q308" s="1"/>
    </row>
    <row r="309" spans="5:17" x14ac:dyDescent="0.25">
      <c r="E309" s="2"/>
      <c r="F309" s="2"/>
      <c r="P309" s="1"/>
      <c r="Q309" s="1"/>
    </row>
    <row r="310" spans="5:17" x14ac:dyDescent="0.25">
      <c r="E310" s="2"/>
      <c r="F310" s="2"/>
      <c r="P310" s="1"/>
      <c r="Q310" s="1"/>
    </row>
    <row r="311" spans="5:17" x14ac:dyDescent="0.25">
      <c r="E311" s="2"/>
      <c r="F311" s="2"/>
      <c r="P311" s="1"/>
      <c r="Q311" s="1"/>
    </row>
    <row r="312" spans="5:17" x14ac:dyDescent="0.25">
      <c r="E312" s="2"/>
      <c r="P312" s="1"/>
      <c r="Q312" s="1"/>
    </row>
    <row r="313" spans="5:17" x14ac:dyDescent="0.25">
      <c r="E313" s="2"/>
      <c r="F313" s="2"/>
      <c r="P313" s="1"/>
      <c r="Q313" s="1"/>
    </row>
    <row r="314" spans="5:17" x14ac:dyDescent="0.25">
      <c r="E314" s="2"/>
      <c r="F314" s="2"/>
      <c r="P314" s="1"/>
      <c r="Q314" s="1"/>
    </row>
    <row r="315" spans="5:17" x14ac:dyDescent="0.25">
      <c r="E315" s="2"/>
      <c r="F315" s="2"/>
      <c r="P315" s="1"/>
      <c r="Q315" s="1"/>
    </row>
    <row r="316" spans="5:17" x14ac:dyDescent="0.25">
      <c r="E316" s="2"/>
      <c r="F316" s="2"/>
      <c r="P316" s="1"/>
      <c r="Q316" s="1"/>
    </row>
    <row r="317" spans="5:17" x14ac:dyDescent="0.25">
      <c r="E317" s="2"/>
      <c r="F317" s="2"/>
      <c r="P317" s="1"/>
      <c r="Q317" s="1"/>
    </row>
    <row r="318" spans="5:17" x14ac:dyDescent="0.25">
      <c r="E318" s="2"/>
      <c r="F318" s="2"/>
      <c r="P318" s="1"/>
      <c r="Q318" s="1"/>
    </row>
    <row r="319" spans="5:17" x14ac:dyDescent="0.25">
      <c r="E319" s="2"/>
      <c r="F319" s="2"/>
      <c r="P319" s="1"/>
      <c r="Q319" s="1"/>
    </row>
    <row r="320" spans="5:17" x14ac:dyDescent="0.25">
      <c r="E320" s="2"/>
      <c r="F320" s="2"/>
      <c r="P320" s="1"/>
      <c r="Q320" s="1"/>
    </row>
    <row r="321" spans="5:17" x14ac:dyDescent="0.25">
      <c r="E321" s="2"/>
      <c r="F321" s="2"/>
      <c r="P321" s="1"/>
      <c r="Q321" s="1"/>
    </row>
    <row r="322" spans="5:17" x14ac:dyDescent="0.25">
      <c r="E322" s="2"/>
      <c r="F322" s="2"/>
      <c r="P322" s="1"/>
      <c r="Q322" s="1"/>
    </row>
    <row r="323" spans="5:17" x14ac:dyDescent="0.25">
      <c r="E323" s="2"/>
      <c r="F323" s="2"/>
      <c r="P323" s="1"/>
      <c r="Q323" s="1"/>
    </row>
    <row r="324" spans="5:17" x14ac:dyDescent="0.25">
      <c r="E324" s="2"/>
      <c r="F324" s="2"/>
      <c r="P324" s="1"/>
      <c r="Q324" s="1"/>
    </row>
    <row r="325" spans="5:17" x14ac:dyDescent="0.25">
      <c r="E325" s="2"/>
      <c r="F325" s="2"/>
      <c r="P325" s="1"/>
      <c r="Q325" s="1"/>
    </row>
    <row r="326" spans="5:17" x14ac:dyDescent="0.25">
      <c r="E326" s="2"/>
      <c r="P326" s="1"/>
      <c r="Q326" s="1"/>
    </row>
    <row r="327" spans="5:17" x14ac:dyDescent="0.25">
      <c r="E327" s="2"/>
      <c r="F327" s="2"/>
      <c r="P327" s="1"/>
      <c r="Q327" s="1"/>
    </row>
    <row r="328" spans="5:17" x14ac:dyDescent="0.25">
      <c r="E328" s="2"/>
      <c r="F328" s="2"/>
      <c r="P328" s="1"/>
      <c r="Q328" s="1"/>
    </row>
    <row r="329" spans="5:17" x14ac:dyDescent="0.25">
      <c r="E329" s="2"/>
      <c r="F329" s="2"/>
      <c r="P329" s="1"/>
      <c r="Q329" s="1"/>
    </row>
    <row r="330" spans="5:17" x14ac:dyDescent="0.25">
      <c r="E330" s="2"/>
      <c r="F330" s="2"/>
      <c r="P330" s="1"/>
      <c r="Q330" s="1"/>
    </row>
    <row r="331" spans="5:17" x14ac:dyDescent="0.25">
      <c r="E331" s="2"/>
      <c r="F331" s="2"/>
      <c r="P331" s="1"/>
      <c r="Q331" s="1"/>
    </row>
    <row r="332" spans="5:17" x14ac:dyDescent="0.25">
      <c r="E332" s="2"/>
      <c r="F332" s="2"/>
      <c r="P332" s="1"/>
      <c r="Q332" s="1"/>
    </row>
    <row r="333" spans="5:17" x14ac:dyDescent="0.25">
      <c r="E333" s="2"/>
      <c r="F333" s="2"/>
      <c r="P333" s="1"/>
      <c r="Q333" s="1"/>
    </row>
    <row r="334" spans="5:17" x14ac:dyDescent="0.25">
      <c r="E334" s="2"/>
      <c r="F334" s="2"/>
      <c r="P334" s="1"/>
      <c r="Q334" s="1"/>
    </row>
    <row r="335" spans="5:17" x14ac:dyDescent="0.25">
      <c r="E335" s="2"/>
      <c r="F335" s="2"/>
      <c r="P335" s="1"/>
      <c r="Q335" s="1"/>
    </row>
    <row r="336" spans="5:17" x14ac:dyDescent="0.25">
      <c r="E336" s="2"/>
      <c r="F336" s="2"/>
      <c r="P336" s="1"/>
      <c r="Q336" s="1"/>
    </row>
    <row r="337" spans="5:17" x14ac:dyDescent="0.25">
      <c r="E337" s="2"/>
      <c r="F337" s="2"/>
      <c r="P337" s="1"/>
      <c r="Q337" s="1"/>
    </row>
    <row r="338" spans="5:17" x14ac:dyDescent="0.25">
      <c r="E338" s="2"/>
      <c r="F338" s="2"/>
      <c r="P338" s="1"/>
      <c r="Q338" s="1"/>
    </row>
    <row r="339" spans="5:17" x14ac:dyDescent="0.25">
      <c r="E339" s="2"/>
      <c r="F339" s="2"/>
      <c r="P339" s="1"/>
      <c r="Q339" s="1"/>
    </row>
    <row r="340" spans="5:17" x14ac:dyDescent="0.25">
      <c r="E340" s="2"/>
      <c r="F340" s="2"/>
      <c r="P340" s="1"/>
      <c r="Q340" s="1"/>
    </row>
    <row r="341" spans="5:17" x14ac:dyDescent="0.25">
      <c r="E341" s="2"/>
      <c r="F341" s="2"/>
      <c r="P341" s="1"/>
      <c r="Q341" s="1"/>
    </row>
    <row r="342" spans="5:17" x14ac:dyDescent="0.25">
      <c r="E342" s="2"/>
      <c r="F342" s="2"/>
      <c r="P342" s="1"/>
      <c r="Q342" s="1"/>
    </row>
    <row r="343" spans="5:17" x14ac:dyDescent="0.25">
      <c r="E343" s="2"/>
      <c r="F343" s="2"/>
      <c r="P343" s="1"/>
      <c r="Q343" s="1"/>
    </row>
    <row r="344" spans="5:17" x14ac:dyDescent="0.25">
      <c r="E344" s="2"/>
      <c r="F344" s="2"/>
      <c r="P344" s="1"/>
      <c r="Q344" s="1"/>
    </row>
    <row r="345" spans="5:17" x14ac:dyDescent="0.25">
      <c r="E345" s="2"/>
      <c r="F345" s="2"/>
      <c r="P345" s="1"/>
      <c r="Q345" s="1"/>
    </row>
    <row r="346" spans="5:17" x14ac:dyDescent="0.25">
      <c r="E346" s="2"/>
      <c r="F346" s="2"/>
      <c r="P346" s="1"/>
      <c r="Q346" s="1"/>
    </row>
    <row r="347" spans="5:17" x14ac:dyDescent="0.25">
      <c r="E347" s="2"/>
      <c r="F347" s="2"/>
      <c r="P347" s="1"/>
      <c r="Q347" s="1"/>
    </row>
    <row r="348" spans="5:17" x14ac:dyDescent="0.25">
      <c r="E348" s="2"/>
      <c r="F348" s="2"/>
      <c r="P348" s="1"/>
      <c r="Q348" s="1"/>
    </row>
    <row r="349" spans="5:17" x14ac:dyDescent="0.25">
      <c r="E349" s="2"/>
      <c r="F349" s="2"/>
      <c r="P349" s="1"/>
      <c r="Q349" s="1"/>
    </row>
    <row r="350" spans="5:17" x14ac:dyDescent="0.25">
      <c r="E350" s="2"/>
      <c r="F350" s="2"/>
      <c r="P350" s="1"/>
      <c r="Q350" s="1"/>
    </row>
    <row r="351" spans="5:17" x14ac:dyDescent="0.25">
      <c r="E351" s="2"/>
      <c r="F351" s="2"/>
      <c r="P351" s="1"/>
      <c r="Q351" s="1"/>
    </row>
    <row r="352" spans="5:17" x14ac:dyDescent="0.25">
      <c r="E352" s="2"/>
      <c r="F352" s="2"/>
      <c r="P352" s="1"/>
      <c r="Q352" s="1"/>
    </row>
    <row r="353" spans="5:17" x14ac:dyDescent="0.25">
      <c r="E353" s="2"/>
      <c r="F353" s="2"/>
      <c r="P353" s="1"/>
      <c r="Q353" s="1"/>
    </row>
    <row r="354" spans="5:17" x14ac:dyDescent="0.25">
      <c r="E354" s="2"/>
      <c r="F354" s="2"/>
      <c r="P354" s="1"/>
      <c r="Q354" s="1"/>
    </row>
    <row r="355" spans="5:17" x14ac:dyDescent="0.25">
      <c r="E355" s="6"/>
      <c r="F355" s="2"/>
      <c r="P355" s="1"/>
      <c r="Q355" s="1"/>
    </row>
    <row r="356" spans="5:17" x14ac:dyDescent="0.25">
      <c r="E356" s="6"/>
      <c r="F356" s="2"/>
      <c r="P356" s="1"/>
      <c r="Q356" s="1"/>
    </row>
    <row r="357" spans="5:17" x14ac:dyDescent="0.25">
      <c r="E357" s="6"/>
      <c r="F357" s="2"/>
      <c r="P357" s="1"/>
      <c r="Q357" s="1"/>
    </row>
    <row r="358" spans="5:17" x14ac:dyDescent="0.25">
      <c r="E358" s="6"/>
      <c r="F358" s="2"/>
      <c r="P358" s="1"/>
      <c r="Q358" s="1"/>
    </row>
    <row r="359" spans="5:17" x14ac:dyDescent="0.25">
      <c r="E359" s="6"/>
      <c r="F359" s="2"/>
      <c r="P359" s="1"/>
      <c r="Q359" s="1"/>
    </row>
    <row r="360" spans="5:17" x14ac:dyDescent="0.25">
      <c r="E360" s="6"/>
      <c r="F360" s="2"/>
      <c r="P360" s="1"/>
      <c r="Q360" s="1"/>
    </row>
    <row r="361" spans="5:17" x14ac:dyDescent="0.25">
      <c r="E361" s="6"/>
      <c r="F361" s="2"/>
      <c r="P361" s="1"/>
      <c r="Q361" s="1"/>
    </row>
    <row r="362" spans="5:17" x14ac:dyDescent="0.25">
      <c r="E362" s="6"/>
      <c r="F362" s="2"/>
      <c r="P362" s="1"/>
      <c r="Q362" s="1"/>
    </row>
    <row r="363" spans="5:17" x14ac:dyDescent="0.25">
      <c r="E363" s="6"/>
      <c r="F363" s="2"/>
      <c r="P363" s="1"/>
      <c r="Q363" s="1"/>
    </row>
    <row r="364" spans="5:17" x14ac:dyDescent="0.25">
      <c r="E364" s="6"/>
      <c r="F364" s="2"/>
      <c r="P364" s="1"/>
      <c r="Q364" s="1"/>
    </row>
    <row r="365" spans="5:17" x14ac:dyDescent="0.25">
      <c r="E365" s="6"/>
      <c r="F365" s="2"/>
      <c r="P365" s="1"/>
      <c r="Q365" s="1"/>
    </row>
    <row r="366" spans="5:17" x14ac:dyDescent="0.25">
      <c r="E366" s="2"/>
      <c r="F366" s="2"/>
      <c r="P366" s="1"/>
      <c r="Q366" s="1"/>
    </row>
    <row r="367" spans="5:17" x14ac:dyDescent="0.25">
      <c r="P367" s="1"/>
      <c r="Q367" s="1"/>
    </row>
    <row r="368" spans="5:17" x14ac:dyDescent="0.25">
      <c r="P368" s="1"/>
      <c r="Q368" s="1"/>
    </row>
    <row r="369" spans="16:17" x14ac:dyDescent="0.25">
      <c r="P369" s="1"/>
      <c r="Q369" s="1"/>
    </row>
    <row r="370" spans="16:17" x14ac:dyDescent="0.25">
      <c r="P370" s="1"/>
      <c r="Q370" s="1"/>
    </row>
    <row r="371" spans="16:17" x14ac:dyDescent="0.25">
      <c r="P371" s="1"/>
      <c r="Q371" s="1"/>
    </row>
    <row r="372" spans="16:17" x14ac:dyDescent="0.25">
      <c r="P372" s="1"/>
      <c r="Q372" s="1"/>
    </row>
    <row r="373" spans="16:17" x14ac:dyDescent="0.25">
      <c r="P373" s="1"/>
      <c r="Q373" s="1"/>
    </row>
    <row r="374" spans="16:17" x14ac:dyDescent="0.25">
      <c r="P374" s="1"/>
      <c r="Q374" s="1"/>
    </row>
    <row r="375" spans="16:17" x14ac:dyDescent="0.25">
      <c r="P375" s="1"/>
      <c r="Q375" s="1"/>
    </row>
    <row r="376" spans="16:17" x14ac:dyDescent="0.25">
      <c r="P376" s="1"/>
      <c r="Q376" s="1"/>
    </row>
    <row r="377" spans="16:17" x14ac:dyDescent="0.25">
      <c r="P377" s="1"/>
      <c r="Q377" s="1"/>
    </row>
    <row r="378" spans="16:17" x14ac:dyDescent="0.25">
      <c r="P378" s="1"/>
      <c r="Q378" s="1"/>
    </row>
    <row r="379" spans="16:17" x14ac:dyDescent="0.25">
      <c r="P379" s="1"/>
      <c r="Q379" s="1"/>
    </row>
    <row r="380" spans="16:17" x14ac:dyDescent="0.25">
      <c r="P380" s="1"/>
      <c r="Q380" s="1"/>
    </row>
    <row r="381" spans="16:17" x14ac:dyDescent="0.25">
      <c r="P381" s="1"/>
      <c r="Q381" s="1"/>
    </row>
    <row r="382" spans="16:17" x14ac:dyDescent="0.25">
      <c r="P382" s="1"/>
      <c r="Q382" s="1"/>
    </row>
    <row r="383" spans="16:17" x14ac:dyDescent="0.25">
      <c r="P383" s="1"/>
      <c r="Q383" s="1"/>
    </row>
    <row r="384" spans="16:17" x14ac:dyDescent="0.25">
      <c r="P384" s="1"/>
      <c r="Q384" s="1"/>
    </row>
    <row r="385" spans="5:17" x14ac:dyDescent="0.25">
      <c r="E385" s="7"/>
      <c r="F385" s="7"/>
      <c r="P385" s="1"/>
      <c r="Q385" s="1"/>
    </row>
    <row r="386" spans="5:17" x14ac:dyDescent="0.25">
      <c r="E386" s="7"/>
      <c r="P386" s="1"/>
      <c r="Q386" s="1"/>
    </row>
    <row r="387" spans="5:17" x14ac:dyDescent="0.25">
      <c r="E387" s="7"/>
      <c r="P387" s="1"/>
      <c r="Q387" s="1"/>
    </row>
    <row r="388" spans="5:17" x14ac:dyDescent="0.25">
      <c r="E388" s="7"/>
      <c r="P388" s="1"/>
      <c r="Q388" s="1"/>
    </row>
    <row r="389" spans="5:17" x14ac:dyDescent="0.25">
      <c r="E389" s="7"/>
      <c r="P389" s="1"/>
      <c r="Q389" s="1"/>
    </row>
    <row r="390" spans="5:17" x14ac:dyDescent="0.25">
      <c r="E390" s="7"/>
      <c r="P390" s="1"/>
      <c r="Q390" s="1"/>
    </row>
    <row r="391" spans="5:17" x14ac:dyDescent="0.25">
      <c r="E391" s="7"/>
      <c r="P391" s="1"/>
      <c r="Q391" s="1"/>
    </row>
    <row r="392" spans="5:17" x14ac:dyDescent="0.25">
      <c r="E392" s="7"/>
      <c r="P392" s="1"/>
      <c r="Q392" s="1"/>
    </row>
    <row r="393" spans="5:17" x14ac:dyDescent="0.25">
      <c r="E393" s="7"/>
      <c r="P393" s="1"/>
      <c r="Q393" s="1"/>
    </row>
    <row r="394" spans="5:17" x14ac:dyDescent="0.25">
      <c r="E394" s="7"/>
      <c r="P394" s="1"/>
      <c r="Q394" s="1"/>
    </row>
    <row r="395" spans="5:17" x14ac:dyDescent="0.25">
      <c r="E395" s="7"/>
      <c r="P395" s="1"/>
      <c r="Q395" s="1"/>
    </row>
    <row r="396" spans="5:17" x14ac:dyDescent="0.25">
      <c r="E396" s="7"/>
      <c r="P396" s="1"/>
      <c r="Q396" s="1"/>
    </row>
    <row r="397" spans="5:17" x14ac:dyDescent="0.25">
      <c r="E397" s="7"/>
      <c r="P397" s="1"/>
      <c r="Q397" s="1"/>
    </row>
    <row r="398" spans="5:17" x14ac:dyDescent="0.25">
      <c r="E398" s="7"/>
      <c r="P398" s="1"/>
      <c r="Q398" s="1"/>
    </row>
    <row r="399" spans="5:17" x14ac:dyDescent="0.25">
      <c r="E399" s="7"/>
      <c r="P399" s="1"/>
      <c r="Q399" s="1"/>
    </row>
    <row r="400" spans="5:17" x14ac:dyDescent="0.25">
      <c r="E400" s="7"/>
      <c r="P400" s="1"/>
      <c r="Q400" s="1"/>
    </row>
    <row r="401" spans="5:17" x14ac:dyDescent="0.25">
      <c r="P401" s="1"/>
      <c r="Q401" s="1"/>
    </row>
    <row r="402" spans="5:17" x14ac:dyDescent="0.25">
      <c r="E402" s="7"/>
      <c r="P402" s="1"/>
      <c r="Q402" s="1"/>
    </row>
    <row r="403" spans="5:17" x14ac:dyDescent="0.25">
      <c r="E403" s="7"/>
      <c r="P403" s="1"/>
      <c r="Q403" s="1"/>
    </row>
    <row r="404" spans="5:17" x14ac:dyDescent="0.25">
      <c r="E404" s="7"/>
      <c r="F404" s="7"/>
      <c r="P404" s="1"/>
      <c r="Q404" s="1"/>
    </row>
    <row r="405" spans="5:17" x14ac:dyDescent="0.25">
      <c r="E405" s="7"/>
      <c r="F405" s="7"/>
      <c r="P405" s="1"/>
      <c r="Q405" s="1"/>
    </row>
    <row r="406" spans="5:17" x14ac:dyDescent="0.25">
      <c r="E406" s="7"/>
      <c r="P406" s="1"/>
      <c r="Q406" s="1"/>
    </row>
    <row r="407" spans="5:17" x14ac:dyDescent="0.25">
      <c r="E407" s="7"/>
      <c r="P407" s="1"/>
      <c r="Q407" s="1"/>
    </row>
    <row r="408" spans="5:17" x14ac:dyDescent="0.25">
      <c r="E408" s="7"/>
      <c r="P408" s="1"/>
      <c r="Q408" s="1"/>
    </row>
    <row r="409" spans="5:17" x14ac:dyDescent="0.25">
      <c r="E409" s="7"/>
      <c r="P409" s="1"/>
      <c r="Q409" s="1"/>
    </row>
    <row r="410" spans="5:17" x14ac:dyDescent="0.25">
      <c r="E410" s="7"/>
      <c r="P410" s="1"/>
      <c r="Q410" s="1"/>
    </row>
    <row r="411" spans="5:17" x14ac:dyDescent="0.25">
      <c r="E411" s="7"/>
      <c r="P411" s="1"/>
      <c r="Q411" s="1"/>
    </row>
    <row r="412" spans="5:17" x14ac:dyDescent="0.25">
      <c r="E412" s="7"/>
      <c r="P412" s="1"/>
      <c r="Q412" s="1"/>
    </row>
    <row r="413" spans="5:17" x14ac:dyDescent="0.25">
      <c r="P413" s="1"/>
      <c r="Q413" s="1"/>
    </row>
    <row r="414" spans="5:17" x14ac:dyDescent="0.25">
      <c r="P414" s="1"/>
      <c r="Q414" s="1"/>
    </row>
    <row r="415" spans="5:17" x14ac:dyDescent="0.25">
      <c r="E415" s="7"/>
      <c r="P415" s="1"/>
      <c r="Q415" s="1"/>
    </row>
    <row r="416" spans="5:17" x14ac:dyDescent="0.25">
      <c r="E416" s="7"/>
      <c r="P416" s="1"/>
      <c r="Q416" s="1"/>
    </row>
    <row r="417" spans="2:17" x14ac:dyDescent="0.25">
      <c r="E417" s="7"/>
      <c r="P417" s="1"/>
      <c r="Q417" s="1"/>
    </row>
    <row r="418" spans="2:17" x14ac:dyDescent="0.25">
      <c r="E418" s="7"/>
      <c r="P418" s="1"/>
      <c r="Q418" s="1"/>
    </row>
    <row r="419" spans="2:17" x14ac:dyDescent="0.25">
      <c r="P419" s="1"/>
      <c r="Q419" s="1"/>
    </row>
    <row r="420" spans="2:17" x14ac:dyDescent="0.25">
      <c r="P420" s="1"/>
      <c r="Q420" s="1"/>
    </row>
    <row r="421" spans="2:17" x14ac:dyDescent="0.25">
      <c r="P421" s="1"/>
      <c r="Q421" s="1"/>
    </row>
    <row r="422" spans="2:17" x14ac:dyDescent="0.25">
      <c r="P422" s="1"/>
      <c r="Q422" s="1"/>
    </row>
    <row r="423" spans="2:17" x14ac:dyDescent="0.25">
      <c r="P423" s="1"/>
      <c r="Q423" s="1"/>
    </row>
    <row r="424" spans="2:17" x14ac:dyDescent="0.25">
      <c r="B424" s="8"/>
      <c r="E424" s="7"/>
      <c r="G424" s="8"/>
      <c r="H424" s="8"/>
      <c r="P424" s="1"/>
      <c r="Q424" s="1"/>
    </row>
    <row r="425" spans="2:17" x14ac:dyDescent="0.25">
      <c r="B425" s="9"/>
      <c r="E425" s="9"/>
      <c r="F425" s="9"/>
      <c r="G425" s="8"/>
      <c r="H425" s="8"/>
      <c r="I425" s="10"/>
      <c r="P425" s="1"/>
      <c r="Q425" s="1"/>
    </row>
    <row r="426" spans="2:17" x14ac:dyDescent="0.25">
      <c r="B426" s="9"/>
      <c r="E426" s="9"/>
      <c r="F426" s="9"/>
      <c r="G426" s="8"/>
      <c r="H426" s="8"/>
      <c r="I426" s="10"/>
      <c r="P426" s="1"/>
      <c r="Q426" s="1"/>
    </row>
    <row r="427" spans="2:17" x14ac:dyDescent="0.25">
      <c r="B427" s="9"/>
      <c r="E427" s="9"/>
      <c r="F427" s="9"/>
      <c r="G427" s="8"/>
      <c r="H427" s="8"/>
      <c r="I427" s="10"/>
      <c r="P427" s="1"/>
      <c r="Q427" s="1"/>
    </row>
    <row r="428" spans="2:17" x14ac:dyDescent="0.25">
      <c r="B428" s="9"/>
      <c r="E428" s="9"/>
      <c r="F428" s="9"/>
      <c r="G428" s="8"/>
      <c r="H428" s="8"/>
      <c r="I428" s="10"/>
      <c r="P428" s="1"/>
      <c r="Q428" s="1"/>
    </row>
    <row r="429" spans="2:17" x14ac:dyDescent="0.25">
      <c r="B429" s="9"/>
      <c r="E429" s="9"/>
      <c r="F429" s="9"/>
      <c r="G429" s="8"/>
      <c r="H429" s="8"/>
      <c r="I429" s="10"/>
      <c r="P429" s="1"/>
      <c r="Q429" s="1"/>
    </row>
    <row r="430" spans="2:17" x14ac:dyDescent="0.25">
      <c r="B430" s="9"/>
      <c r="E430" s="9"/>
      <c r="F430" s="9"/>
      <c r="G430" s="8"/>
      <c r="H430" s="8"/>
      <c r="I430" s="10"/>
      <c r="P430" s="1"/>
      <c r="Q430" s="1"/>
    </row>
    <row r="431" spans="2:17" x14ac:dyDescent="0.25">
      <c r="B431" s="9"/>
      <c r="E431" s="10"/>
      <c r="F431" s="10"/>
      <c r="G431" s="8"/>
      <c r="H431" s="8"/>
      <c r="I431" s="10"/>
      <c r="P431" s="1"/>
      <c r="Q431" s="1"/>
    </row>
    <row r="432" spans="2:17" x14ac:dyDescent="0.25">
      <c r="B432" s="9"/>
      <c r="E432" s="10"/>
      <c r="F432" s="10"/>
      <c r="G432" s="8"/>
      <c r="H432" s="8"/>
      <c r="I432" s="10"/>
      <c r="P432" s="1"/>
      <c r="Q432" s="1"/>
    </row>
    <row r="433" spans="2:17" x14ac:dyDescent="0.25">
      <c r="B433" s="9"/>
      <c r="E433" s="10"/>
      <c r="F433" s="10"/>
      <c r="G433" s="8"/>
      <c r="H433" s="8"/>
      <c r="I433" s="10"/>
      <c r="P433" s="1"/>
      <c r="Q433" s="1"/>
    </row>
    <row r="434" spans="2:17" x14ac:dyDescent="0.25">
      <c r="B434" s="9"/>
      <c r="E434" s="10"/>
      <c r="F434" s="10"/>
      <c r="G434" s="8"/>
      <c r="H434" s="8"/>
      <c r="I434" s="10"/>
      <c r="P434" s="1"/>
      <c r="Q434" s="1"/>
    </row>
    <row r="435" spans="2:17" x14ac:dyDescent="0.25">
      <c r="B435" s="9"/>
      <c r="E435" s="10"/>
      <c r="F435" s="10"/>
      <c r="G435" s="8"/>
      <c r="H435" s="8"/>
      <c r="I435" s="10"/>
      <c r="P435" s="1"/>
      <c r="Q435" s="1"/>
    </row>
    <row r="436" spans="2:17" x14ac:dyDescent="0.25">
      <c r="B436" s="9"/>
      <c r="E436" s="10"/>
      <c r="F436" s="10"/>
      <c r="G436" s="8"/>
      <c r="H436" s="8"/>
      <c r="I436" s="10"/>
      <c r="P436" s="1"/>
      <c r="Q436" s="1"/>
    </row>
    <row r="437" spans="2:17" x14ac:dyDescent="0.25">
      <c r="B437" s="9"/>
      <c r="E437" s="10"/>
      <c r="F437" s="10"/>
      <c r="G437" s="8"/>
      <c r="H437" s="8"/>
      <c r="I437" s="10"/>
      <c r="P437" s="1"/>
      <c r="Q437" s="1"/>
    </row>
    <row r="438" spans="2:17" x14ac:dyDescent="0.25">
      <c r="B438" s="9"/>
      <c r="E438" s="10"/>
      <c r="F438" s="10"/>
      <c r="G438" s="8"/>
      <c r="H438" s="8"/>
      <c r="I438" s="10"/>
      <c r="P438" s="1"/>
      <c r="Q438" s="1"/>
    </row>
    <row r="439" spans="2:17" x14ac:dyDescent="0.25">
      <c r="B439" s="9"/>
      <c r="E439" s="10"/>
      <c r="F439" s="10"/>
      <c r="G439" s="8"/>
      <c r="H439" s="8"/>
      <c r="I439" s="10"/>
      <c r="P439" s="1"/>
      <c r="Q439" s="1"/>
    </row>
    <row r="440" spans="2:17" x14ac:dyDescent="0.25">
      <c r="B440" s="9"/>
      <c r="E440" s="10"/>
      <c r="F440" s="10"/>
      <c r="G440" s="8"/>
      <c r="H440" s="8"/>
      <c r="I440" s="10"/>
      <c r="P440" s="1"/>
      <c r="Q440" s="1"/>
    </row>
    <row r="441" spans="2:17" x14ac:dyDescent="0.25">
      <c r="B441" s="9"/>
      <c r="E441" s="10"/>
      <c r="F441" s="10"/>
      <c r="G441" s="8"/>
      <c r="H441" s="8"/>
      <c r="I441" s="10"/>
      <c r="P441" s="1"/>
      <c r="Q441" s="1"/>
    </row>
    <row r="442" spans="2:17" x14ac:dyDescent="0.25">
      <c r="B442" s="9"/>
      <c r="E442" s="10"/>
      <c r="F442" s="10"/>
      <c r="G442" s="8"/>
      <c r="H442" s="8"/>
      <c r="I442" s="10"/>
      <c r="P442" s="1"/>
      <c r="Q442" s="1"/>
    </row>
    <row r="443" spans="2:17" x14ac:dyDescent="0.25">
      <c r="B443" s="9"/>
      <c r="E443" s="10"/>
      <c r="F443" s="10"/>
      <c r="G443" s="8"/>
      <c r="H443" s="8"/>
      <c r="I443" s="10"/>
      <c r="P443" s="1"/>
      <c r="Q443" s="1"/>
    </row>
    <row r="444" spans="2:17" x14ac:dyDescent="0.25">
      <c r="B444" s="9"/>
      <c r="E444" s="10"/>
      <c r="F444" s="10"/>
      <c r="G444" s="8"/>
      <c r="H444" s="8"/>
      <c r="I444" s="10"/>
      <c r="P444" s="1"/>
      <c r="Q444" s="1"/>
    </row>
    <row r="445" spans="2:17" x14ac:dyDescent="0.25">
      <c r="B445" s="9"/>
      <c r="E445" s="10"/>
      <c r="F445" s="10"/>
      <c r="G445" s="8"/>
      <c r="H445" s="8"/>
      <c r="I445" s="10"/>
      <c r="P445" s="1"/>
      <c r="Q445" s="1"/>
    </row>
    <row r="446" spans="2:17" x14ac:dyDescent="0.25">
      <c r="B446" s="9"/>
      <c r="E446" s="10"/>
      <c r="F446" s="10"/>
      <c r="G446" s="8"/>
      <c r="H446" s="8"/>
      <c r="I446" s="10"/>
      <c r="P446" s="1"/>
      <c r="Q446" s="1"/>
    </row>
    <row r="447" spans="2:17" x14ac:dyDescent="0.25">
      <c r="B447" s="9"/>
      <c r="E447" s="10"/>
      <c r="F447" s="10"/>
      <c r="G447" s="8"/>
      <c r="H447" s="8"/>
      <c r="I447" s="10"/>
      <c r="P447" s="1"/>
      <c r="Q447" s="1"/>
    </row>
    <row r="448" spans="2:17" x14ac:dyDescent="0.25">
      <c r="B448" s="9"/>
      <c r="E448" s="10"/>
      <c r="F448" s="10"/>
      <c r="G448" s="8"/>
      <c r="H448" s="8"/>
      <c r="I448" s="10"/>
      <c r="P448" s="1"/>
      <c r="Q448" s="1"/>
    </row>
    <row r="449" spans="2:17" x14ac:dyDescent="0.25">
      <c r="B449" s="9"/>
      <c r="E449" s="10"/>
      <c r="F449" s="10"/>
      <c r="G449" s="8"/>
      <c r="H449" s="8"/>
      <c r="I449" s="10"/>
      <c r="P449" s="1"/>
      <c r="Q449" s="1"/>
    </row>
    <row r="450" spans="2:17" x14ac:dyDescent="0.25">
      <c r="B450" s="10"/>
      <c r="E450" s="9"/>
      <c r="F450" s="9"/>
      <c r="G450" s="8"/>
      <c r="H450" s="8"/>
      <c r="I450" s="10"/>
      <c r="P450" s="1"/>
      <c r="Q450" s="1"/>
    </row>
    <row r="451" spans="2:17" x14ac:dyDescent="0.25">
      <c r="B451" s="10"/>
      <c r="E451" s="9"/>
      <c r="F451" s="9"/>
      <c r="G451" s="8"/>
      <c r="H451" s="8"/>
      <c r="I451" s="10"/>
      <c r="P451" s="1"/>
      <c r="Q451" s="1"/>
    </row>
    <row r="452" spans="2:17" x14ac:dyDescent="0.25">
      <c r="B452" s="10"/>
      <c r="E452" s="9"/>
      <c r="F452" s="9"/>
      <c r="G452" s="8"/>
      <c r="H452" s="8"/>
      <c r="I452" s="10"/>
      <c r="P452" s="1"/>
      <c r="Q452" s="1"/>
    </row>
    <row r="453" spans="2:17" x14ac:dyDescent="0.25">
      <c r="B453" s="10"/>
      <c r="E453" s="10"/>
      <c r="F453" s="10"/>
      <c r="G453" s="8"/>
      <c r="H453" s="8"/>
      <c r="I453" s="10"/>
      <c r="P453" s="1"/>
      <c r="Q453" s="1"/>
    </row>
    <row r="454" spans="2:17" x14ac:dyDescent="0.25">
      <c r="B454" s="10"/>
      <c r="E454" s="10"/>
      <c r="F454" s="10"/>
      <c r="G454" s="8"/>
      <c r="H454" s="8"/>
      <c r="I454" s="10"/>
      <c r="P454" s="1"/>
      <c r="Q454" s="1"/>
    </row>
    <row r="455" spans="2:17" x14ac:dyDescent="0.25">
      <c r="B455" s="10"/>
      <c r="E455" s="10"/>
      <c r="F455" s="10"/>
      <c r="G455" s="8"/>
      <c r="H455" s="8"/>
      <c r="I455" s="10"/>
      <c r="P455" s="1"/>
      <c r="Q455" s="1"/>
    </row>
    <row r="456" spans="2:17" x14ac:dyDescent="0.25">
      <c r="B456" s="10"/>
      <c r="E456" s="9"/>
      <c r="F456" s="9"/>
      <c r="G456" s="8"/>
      <c r="H456" s="8"/>
      <c r="I456" s="10"/>
      <c r="P456" s="1"/>
      <c r="Q456" s="1"/>
    </row>
    <row r="457" spans="2:17" x14ac:dyDescent="0.25">
      <c r="B457" s="10"/>
      <c r="E457" s="9"/>
      <c r="F457" s="9"/>
      <c r="G457" s="8"/>
      <c r="H457" s="8"/>
      <c r="I457" s="10"/>
      <c r="P457" s="1"/>
      <c r="Q457" s="1"/>
    </row>
    <row r="458" spans="2:17" x14ac:dyDescent="0.25">
      <c r="B458" s="10"/>
      <c r="E458" s="10"/>
      <c r="F458" s="10"/>
      <c r="G458" s="8"/>
      <c r="H458" s="8"/>
      <c r="I458" s="10"/>
      <c r="P458" s="1"/>
      <c r="Q458" s="1"/>
    </row>
    <row r="459" spans="2:17" x14ac:dyDescent="0.25">
      <c r="B459" s="10"/>
      <c r="E459" s="10"/>
      <c r="F459" s="10"/>
      <c r="G459" s="8"/>
      <c r="H459" s="8"/>
      <c r="I459" s="10"/>
      <c r="P459" s="1"/>
      <c r="Q459" s="1"/>
    </row>
    <row r="460" spans="2:17" x14ac:dyDescent="0.25">
      <c r="B460" s="9"/>
      <c r="E460" s="9"/>
      <c r="F460" s="9"/>
      <c r="G460" s="8"/>
      <c r="H460" s="8"/>
      <c r="I460" s="10"/>
      <c r="P460" s="1"/>
      <c r="Q460" s="1"/>
    </row>
    <row r="461" spans="2:17" x14ac:dyDescent="0.25">
      <c r="B461" s="9"/>
      <c r="E461" s="9"/>
      <c r="F461" s="9"/>
      <c r="G461" s="8"/>
      <c r="H461" s="8"/>
      <c r="I461" s="10"/>
      <c r="P461" s="1"/>
      <c r="Q461" s="1"/>
    </row>
    <row r="462" spans="2:17" x14ac:dyDescent="0.25">
      <c r="B462" s="9"/>
      <c r="E462" s="9"/>
      <c r="F462" s="9"/>
      <c r="G462" s="8"/>
      <c r="H462" s="8"/>
      <c r="I462" s="10"/>
      <c r="P462" s="1"/>
      <c r="Q462" s="1"/>
    </row>
    <row r="463" spans="2:17" x14ac:dyDescent="0.25">
      <c r="B463" s="9"/>
      <c r="E463" s="9"/>
      <c r="F463" s="9"/>
      <c r="G463" s="8"/>
      <c r="H463" s="8"/>
      <c r="I463" s="10"/>
      <c r="P463" s="1"/>
      <c r="Q463" s="1"/>
    </row>
    <row r="464" spans="2:17" x14ac:dyDescent="0.25">
      <c r="B464" s="9"/>
      <c r="E464" s="10"/>
      <c r="F464" s="10"/>
      <c r="G464" s="8"/>
      <c r="H464" s="8"/>
      <c r="I464" s="10"/>
      <c r="P464" s="1"/>
      <c r="Q464" s="1"/>
    </row>
    <row r="465" spans="2:17" x14ac:dyDescent="0.25">
      <c r="B465" s="9"/>
      <c r="E465" s="10"/>
      <c r="F465" s="10"/>
      <c r="G465" s="8"/>
      <c r="H465" s="8"/>
      <c r="I465" s="10"/>
      <c r="P465" s="1"/>
      <c r="Q465" s="1"/>
    </row>
    <row r="466" spans="2:17" x14ac:dyDescent="0.25">
      <c r="B466" s="9"/>
      <c r="E466" s="10"/>
      <c r="F466" s="10"/>
      <c r="G466" s="8"/>
      <c r="H466" s="8"/>
      <c r="I466" s="10"/>
      <c r="P466" s="1"/>
      <c r="Q466" s="1"/>
    </row>
    <row r="467" spans="2:17" x14ac:dyDescent="0.25">
      <c r="B467" s="9"/>
      <c r="E467" s="9"/>
      <c r="F467" s="9"/>
      <c r="G467" s="8"/>
      <c r="H467" s="8"/>
      <c r="I467" s="10"/>
      <c r="P467" s="1"/>
      <c r="Q467" s="1"/>
    </row>
    <row r="468" spans="2:17" x14ac:dyDescent="0.25">
      <c r="B468" s="9"/>
      <c r="E468" s="9"/>
      <c r="F468" s="9"/>
      <c r="G468" s="8"/>
      <c r="H468" s="8"/>
      <c r="I468" s="10"/>
      <c r="P468" s="1"/>
      <c r="Q468" s="1"/>
    </row>
    <row r="469" spans="2:17" x14ac:dyDescent="0.25">
      <c r="B469" s="9"/>
      <c r="E469" s="10"/>
      <c r="F469" s="10"/>
      <c r="G469" s="8"/>
      <c r="H469" s="8"/>
      <c r="I469" s="10"/>
      <c r="P469" s="1"/>
      <c r="Q469" s="1"/>
    </row>
    <row r="470" spans="2:17" x14ac:dyDescent="0.25">
      <c r="B470" s="9"/>
      <c r="E470" s="10"/>
      <c r="F470" s="10"/>
      <c r="G470" s="8"/>
      <c r="H470" s="8"/>
      <c r="I470" s="10"/>
      <c r="P470" s="1"/>
      <c r="Q470" s="1"/>
    </row>
    <row r="471" spans="2:17" x14ac:dyDescent="0.25">
      <c r="B471" s="9"/>
      <c r="E471" s="10"/>
      <c r="F471" s="10"/>
      <c r="G471" s="8"/>
      <c r="H471" s="8"/>
      <c r="I471" s="10"/>
      <c r="P471" s="1"/>
      <c r="Q471" s="1"/>
    </row>
    <row r="472" spans="2:17" x14ac:dyDescent="0.25">
      <c r="E472" t="s">
        <v>441</v>
      </c>
      <c r="F472" t="s">
        <v>204</v>
      </c>
      <c r="H472" s="3" t="s">
        <v>12</v>
      </c>
      <c r="P472" s="1"/>
      <c r="Q472" s="1"/>
    </row>
    <row r="473" spans="2:17" x14ac:dyDescent="0.25">
      <c r="P473" s="1"/>
      <c r="Q473" s="1"/>
    </row>
    <row r="474" spans="2:17" x14ac:dyDescent="0.25">
      <c r="P474" s="1"/>
      <c r="Q474" s="1"/>
    </row>
    <row r="475" spans="2:17" x14ac:dyDescent="0.25">
      <c r="P475" s="1"/>
      <c r="Q475" s="1"/>
    </row>
    <row r="476" spans="2:17" x14ac:dyDescent="0.25">
      <c r="P476" s="1"/>
      <c r="Q476" s="1"/>
    </row>
    <row r="477" spans="2:17" x14ac:dyDescent="0.25">
      <c r="P477" s="1"/>
      <c r="Q477" s="1"/>
    </row>
    <row r="478" spans="2:17" x14ac:dyDescent="0.25">
      <c r="P478" s="1"/>
      <c r="Q478" s="1"/>
    </row>
    <row r="479" spans="2:17" x14ac:dyDescent="0.25">
      <c r="P479" s="1"/>
      <c r="Q479" s="1"/>
    </row>
    <row r="480" spans="2:17" x14ac:dyDescent="0.25">
      <c r="P480" s="1"/>
      <c r="Q480" s="1"/>
    </row>
    <row r="481" spans="16:17" x14ac:dyDescent="0.25">
      <c r="P481" s="1"/>
      <c r="Q481" s="1"/>
    </row>
    <row r="482" spans="16:17" x14ac:dyDescent="0.25">
      <c r="P482" s="1"/>
      <c r="Q482" s="1"/>
    </row>
    <row r="483" spans="16:17" x14ac:dyDescent="0.25">
      <c r="P483" s="1"/>
      <c r="Q483" s="1"/>
    </row>
    <row r="484" spans="16:17" x14ac:dyDescent="0.25">
      <c r="P484" s="1"/>
      <c r="Q484" s="1"/>
    </row>
  </sheetData>
  <autoFilter ref="R1:R486" xr:uid="{00000000-0001-0000-0000-000000000000}"/>
  <phoneticPr fontId="8" type="noConversion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Ocorrências Panulirus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Barbosa</dc:creator>
  <cp:lastModifiedBy>Usuario</cp:lastModifiedBy>
  <dcterms:created xsi:type="dcterms:W3CDTF">2019-12-13T15:58:37Z</dcterms:created>
  <dcterms:modified xsi:type="dcterms:W3CDTF">2026-03-28T18:27:29Z</dcterms:modified>
</cp:coreProperties>
</file>